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SUMO DO PROJETO" sheetId="1" state="visible" r:id="rId1"/>
    <sheet xmlns:r="http://schemas.openxmlformats.org/officeDocument/2006/relationships" name="Indice Geral" sheetId="2" state="visible" r:id="rId2"/>
    <sheet xmlns:r="http://schemas.openxmlformats.org/officeDocument/2006/relationships" name="Codex" sheetId="3" state="visible" r:id="rId3"/>
    <sheet xmlns:r="http://schemas.openxmlformats.org/officeDocument/2006/relationships" name="Regras e Fórmulas" sheetId="4" state="visible" r:id="rId4"/>
    <sheet xmlns:r="http://schemas.openxmlformats.org/officeDocument/2006/relationships" name="Motor do Mestre" sheetId="5" state="visible" r:id="rId5"/>
    <sheet xmlns:r="http://schemas.openxmlformats.org/officeDocument/2006/relationships" name="Curva Mestra" sheetId="6" state="visible" r:id="rId6"/>
    <sheet xmlns:r="http://schemas.openxmlformats.org/officeDocument/2006/relationships" name="Tiers" sheetId="7" state="visible" r:id="rId7"/>
    <sheet xmlns:r="http://schemas.openxmlformats.org/officeDocument/2006/relationships" name="Como Usar" sheetId="8" state="visible" r:id="rId8"/>
    <sheet xmlns:r="http://schemas.openxmlformats.org/officeDocument/2006/relationships" name="Armas" sheetId="9" state="visible" r:id="rId9"/>
    <sheet xmlns:r="http://schemas.openxmlformats.org/officeDocument/2006/relationships" name="Bestiario" sheetId="10" state="visible" r:id="rId10"/>
    <sheet xmlns:r="http://schemas.openxmlformats.org/officeDocument/2006/relationships" name="Economia" sheetId="11" state="visible" r:id="rId11"/>
    <sheet xmlns:r="http://schemas.openxmlformats.org/officeDocument/2006/relationships" name="Missoes" sheetId="12" state="visible" r:id="rId12"/>
    <sheet xmlns:r="http://schemas.openxmlformats.org/officeDocument/2006/relationships" name="Cidades e NPCs" sheetId="13" state="visible" r:id="rId13"/>
    <sheet xmlns:r="http://schemas.openxmlformats.org/officeDocument/2006/relationships" name="Mundo - Locais" sheetId="14" state="visible" r:id="rId14"/>
    <sheet xmlns:r="http://schemas.openxmlformats.org/officeDocument/2006/relationships" name="Campanha - Atos" sheetId="15" state="visible" r:id="rId15"/>
    <sheet xmlns:r="http://schemas.openxmlformats.org/officeDocument/2006/relationships" name="Magia e Habilidades" sheetId="16" state="visible" r:id="rId16"/>
    <sheet xmlns:r="http://schemas.openxmlformats.org/officeDocument/2006/relationships" name="Consumiveis" sheetId="17" state="visible" r:id="rId17"/>
    <sheet xmlns:r="http://schemas.openxmlformats.org/officeDocument/2006/relationships" name="Exploracao - Encontros" sheetId="18" state="visible" r:id="rId18"/>
    <sheet xmlns:r="http://schemas.openxmlformats.org/officeDocument/2006/relationships" name="Mapa - Obstaculos" sheetId="19" state="visible" r:id="rId19"/>
    <sheet xmlns:r="http://schemas.openxmlformats.org/officeDocument/2006/relationships" name="Armaduras" sheetId="20" state="visible" r:id="rId20"/>
    <sheet xmlns:r="http://schemas.openxmlformats.org/officeDocument/2006/relationships" name="V2 - Tipos de Carta" sheetId="21" state="visible" r:id="rId21"/>
    <sheet xmlns:r="http://schemas.openxmlformats.org/officeDocument/2006/relationships" name="Fragmentos do Aspecto" sheetId="22" state="visible" r:id="rId22"/>
    <sheet xmlns:r="http://schemas.openxmlformats.org/officeDocument/2006/relationships" name="Artefatos e Relíquias" sheetId="23" state="visible" r:id="rId23"/>
    <sheet xmlns:r="http://schemas.openxmlformats.org/officeDocument/2006/relationships" name="Reinos e Facções" sheetId="24" state="visible" r:id="rId24"/>
    <sheet xmlns:r="http://schemas.openxmlformats.org/officeDocument/2006/relationships" name="Classes e Arquétipos" sheetId="25" state="visible" r:id="rId25"/>
    <sheet xmlns:r="http://schemas.openxmlformats.org/officeDocument/2006/relationships" name="Corrupção e Sanidade" sheetId="26" state="visible" r:id="rId26"/>
    <sheet xmlns:r="http://schemas.openxmlformats.org/officeDocument/2006/relationships" name="Recursos Naturais" sheetId="27" state="visible" r:id="rId27"/>
    <sheet xmlns:r="http://schemas.openxmlformats.org/officeDocument/2006/relationships" name="Eventos de Viagem e Clima" sheetId="28" state="visible" r:id="rId28"/>
    <sheet xmlns:r="http://schemas.openxmlformats.org/officeDocument/2006/relationships" name="Crafting - Receitas" sheetId="29" state="visible" r:id="rId29"/>
    <sheet xmlns:r="http://schemas.openxmlformats.org/officeDocument/2006/relationships" name="Expedicoes (AFK)" sheetId="30" state="visible" r:id="rId30"/>
    <sheet xmlns:r="http://schemas.openxmlformats.org/officeDocument/2006/relationships" name="Base de Operacoes" sheetId="31" state="visible" r:id="rId31"/>
    <sheet xmlns:r="http://schemas.openxmlformats.org/officeDocument/2006/relationships" name="Titulos" sheetId="32" state="visible" r:id="rId32"/>
    <sheet xmlns:r="http://schemas.openxmlformats.org/officeDocument/2006/relationships" name="Talentos de Classe" sheetId="33" state="visible" r:id="rId33"/>
    <sheet xmlns:r="http://schemas.openxmlformats.org/officeDocument/2006/relationships" name="Monstros Raros" sheetId="34" state="visible" r:id="rId34"/>
    <sheet xmlns:r="http://schemas.openxmlformats.org/officeDocument/2006/relationships" name="Dashboard de Progresso" sheetId="35" state="visible" r:id="rId35"/>
    <sheet xmlns:r="http://schemas.openxmlformats.org/officeDocument/2006/relationships" name="Narrativa" sheetId="36" state="visible" r:id="rId36"/>
    <sheet xmlns:r="http://schemas.openxmlformats.org/officeDocument/2006/relationships" name="Prompts de Imagem" sheetId="37" state="visible" r:id="rId37"/>
  </sheets>
  <definedNames/>
  <calcPr calcId="124519" fullCalcOnLoad="1" refMode="A1" iterate="0" iterateCount="100" iterateDelta="0.0001"/>
</workbook>
</file>

<file path=xl/styles.xml><?xml version="1.0" encoding="utf-8"?>
<styleSheet xmlns="http://schemas.openxmlformats.org/spreadsheetml/2006/main">
  <numFmts count="0"/>
  <fonts count="29">
    <font>
      <name val="Calibri"/>
      <charset val="1"/>
      <family val="2"/>
      <color theme="1"/>
      <sz val="11"/>
    </font>
    <font>
      <name val="Arial"/>
      <family val="0"/>
      <sz val="10"/>
    </font>
    <font>
      <name val="Arial"/>
      <family val="0"/>
      <sz val="10"/>
    </font>
    <font>
      <name val="Arial"/>
      <family val="0"/>
      <sz val="10"/>
    </font>
    <font>
      <name val="Cambria"/>
      <charset val="1"/>
      <family val="0"/>
      <b val="1"/>
      <sz val="14"/>
    </font>
    <font>
      <name val="Cambria"/>
      <charset val="1"/>
      <family val="0"/>
      <b val="1"/>
      <color rgb="FFFFFFFF"/>
      <sz val="11"/>
    </font>
    <font>
      <name val="Cambria"/>
      <charset val="1"/>
      <family val="0"/>
      <b val="1"/>
      <sz val="11"/>
    </font>
    <font>
      <name val="Cambria"/>
      <charset val="1"/>
      <family val="0"/>
      <i val="1"/>
      <color rgb="FF666666"/>
      <sz val="9"/>
    </font>
    <font>
      <name val="Cambria"/>
      <charset val="1"/>
      <family val="0"/>
      <color rgb="FF000000"/>
      <sz val="11"/>
    </font>
    <font>
      <name val="Cambria"/>
      <charset val="1"/>
      <family val="0"/>
      <color rgb="FF0000FF"/>
      <sz val="11"/>
    </font>
    <font>
      <name val="Cambria"/>
      <charset val="1"/>
      <family val="0"/>
      <b val="1"/>
      <sz val="12"/>
    </font>
    <font>
      <name val="Cambria"/>
      <charset val="1"/>
      <family val="0"/>
      <sz val="10"/>
    </font>
    <font>
      <name val="Cambria"/>
      <charset val="1"/>
      <family val="0"/>
      <color rgb="FF008000"/>
      <sz val="11"/>
    </font>
    <font>
      <name val="Cambria"/>
      <charset val="1"/>
      <family val="0"/>
      <i val="1"/>
      <color rgb="FF000000"/>
      <sz val="10"/>
    </font>
    <font>
      <name val="Cambria"/>
      <charset val="1"/>
      <family val="0"/>
      <i val="1"/>
      <sz val="10"/>
    </font>
    <font>
      <name val="Cambria"/>
      <charset val="1"/>
      <family val="0"/>
      <color rgb="FFFFFFFF"/>
      <sz val="11"/>
    </font>
    <font>
      <name val="Cambria"/>
      <charset val="1"/>
      <family val="0"/>
      <sz val="11"/>
    </font>
    <font>
      <name val="Cambria"/>
      <charset val="1"/>
      <family val="0"/>
      <color rgb="FF000000"/>
      <sz val="10"/>
    </font>
    <font>
      <name val="Cambria"/>
      <charset val="1"/>
      <family val="0"/>
      <b val="1"/>
      <sz val="10"/>
    </font>
    <font>
      <name val="Cambria"/>
      <charset val="1"/>
      <family val="0"/>
      <b val="1"/>
      <sz val="13"/>
    </font>
    <font>
      <name val="Cambria"/>
      <charset val="1"/>
      <family val="0"/>
      <sz val="9"/>
    </font>
    <font>
      <name val="Cambria"/>
      <charset val="1"/>
      <family val="0"/>
      <i val="1"/>
      <sz val="11"/>
    </font>
    <font>
      <b val="1"/>
      <sz val="13"/>
    </font>
    <font>
      <b val="1"/>
      <color rgb="00FFFFFF"/>
    </font>
    <font>
      <b val="1"/>
    </font>
    <font>
      <b val="1"/>
      <i val="1"/>
    </font>
    <font/>
    <font>
      <b val="1"/>
      <sz val="14"/>
    </font>
    <font>
      <b val="1"/>
      <color rgb="00FFFFFF"/>
      <sz val="12"/>
    </font>
  </fonts>
  <fills count="22">
    <fill>
      <patternFill/>
    </fill>
    <fill>
      <patternFill patternType="gray125"/>
    </fill>
    <fill>
      <patternFill patternType="solid">
        <fgColor rgb="FF2F2F2F"/>
        <bgColor rgb="FF2E2A3D"/>
      </patternFill>
    </fill>
    <fill>
      <patternFill patternType="solid">
        <fgColor rgb="FFFFF2CC"/>
        <bgColor rgb="FFFFFFFF"/>
      </patternFill>
    </fill>
    <fill>
      <patternFill patternType="solid">
        <fgColor rgb="FF8B4A2B"/>
        <bgColor rgb="FF993366"/>
      </patternFill>
    </fill>
    <fill>
      <patternFill patternType="solid">
        <fgColor rgb="FFB5651D"/>
        <bgColor rgb="FFB8892B"/>
      </patternFill>
    </fill>
    <fill>
      <patternFill patternType="solid">
        <fgColor rgb="FF6E7378"/>
        <bgColor rgb="FF666666"/>
      </patternFill>
    </fill>
    <fill>
      <patternFill patternType="solid">
        <fgColor rgb="FFC7C7CC"/>
        <bgColor rgb="FFCCCCCC"/>
      </patternFill>
    </fill>
    <fill>
      <patternFill patternType="solid">
        <fgColor rgb="FF7A8B4A"/>
        <bgColor rgb="FF6E7378"/>
      </patternFill>
    </fill>
    <fill>
      <patternFill patternType="solid">
        <fgColor rgb="FFC08A3E"/>
        <bgColor rgb="FFB8892B"/>
      </patternFill>
    </fill>
    <fill>
      <patternFill patternType="solid">
        <fgColor rgb="FF4FA89B"/>
        <bgColor rgb="FF6FA8DC"/>
      </patternFill>
    </fill>
    <fill>
      <patternFill patternType="solid">
        <fgColor rgb="FF4B5320"/>
        <bgColor rgb="FF666666"/>
      </patternFill>
    </fill>
    <fill>
      <patternFill patternType="solid">
        <fgColor rgb="FF6FA8DC"/>
        <bgColor rgb="FF4FA89B"/>
      </patternFill>
    </fill>
    <fill>
      <patternFill patternType="solid">
        <fgColor rgb="FF2E2A3D"/>
        <bgColor rgb="FF2F2F2F"/>
      </patternFill>
    </fill>
    <fill>
      <patternFill patternType="solid">
        <fgColor rgb="FF6E0E23"/>
        <bgColor rgb="FF800000"/>
      </patternFill>
    </fill>
    <fill>
      <patternFill patternType="solid">
        <fgColor rgb="FFE8DCC4"/>
        <bgColor rgb="FFD9D9D9"/>
      </patternFill>
    </fill>
    <fill>
      <patternFill patternType="solid">
        <fgColor rgb="FF1A1A1A"/>
        <bgColor rgb="FF2B2118"/>
      </patternFill>
    </fill>
    <fill>
      <patternFill patternType="solid">
        <fgColor rgb="FF8E44AD"/>
        <bgColor rgb="FF993366"/>
      </patternFill>
    </fill>
    <fill>
      <patternFill patternType="solid">
        <fgColor rgb="FF2B2118"/>
        <bgColor rgb="FF1A1A1A"/>
      </patternFill>
    </fill>
    <fill>
      <patternFill patternType="solid">
        <fgColor rgb="FFB8892B"/>
        <bgColor rgb="FFC08A3E"/>
      </patternFill>
    </fill>
    <fill>
      <patternFill patternType="solid">
        <fgColor rgb="002F2F2F"/>
        <bgColor rgb="002F2F2F"/>
      </patternFill>
    </fill>
    <fill>
      <patternFill patternType="solid">
        <fgColor rgb="004A2A2A"/>
        <bgColor rgb="004A2A2A"/>
      </patternFill>
    </fill>
  </fills>
  <borders count="8">
    <border>
      <left/>
      <right/>
      <top/>
      <bottom/>
      <diagonal/>
    </border>
    <border>
      <left style="thin">
        <color rgb="FFD9D9D9"/>
      </left>
      <right style="thin">
        <color rgb="FFD9D9D9"/>
      </right>
      <top style="thin">
        <color rgb="FFD9D9D9"/>
      </top>
      <bottom style="thin">
        <color rgb="FFD9D9D9"/>
      </bottom>
      <diagonal/>
    </border>
    <border>
      <left style="thin">
        <color rgb="FFCCCCCC"/>
      </left>
      <right style="thin">
        <color rgb="FFCCCCCC"/>
      </right>
      <top style="thin">
        <color rgb="FFCCCCCC"/>
      </top>
      <bottom style="thin">
        <color rgb="FFCCCCCC"/>
      </bottom>
      <diagonal/>
    </border>
    <border>
      <left style="thin">
        <color rgb="FFCCCCCC"/>
      </left>
      <right/>
      <top/>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style="thin">
        <color rgb="00D9D9D9"/>
      </left>
      <right style="thin">
        <color rgb="00D9D9D9"/>
      </right>
      <top style="thin">
        <color rgb="00D9D9D9"/>
      </top>
      <bottom style="thin">
        <color rgb="00D9D9D9"/>
      </bottom>
    </border>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8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0" applyAlignment="1" pivotButton="0" quotePrefix="0" xfId="0">
      <alignment horizontal="center" vertical="center"/>
    </xf>
    <xf numFmtId="0" fontId="0" fillId="0" borderId="1" applyAlignment="1" pivotButton="0" quotePrefix="0" xfId="0">
      <alignment horizontal="general" vertical="bottom"/>
    </xf>
    <xf numFmtId="0" fontId="6" fillId="0" borderId="0" applyAlignment="1" pivotButton="0" quotePrefix="0" xfId="0">
      <alignment horizontal="general" vertical="bottom"/>
    </xf>
    <xf numFmtId="0" fontId="0" fillId="3" borderId="0" applyAlignment="1" pivotButton="0" quotePrefix="0" xfId="0">
      <alignment horizontal="general" vertical="bottom"/>
    </xf>
    <xf numFmtId="0" fontId="0" fillId="2" borderId="0" applyAlignment="1" pivotButton="0" quotePrefix="0" xfId="0">
      <alignment horizontal="general" vertical="bottom"/>
    </xf>
    <xf numFmtId="0" fontId="7" fillId="0" borderId="0" applyAlignment="1" pivotButton="0" quotePrefix="0" xfId="0">
      <alignment horizontal="general" vertical="bottom"/>
    </xf>
    <xf numFmtId="0" fontId="5" fillId="2" borderId="2" applyAlignment="1" pivotButton="0" quotePrefix="0" xfId="0">
      <alignment horizontal="center" vertical="center"/>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8" fillId="0" borderId="2" applyAlignment="1" pivotButton="0" quotePrefix="0" xfId="0">
      <alignment horizontal="center" vertical="bottom"/>
    </xf>
    <xf numFmtId="0" fontId="7" fillId="0" borderId="0" applyAlignment="1" pivotButton="0" quotePrefix="0" xfId="0">
      <alignment horizontal="center" vertical="bottom"/>
    </xf>
    <xf numFmtId="0" fontId="11" fillId="0" borderId="0" applyAlignment="1" pivotButton="0" quotePrefix="0" xfId="0">
      <alignment horizontal="center" vertical="bottom"/>
    </xf>
    <xf numFmtId="0" fontId="9" fillId="0" borderId="2" applyAlignment="1" pivotButton="0" quotePrefix="0" xfId="0">
      <alignment horizontal="center" vertical="bottom"/>
    </xf>
    <xf numFmtId="0" fontId="5" fillId="2" borderId="2" applyAlignment="1" pivotButton="0" quotePrefix="0" xfId="0">
      <alignment horizontal="center" vertical="center" wrapText="1"/>
    </xf>
    <xf numFmtId="0" fontId="6" fillId="0" borderId="2" applyAlignment="1" pivotButton="0" quotePrefix="0" xfId="0">
      <alignment horizontal="center" vertical="bottom"/>
    </xf>
    <xf numFmtId="0" fontId="8" fillId="4" borderId="2" applyAlignment="1" pivotButton="0" quotePrefix="0" xfId="0">
      <alignment horizontal="center" vertical="bottom"/>
    </xf>
    <xf numFmtId="0" fontId="12" fillId="0" borderId="2" applyAlignment="1" pivotButton="0" quotePrefix="0" xfId="0">
      <alignment horizontal="center" vertical="bottom"/>
    </xf>
    <xf numFmtId="0" fontId="11" fillId="0" borderId="2" applyAlignment="1" pivotButton="0" quotePrefix="0" xfId="0">
      <alignment horizontal="left" vertical="bottom" wrapText="1"/>
    </xf>
    <xf numFmtId="0" fontId="13" fillId="0" borderId="2" applyAlignment="1" pivotButton="0" quotePrefix="0" xfId="0">
      <alignment horizontal="general" vertical="bottom"/>
    </xf>
    <xf numFmtId="0" fontId="14" fillId="0" borderId="2" applyAlignment="1" pivotButton="0" quotePrefix="0" xfId="0">
      <alignment horizontal="general" vertical="bottom"/>
    </xf>
    <xf numFmtId="0" fontId="8" fillId="5" borderId="2" applyAlignment="1" pivotButton="0" quotePrefix="0" xfId="0">
      <alignment horizontal="center" vertical="bottom"/>
    </xf>
    <xf numFmtId="0" fontId="8" fillId="6" borderId="2" applyAlignment="1" pivotButton="0" quotePrefix="0" xfId="0">
      <alignment horizontal="center" vertical="bottom"/>
    </xf>
    <xf numFmtId="0" fontId="8" fillId="7" borderId="2" applyAlignment="1" pivotButton="0" quotePrefix="0" xfId="0">
      <alignment horizontal="center" vertical="bottom"/>
    </xf>
    <xf numFmtId="0" fontId="8" fillId="8" borderId="2" applyAlignment="1" pivotButton="0" quotePrefix="0" xfId="0">
      <alignment horizontal="center" vertical="bottom"/>
    </xf>
    <xf numFmtId="0" fontId="8" fillId="9" borderId="2" applyAlignment="1" pivotButton="0" quotePrefix="0" xfId="0">
      <alignment horizontal="center" vertical="bottom"/>
    </xf>
    <xf numFmtId="0" fontId="8" fillId="10" borderId="2" applyAlignment="1" pivotButton="0" quotePrefix="0" xfId="0">
      <alignment horizontal="center" vertical="bottom"/>
    </xf>
    <xf numFmtId="0" fontId="15" fillId="11" borderId="2" applyAlignment="1" pivotButton="0" quotePrefix="0" xfId="0">
      <alignment horizontal="center" vertical="bottom"/>
    </xf>
    <xf numFmtId="0" fontId="8" fillId="12" borderId="2" applyAlignment="1" pivotButton="0" quotePrefix="0" xfId="0">
      <alignment horizontal="center" vertical="bottom"/>
    </xf>
    <xf numFmtId="0" fontId="15" fillId="13" borderId="2" applyAlignment="1" pivotButton="0" quotePrefix="0" xfId="0">
      <alignment horizontal="center" vertical="bottom"/>
    </xf>
    <xf numFmtId="0" fontId="15" fillId="14" borderId="2" applyAlignment="1" pivotButton="0" quotePrefix="0" xfId="0">
      <alignment horizontal="center" vertical="bottom"/>
    </xf>
    <xf numFmtId="0" fontId="8" fillId="15" borderId="2" applyAlignment="1" pivotButton="0" quotePrefix="0" xfId="0">
      <alignment horizontal="center" vertical="bottom"/>
    </xf>
    <xf numFmtId="0" fontId="15" fillId="16" borderId="2" applyAlignment="1" pivotButton="0" quotePrefix="0" xfId="0">
      <alignment horizontal="center" vertical="bottom"/>
    </xf>
    <xf numFmtId="0" fontId="8" fillId="17" borderId="2" applyAlignment="1" pivotButton="0" quotePrefix="0" xfId="0">
      <alignment horizontal="center" vertical="bottom"/>
    </xf>
    <xf numFmtId="0" fontId="16" fillId="0" borderId="0" applyAlignment="1" pivotButton="0" quotePrefix="0" xfId="0">
      <alignment horizontal="general" vertical="bottom"/>
    </xf>
    <xf numFmtId="0" fontId="8" fillId="0" borderId="2" applyAlignment="1" pivotButton="0" quotePrefix="0" xfId="0">
      <alignment horizontal="general" vertical="bottom"/>
    </xf>
    <xf numFmtId="0" fontId="12" fillId="0" borderId="2" applyAlignment="1" pivotButton="0" quotePrefix="0" xfId="0">
      <alignment horizontal="general" vertical="bottom"/>
    </xf>
    <xf numFmtId="0" fontId="0" fillId="0" borderId="1" applyAlignment="1" pivotButton="0" quotePrefix="0" xfId="0">
      <alignment horizontal="center" vertical="bottom"/>
    </xf>
    <xf numFmtId="0" fontId="6" fillId="0" borderId="2" applyAlignment="1" pivotButton="0" quotePrefix="0" xfId="0">
      <alignment horizontal="general" vertical="bottom"/>
    </xf>
    <xf numFmtId="0" fontId="9" fillId="0" borderId="2" applyAlignment="1" pivotButton="0" quotePrefix="0" xfId="0">
      <alignment horizontal="general" vertical="bottom"/>
    </xf>
    <xf numFmtId="0" fontId="11" fillId="0" borderId="2" applyAlignment="1" pivotButton="0" quotePrefix="0" xfId="0">
      <alignment horizontal="general" vertical="bottom" wrapText="1"/>
    </xf>
    <xf numFmtId="0" fontId="11" fillId="0" borderId="2" applyAlignment="1" pivotButton="0" quotePrefix="0" xfId="0">
      <alignment horizontal="general" vertical="bottom"/>
    </xf>
    <xf numFmtId="0" fontId="17" fillId="0" borderId="2" applyAlignment="1" pivotButton="0" quotePrefix="0" xfId="0">
      <alignment horizontal="general" vertical="bottom"/>
    </xf>
    <xf numFmtId="0" fontId="11" fillId="0" borderId="0" applyAlignment="1" pivotButton="0" quotePrefix="0" xfId="0">
      <alignment horizontal="general" vertical="bottom"/>
    </xf>
    <xf numFmtId="0" fontId="8" fillId="0" borderId="2" applyAlignment="1" pivotButton="0" quotePrefix="0" xfId="0">
      <alignment horizontal="left" vertical="bottom" wrapText="1"/>
    </xf>
    <xf numFmtId="0" fontId="6" fillId="0" borderId="1" applyAlignment="1" pivotButton="0" quotePrefix="0" xfId="0">
      <alignment horizontal="general" vertical="bottom"/>
    </xf>
    <xf numFmtId="0" fontId="5" fillId="2" borderId="1" applyAlignment="1" pivotButton="0" quotePrefix="0" xfId="0">
      <alignment horizontal="center" vertical="center"/>
    </xf>
    <xf numFmtId="0" fontId="7" fillId="0" borderId="2" applyAlignment="1" pivotButton="0" quotePrefix="0" xfId="0">
      <alignment horizontal="general" vertical="bottom"/>
    </xf>
    <xf numFmtId="0" fontId="6" fillId="0" borderId="1" applyAlignment="1" pivotButton="0" quotePrefix="0" xfId="0">
      <alignment horizontal="center" vertical="bottom"/>
    </xf>
    <xf numFmtId="0" fontId="8" fillId="0" borderId="1" applyAlignment="1" pivotButton="0" quotePrefix="0" xfId="0">
      <alignment horizontal="center" vertical="bottom"/>
    </xf>
    <xf numFmtId="0" fontId="9" fillId="0" borderId="1" applyAlignment="1" pivotButton="0" quotePrefix="0" xfId="0">
      <alignment horizontal="center" vertical="bottom"/>
    </xf>
    <xf numFmtId="0" fontId="11" fillId="0" borderId="1" applyAlignment="1" pivotButton="0" quotePrefix="0" xfId="0">
      <alignment horizontal="left" vertical="bottom" wrapText="1"/>
    </xf>
    <xf numFmtId="0" fontId="12" fillId="0" borderId="1" applyAlignment="1" pivotButton="0" quotePrefix="0" xfId="0">
      <alignment horizontal="center" vertical="bottom"/>
    </xf>
    <xf numFmtId="0" fontId="10" fillId="0" borderId="0" applyAlignment="1" pivotButton="0" quotePrefix="0" xfId="0">
      <alignment horizontal="center" vertical="bottom"/>
    </xf>
    <xf numFmtId="0" fontId="0" fillId="0" borderId="0" applyAlignment="1" pivotButton="0" quotePrefix="0" xfId="0">
      <alignment horizontal="center" vertical="bottom"/>
    </xf>
    <xf numFmtId="0" fontId="9" fillId="0" borderId="0" applyAlignment="1" pivotButton="0" quotePrefix="0" xfId="0">
      <alignment horizontal="center" vertical="bottom"/>
    </xf>
    <xf numFmtId="0" fontId="12" fillId="0" borderId="0" applyAlignment="1" pivotButton="0" quotePrefix="0" xfId="0">
      <alignment horizontal="center" vertical="bottom"/>
    </xf>
    <xf numFmtId="0" fontId="8" fillId="0" borderId="0" applyAlignment="1" pivotButton="0" quotePrefix="0" xfId="0">
      <alignment horizontal="center" vertical="bottom"/>
    </xf>
    <xf numFmtId="0" fontId="4" fillId="0" borderId="1" applyAlignment="1" pivotButton="0" quotePrefix="0" xfId="0">
      <alignment horizontal="general" vertical="bottom"/>
    </xf>
    <xf numFmtId="0" fontId="7" fillId="0" borderId="1" applyAlignment="1" pivotButton="0" quotePrefix="0" xfId="0">
      <alignment horizontal="general" vertical="bottom"/>
    </xf>
    <xf numFmtId="0" fontId="11" fillId="0" borderId="1" applyAlignment="1" pivotButton="0" quotePrefix="0" xfId="0">
      <alignment horizontal="general" vertical="bottom"/>
    </xf>
    <xf numFmtId="0" fontId="7" fillId="0" borderId="1" applyAlignment="1" pivotButton="0" quotePrefix="0" xfId="0">
      <alignment horizontal="center" vertical="bottom"/>
    </xf>
    <xf numFmtId="0" fontId="13" fillId="0" borderId="1" applyAlignment="1" pivotButton="0" quotePrefix="0" xfId="0">
      <alignment horizontal="general" vertical="bottom"/>
    </xf>
    <xf numFmtId="0" fontId="0" fillId="0" borderId="1" applyAlignment="1" pivotButton="0" quotePrefix="0" xfId="0">
      <alignment horizontal="left" vertical="bottom"/>
    </xf>
    <xf numFmtId="0" fontId="7" fillId="0" borderId="1" applyAlignment="1" pivotButton="0" quotePrefix="0" xfId="0">
      <alignment horizontal="left" vertical="bottom"/>
    </xf>
    <xf numFmtId="0" fontId="17" fillId="0" borderId="1" applyAlignment="1" pivotButton="0" quotePrefix="0" xfId="0">
      <alignment horizontal="center" vertical="bottom"/>
    </xf>
    <xf numFmtId="0" fontId="13" fillId="0" borderId="1" applyAlignment="1" pivotButton="0" quotePrefix="0" xfId="0">
      <alignment horizontal="center" vertical="bottom"/>
    </xf>
    <xf numFmtId="0" fontId="14" fillId="0" borderId="1" applyAlignment="1" pivotButton="0" quotePrefix="0" xfId="0">
      <alignment horizontal="general" vertical="bottom"/>
    </xf>
    <xf numFmtId="0" fontId="12" fillId="0" borderId="1" applyAlignment="1" pivotButton="0" quotePrefix="0" xfId="0">
      <alignment horizontal="left" vertical="bottom" wrapText="1"/>
    </xf>
    <xf numFmtId="0" fontId="12" fillId="0" borderId="1" applyAlignment="1" pivotButton="0" quotePrefix="0" xfId="0">
      <alignment horizontal="general" vertical="bottom"/>
    </xf>
    <xf numFmtId="0" fontId="8" fillId="0" borderId="1" applyAlignment="1" pivotButton="0" quotePrefix="0" xfId="0">
      <alignment horizontal="left" vertical="bottom" wrapText="1"/>
    </xf>
    <xf numFmtId="0" fontId="12" fillId="0" borderId="0" applyAlignment="1" pivotButton="0" quotePrefix="0" xfId="0">
      <alignment horizontal="general" vertical="bottom"/>
    </xf>
    <xf numFmtId="0" fontId="5" fillId="18" borderId="2" applyAlignment="1" pivotButton="0" quotePrefix="0" xfId="0">
      <alignment horizontal="center" vertical="center"/>
    </xf>
    <xf numFmtId="0" fontId="5" fillId="19" borderId="2" applyAlignment="1" pivotButton="0" quotePrefix="0" xfId="0">
      <alignment horizontal="center" vertical="center" wrapText="1"/>
    </xf>
    <xf numFmtId="0" fontId="18" fillId="0" borderId="2" applyAlignment="1" pivotButton="0" quotePrefix="0" xfId="0">
      <alignment horizontal="center" vertical="center" wrapText="1"/>
    </xf>
    <xf numFmtId="0" fontId="17" fillId="0" borderId="2" applyAlignment="1" pivotButton="0" quotePrefix="0" xfId="0">
      <alignment horizontal="center" vertical="center" wrapText="1"/>
    </xf>
    <xf numFmtId="0" fontId="19" fillId="0" borderId="0" applyAlignment="1" pivotButton="0" quotePrefix="0" xfId="0">
      <alignment horizontal="general" vertical="bottom"/>
    </xf>
    <xf numFmtId="0" fontId="20" fillId="0" borderId="2" applyAlignment="1" pivotButton="0" quotePrefix="0" xfId="0">
      <alignment horizontal="center" vertical="center" wrapText="1"/>
    </xf>
    <xf numFmtId="0" fontId="20" fillId="0" borderId="2" applyAlignment="1" pivotButton="0" quotePrefix="0" xfId="0">
      <alignment horizontal="left" vertical="center" wrapText="1"/>
    </xf>
    <xf numFmtId="0" fontId="13" fillId="0" borderId="2" applyAlignment="1" pivotButton="0" quotePrefix="0" xfId="0">
      <alignment horizontal="left" vertical="center" wrapText="1"/>
    </xf>
    <xf numFmtId="0" fontId="10" fillId="0" borderId="1" applyAlignment="1" pivotButton="0" quotePrefix="0" xfId="0">
      <alignment horizontal="general" vertical="bottom"/>
    </xf>
    <xf numFmtId="0" fontId="0" fillId="4" borderId="1" applyAlignment="1" pivotButton="0" quotePrefix="0" xfId="0">
      <alignment horizontal="general" vertical="bottom"/>
    </xf>
    <xf numFmtId="0" fontId="0" fillId="4" borderId="0" applyAlignment="1" pivotButton="0" quotePrefix="0" xfId="0">
      <alignment horizontal="general" vertical="bottom"/>
    </xf>
    <xf numFmtId="0" fontId="0" fillId="5" borderId="1" applyAlignment="1" pivotButton="0" quotePrefix="0" xfId="0">
      <alignment horizontal="general" vertical="bottom"/>
    </xf>
    <xf numFmtId="0" fontId="0" fillId="5" borderId="0" applyAlignment="1" pivotButton="0" quotePrefix="0" xfId="0">
      <alignment horizontal="general" vertical="bottom"/>
    </xf>
    <xf numFmtId="0" fontId="0" fillId="6" borderId="1" applyAlignment="1" pivotButton="0" quotePrefix="0" xfId="0">
      <alignment horizontal="general" vertical="bottom"/>
    </xf>
    <xf numFmtId="0" fontId="0" fillId="6" borderId="0" applyAlignment="1" pivotButton="0" quotePrefix="0" xfId="0">
      <alignment horizontal="general" vertical="bottom"/>
    </xf>
    <xf numFmtId="0" fontId="0" fillId="7" borderId="1" applyAlignment="1" pivotButton="0" quotePrefix="0" xfId="0">
      <alignment horizontal="general" vertical="bottom"/>
    </xf>
    <xf numFmtId="0" fontId="0" fillId="7" borderId="0" applyAlignment="1" pivotButton="0" quotePrefix="0" xfId="0">
      <alignment horizontal="general" vertical="bottom"/>
    </xf>
    <xf numFmtId="0" fontId="0" fillId="8" borderId="1" applyAlignment="1" pivotButton="0" quotePrefix="0" xfId="0">
      <alignment horizontal="general" vertical="bottom"/>
    </xf>
    <xf numFmtId="0" fontId="0" fillId="8" borderId="0" applyAlignment="1" pivotButton="0" quotePrefix="0" xfId="0">
      <alignment horizontal="general" vertical="bottom"/>
    </xf>
    <xf numFmtId="0" fontId="0" fillId="9" borderId="1" applyAlignment="1" pivotButton="0" quotePrefix="0" xfId="0">
      <alignment horizontal="general" vertical="bottom"/>
    </xf>
    <xf numFmtId="0" fontId="0" fillId="9" borderId="0" applyAlignment="1" pivotButton="0" quotePrefix="0" xfId="0">
      <alignment horizontal="general" vertical="bottom"/>
    </xf>
    <xf numFmtId="0" fontId="0" fillId="10" borderId="1" applyAlignment="1" pivotButton="0" quotePrefix="0" xfId="0">
      <alignment horizontal="general" vertical="bottom"/>
    </xf>
    <xf numFmtId="0" fontId="0" fillId="10" borderId="0" applyAlignment="1" pivotButton="0" quotePrefix="0" xfId="0">
      <alignment horizontal="general" vertical="bottom"/>
    </xf>
    <xf numFmtId="0" fontId="0" fillId="11" borderId="1" applyAlignment="1" pivotButton="0" quotePrefix="0" xfId="0">
      <alignment horizontal="general" vertical="bottom"/>
    </xf>
    <xf numFmtId="0" fontId="0" fillId="11" borderId="0" applyAlignment="1" pivotButton="0" quotePrefix="0" xfId="0">
      <alignment horizontal="general" vertical="bottom"/>
    </xf>
    <xf numFmtId="0" fontId="0" fillId="12" borderId="1" applyAlignment="1" pivotButton="0" quotePrefix="0" xfId="0">
      <alignment horizontal="general" vertical="bottom"/>
    </xf>
    <xf numFmtId="0" fontId="0" fillId="12" borderId="0" applyAlignment="1" pivotButton="0" quotePrefix="0" xfId="0">
      <alignment horizontal="general" vertical="bottom"/>
    </xf>
    <xf numFmtId="0" fontId="0" fillId="13" borderId="1" applyAlignment="1" pivotButton="0" quotePrefix="0" xfId="0">
      <alignment horizontal="general" vertical="bottom"/>
    </xf>
    <xf numFmtId="0" fontId="0" fillId="13" borderId="0" applyAlignment="1" pivotButton="0" quotePrefix="0" xfId="0">
      <alignment horizontal="general" vertical="bottom"/>
    </xf>
    <xf numFmtId="0" fontId="0" fillId="14" borderId="1" applyAlignment="1" pivotButton="0" quotePrefix="0" xfId="0">
      <alignment horizontal="general" vertical="bottom"/>
    </xf>
    <xf numFmtId="0" fontId="0" fillId="14" borderId="0" applyAlignment="1" pivotButton="0" quotePrefix="0" xfId="0">
      <alignment horizontal="general" vertical="bottom"/>
    </xf>
    <xf numFmtId="0" fontId="0" fillId="15" borderId="1" applyAlignment="1" pivotButton="0" quotePrefix="0" xfId="0">
      <alignment horizontal="general" vertical="bottom"/>
    </xf>
    <xf numFmtId="0" fontId="0" fillId="15" borderId="0" applyAlignment="1" pivotButton="0" quotePrefix="0" xfId="0">
      <alignment horizontal="general" vertical="bottom"/>
    </xf>
    <xf numFmtId="0" fontId="0" fillId="16" borderId="1" applyAlignment="1" pivotButton="0" quotePrefix="0" xfId="0">
      <alignment horizontal="general" vertical="bottom"/>
    </xf>
    <xf numFmtId="0" fontId="0" fillId="16" borderId="0" applyAlignment="1" pivotButton="0" quotePrefix="0" xfId="0">
      <alignment horizontal="general" vertical="bottom"/>
    </xf>
    <xf numFmtId="0" fontId="0" fillId="17" borderId="1" applyAlignment="1" pivotButton="0" quotePrefix="0" xfId="0">
      <alignment horizontal="general" vertical="bottom"/>
    </xf>
    <xf numFmtId="0" fontId="0" fillId="17" borderId="0" applyAlignment="1" pivotButton="0" quotePrefix="0" xfId="0">
      <alignment horizontal="general" vertical="bottom"/>
    </xf>
    <xf numFmtId="49" fontId="0" fillId="0" borderId="1" applyAlignment="1" pivotButton="0" quotePrefix="0" xfId="0">
      <alignment horizontal="general" vertical="bottom"/>
    </xf>
    <xf numFmtId="0" fontId="21" fillId="0" borderId="0" applyAlignment="1" pivotButton="0" quotePrefix="0" xfId="0">
      <alignment horizontal="general" vertical="bottom"/>
    </xf>
    <xf numFmtId="0" fontId="5" fillId="2"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0" applyAlignment="1" pivotButton="0" quotePrefix="0" xfId="0">
      <alignment horizontal="center" vertical="center"/>
    </xf>
    <xf numFmtId="0" fontId="0" fillId="0" borderId="1" applyAlignment="1" pivotButton="0" quotePrefix="0" xfId="0">
      <alignment horizontal="general" vertical="bottom"/>
    </xf>
    <xf numFmtId="0" fontId="6" fillId="0" borderId="0" applyAlignment="1" pivotButton="0" quotePrefix="0" xfId="0">
      <alignment horizontal="general" vertical="bottom"/>
    </xf>
    <xf numFmtId="0" fontId="0" fillId="3" borderId="0" applyAlignment="1" pivotButton="0" quotePrefix="0" xfId="0">
      <alignment horizontal="general" vertical="bottom"/>
    </xf>
    <xf numFmtId="0" fontId="0" fillId="2" borderId="0" applyAlignment="1" pivotButton="0" quotePrefix="0" xfId="0">
      <alignment horizontal="general" vertical="bottom"/>
    </xf>
    <xf numFmtId="0" fontId="7" fillId="0" borderId="0" applyAlignment="1" pivotButton="0" quotePrefix="0" xfId="0">
      <alignment horizontal="general" vertical="bottom"/>
    </xf>
    <xf numFmtId="0" fontId="5" fillId="2" borderId="2" applyAlignment="1" pivotButton="0" quotePrefix="0" xfId="0">
      <alignment horizontal="center" vertical="center"/>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8" fillId="0" borderId="2" applyAlignment="1" pivotButton="0" quotePrefix="0" xfId="0">
      <alignment horizontal="center" vertical="bottom"/>
    </xf>
    <xf numFmtId="0" fontId="7" fillId="0" borderId="0" applyAlignment="1" pivotButton="0" quotePrefix="0" xfId="0">
      <alignment horizontal="center" vertical="bottom"/>
    </xf>
    <xf numFmtId="0" fontId="11" fillId="0" borderId="0" applyAlignment="1" pivotButton="0" quotePrefix="0" xfId="0">
      <alignment horizontal="center" vertical="bottom"/>
    </xf>
    <xf numFmtId="0" fontId="9" fillId="0" borderId="2" applyAlignment="1" pivotButton="0" quotePrefix="0" xfId="0">
      <alignment horizontal="center" vertical="bottom"/>
    </xf>
    <xf numFmtId="0" fontId="5" fillId="2" borderId="2" applyAlignment="1" pivotButton="0" quotePrefix="0" xfId="0">
      <alignment horizontal="center" vertical="center" wrapText="1"/>
    </xf>
    <xf numFmtId="0" fontId="6" fillId="0" borderId="2" applyAlignment="1" pivotButton="0" quotePrefix="0" xfId="0">
      <alignment horizontal="center" vertical="bottom"/>
    </xf>
    <xf numFmtId="0" fontId="8" fillId="4" borderId="2" applyAlignment="1" pivotButton="0" quotePrefix="0" xfId="0">
      <alignment horizontal="center" vertical="bottom"/>
    </xf>
    <xf numFmtId="0" fontId="12" fillId="0" borderId="2" applyAlignment="1" pivotButton="0" quotePrefix="0" xfId="0">
      <alignment horizontal="center" vertical="bottom"/>
    </xf>
    <xf numFmtId="0" fontId="11" fillId="0" borderId="2" applyAlignment="1" pivotButton="0" quotePrefix="0" xfId="0">
      <alignment horizontal="left" vertical="bottom" wrapText="1"/>
    </xf>
    <xf numFmtId="0" fontId="13" fillId="0" borderId="2" applyAlignment="1" pivotButton="0" quotePrefix="0" xfId="0">
      <alignment horizontal="general" vertical="bottom"/>
    </xf>
    <xf numFmtId="0" fontId="14" fillId="0" borderId="2" applyAlignment="1" pivotButton="0" quotePrefix="0" xfId="0">
      <alignment horizontal="general" vertical="bottom"/>
    </xf>
    <xf numFmtId="0" fontId="8" fillId="5" borderId="2" applyAlignment="1" pivotButton="0" quotePrefix="0" xfId="0">
      <alignment horizontal="center" vertical="bottom"/>
    </xf>
    <xf numFmtId="0" fontId="8" fillId="6" borderId="2" applyAlignment="1" pivotButton="0" quotePrefix="0" xfId="0">
      <alignment horizontal="center" vertical="bottom"/>
    </xf>
    <xf numFmtId="0" fontId="8" fillId="7" borderId="2" applyAlignment="1" pivotButton="0" quotePrefix="0" xfId="0">
      <alignment horizontal="center" vertical="bottom"/>
    </xf>
    <xf numFmtId="0" fontId="8" fillId="8" borderId="2" applyAlignment="1" pivotButton="0" quotePrefix="0" xfId="0">
      <alignment horizontal="center" vertical="bottom"/>
    </xf>
    <xf numFmtId="0" fontId="8" fillId="9" borderId="2" applyAlignment="1" pivotButton="0" quotePrefix="0" xfId="0">
      <alignment horizontal="center" vertical="bottom"/>
    </xf>
    <xf numFmtId="0" fontId="8" fillId="10" borderId="2" applyAlignment="1" pivotButton="0" quotePrefix="0" xfId="0">
      <alignment horizontal="center" vertical="bottom"/>
    </xf>
    <xf numFmtId="0" fontId="15" fillId="11" borderId="2" applyAlignment="1" pivotButton="0" quotePrefix="0" xfId="0">
      <alignment horizontal="center" vertical="bottom"/>
    </xf>
    <xf numFmtId="0" fontId="8" fillId="12" borderId="2" applyAlignment="1" pivotButton="0" quotePrefix="0" xfId="0">
      <alignment horizontal="center" vertical="bottom"/>
    </xf>
    <xf numFmtId="0" fontId="15" fillId="13" borderId="2" applyAlignment="1" pivotButton="0" quotePrefix="0" xfId="0">
      <alignment horizontal="center" vertical="bottom"/>
    </xf>
    <xf numFmtId="0" fontId="15" fillId="14" borderId="2" applyAlignment="1" pivotButton="0" quotePrefix="0" xfId="0">
      <alignment horizontal="center" vertical="bottom"/>
    </xf>
    <xf numFmtId="0" fontId="8" fillId="15" borderId="2" applyAlignment="1" pivotButton="0" quotePrefix="0" xfId="0">
      <alignment horizontal="center" vertical="bottom"/>
    </xf>
    <xf numFmtId="0" fontId="15" fillId="16" borderId="2" applyAlignment="1" pivotButton="0" quotePrefix="0" xfId="0">
      <alignment horizontal="center" vertical="bottom"/>
    </xf>
    <xf numFmtId="0" fontId="8" fillId="17" borderId="2" applyAlignment="1" pivotButton="0" quotePrefix="0" xfId="0">
      <alignment horizontal="center" vertical="bottom"/>
    </xf>
    <xf numFmtId="0" fontId="16" fillId="0" borderId="0" applyAlignment="1" pivotButton="0" quotePrefix="0" xfId="0">
      <alignment horizontal="general" vertical="bottom"/>
    </xf>
    <xf numFmtId="0" fontId="8" fillId="0" borderId="2" applyAlignment="1" pivotButton="0" quotePrefix="0" xfId="0">
      <alignment horizontal="general" vertical="bottom"/>
    </xf>
    <xf numFmtId="0" fontId="12" fillId="0" borderId="2" applyAlignment="1" pivotButton="0" quotePrefix="0" xfId="0">
      <alignment horizontal="general" vertical="bottom"/>
    </xf>
    <xf numFmtId="0" fontId="0" fillId="0" borderId="1" applyAlignment="1" pivotButton="0" quotePrefix="0" xfId="0">
      <alignment horizontal="center" vertical="bottom"/>
    </xf>
    <xf numFmtId="0" fontId="6" fillId="0" borderId="2" applyAlignment="1" pivotButton="0" quotePrefix="0" xfId="0">
      <alignment horizontal="general" vertical="bottom"/>
    </xf>
    <xf numFmtId="0" fontId="9" fillId="0" borderId="2" applyAlignment="1" pivotButton="0" quotePrefix="0" xfId="0">
      <alignment horizontal="general" vertical="bottom"/>
    </xf>
    <xf numFmtId="0" fontId="11" fillId="0" borderId="2" applyAlignment="1" pivotButton="0" quotePrefix="0" xfId="0">
      <alignment horizontal="general" vertical="bottom" wrapText="1"/>
    </xf>
    <xf numFmtId="0" fontId="11" fillId="0" borderId="2" applyAlignment="1" pivotButton="0" quotePrefix="0" xfId="0">
      <alignment horizontal="general" vertical="bottom"/>
    </xf>
    <xf numFmtId="0" fontId="17" fillId="0" borderId="2" applyAlignment="1" pivotButton="0" quotePrefix="0" xfId="0">
      <alignment horizontal="general" vertical="bottom"/>
    </xf>
    <xf numFmtId="0" fontId="0" fillId="0" borderId="6" pivotButton="0" quotePrefix="0" xfId="0"/>
    <xf numFmtId="0" fontId="11" fillId="0" borderId="0" applyAlignment="1" pivotButton="0" quotePrefix="0" xfId="0">
      <alignment horizontal="general" vertical="bottom"/>
    </xf>
    <xf numFmtId="0" fontId="8" fillId="0" borderId="2" applyAlignment="1" pivotButton="0" quotePrefix="0" xfId="0">
      <alignment horizontal="left" vertical="bottom" wrapText="1"/>
    </xf>
    <xf numFmtId="0" fontId="6" fillId="0" borderId="1" applyAlignment="1" pivotButton="0" quotePrefix="0" xfId="0">
      <alignment horizontal="general" vertical="bottom"/>
    </xf>
    <xf numFmtId="0" fontId="5" fillId="2" borderId="1" applyAlignment="1" pivotButton="0" quotePrefix="0" xfId="0">
      <alignment horizontal="center" vertical="center"/>
    </xf>
    <xf numFmtId="0" fontId="7" fillId="0" borderId="2" applyAlignment="1" pivotButton="0" quotePrefix="0" xfId="0">
      <alignment horizontal="general" vertical="bottom"/>
    </xf>
    <xf numFmtId="0" fontId="6" fillId="0" borderId="1" applyAlignment="1" pivotButton="0" quotePrefix="0" xfId="0">
      <alignment horizontal="center" vertical="bottom"/>
    </xf>
    <xf numFmtId="0" fontId="8" fillId="0" borderId="1" applyAlignment="1" pivotButton="0" quotePrefix="0" xfId="0">
      <alignment horizontal="center" vertical="bottom"/>
    </xf>
    <xf numFmtId="0" fontId="9" fillId="0" borderId="1" applyAlignment="1" pivotButton="0" quotePrefix="0" xfId="0">
      <alignment horizontal="center" vertical="bottom"/>
    </xf>
    <xf numFmtId="0" fontId="11" fillId="0" borderId="1" applyAlignment="1" pivotButton="0" quotePrefix="0" xfId="0">
      <alignment horizontal="left" vertical="bottom" wrapText="1"/>
    </xf>
    <xf numFmtId="0" fontId="12" fillId="0" borderId="1" applyAlignment="1" pivotButton="0" quotePrefix="0" xfId="0">
      <alignment horizontal="center" vertical="bottom"/>
    </xf>
    <xf numFmtId="0" fontId="10" fillId="0" borderId="0" applyAlignment="1" pivotButton="0" quotePrefix="0" xfId="0">
      <alignment horizontal="center" vertical="bottom"/>
    </xf>
    <xf numFmtId="0" fontId="0" fillId="0" borderId="0" applyAlignment="1" pivotButton="0" quotePrefix="0" xfId="0">
      <alignment horizontal="center" vertical="bottom"/>
    </xf>
    <xf numFmtId="0" fontId="9" fillId="0" borderId="0" applyAlignment="1" pivotButton="0" quotePrefix="0" xfId="0">
      <alignment horizontal="center" vertical="bottom"/>
    </xf>
    <xf numFmtId="0" fontId="12" fillId="0" borderId="0" applyAlignment="1" pivotButton="0" quotePrefix="0" xfId="0">
      <alignment horizontal="center" vertical="bottom"/>
    </xf>
    <xf numFmtId="0" fontId="8" fillId="0" borderId="0" applyAlignment="1" pivotButton="0" quotePrefix="0" xfId="0">
      <alignment horizontal="center" vertical="bottom"/>
    </xf>
    <xf numFmtId="0" fontId="4" fillId="0" borderId="1" applyAlignment="1" pivotButton="0" quotePrefix="0" xfId="0">
      <alignment horizontal="general" vertical="bottom"/>
    </xf>
    <xf numFmtId="0" fontId="7" fillId="0" borderId="1" applyAlignment="1" pivotButton="0" quotePrefix="0" xfId="0">
      <alignment horizontal="general" vertical="bottom"/>
    </xf>
    <xf numFmtId="0" fontId="11" fillId="0" borderId="1" applyAlignment="1" pivotButton="0" quotePrefix="0" xfId="0">
      <alignment horizontal="general" vertical="bottom"/>
    </xf>
    <xf numFmtId="0" fontId="7" fillId="0" borderId="1" applyAlignment="1" pivotButton="0" quotePrefix="0" xfId="0">
      <alignment horizontal="center" vertical="bottom"/>
    </xf>
    <xf numFmtId="0" fontId="13" fillId="0" borderId="1" applyAlignment="1" pivotButton="0" quotePrefix="0" xfId="0">
      <alignment horizontal="general" vertical="bottom"/>
    </xf>
    <xf numFmtId="0" fontId="0" fillId="0" borderId="1" applyAlignment="1" pivotButton="0" quotePrefix="0" xfId="0">
      <alignment horizontal="left" vertical="bottom"/>
    </xf>
    <xf numFmtId="0" fontId="7" fillId="0" borderId="1" applyAlignment="1" pivotButton="0" quotePrefix="0" xfId="0">
      <alignment horizontal="left" vertical="bottom"/>
    </xf>
    <xf numFmtId="0" fontId="17" fillId="0" borderId="1" applyAlignment="1" pivotButton="0" quotePrefix="0" xfId="0">
      <alignment horizontal="center" vertical="bottom"/>
    </xf>
    <xf numFmtId="0" fontId="13" fillId="0" borderId="1" applyAlignment="1" pivotButton="0" quotePrefix="0" xfId="0">
      <alignment horizontal="center" vertical="bottom"/>
    </xf>
    <xf numFmtId="0" fontId="14" fillId="0" borderId="1" applyAlignment="1" pivotButton="0" quotePrefix="0" xfId="0">
      <alignment horizontal="general" vertical="bottom"/>
    </xf>
    <xf numFmtId="0" fontId="12" fillId="0" borderId="1" applyAlignment="1" pivotButton="0" quotePrefix="0" xfId="0">
      <alignment horizontal="left" vertical="bottom" wrapText="1"/>
    </xf>
    <xf numFmtId="0" fontId="12" fillId="0" borderId="1" applyAlignment="1" pivotButton="0" quotePrefix="0" xfId="0">
      <alignment horizontal="general" vertical="bottom"/>
    </xf>
    <xf numFmtId="0" fontId="8" fillId="0" borderId="1" applyAlignment="1" pivotButton="0" quotePrefix="0" xfId="0">
      <alignment horizontal="left" vertical="bottom" wrapText="1"/>
    </xf>
    <xf numFmtId="0" fontId="12" fillId="0" borderId="0" applyAlignment="1" pivotButton="0" quotePrefix="0" xfId="0">
      <alignment horizontal="general" vertical="bottom"/>
    </xf>
    <xf numFmtId="0" fontId="5" fillId="18" borderId="2" applyAlignment="1" pivotButton="0" quotePrefix="0" xfId="0">
      <alignment horizontal="center" vertical="center"/>
    </xf>
    <xf numFmtId="0" fontId="5" fillId="19" borderId="2" applyAlignment="1" pivotButton="0" quotePrefix="0" xfId="0">
      <alignment horizontal="center" vertical="center" wrapText="1"/>
    </xf>
    <xf numFmtId="0" fontId="18" fillId="0" borderId="2" applyAlignment="1" pivotButton="0" quotePrefix="0" xfId="0">
      <alignment horizontal="center" vertical="center" wrapText="1"/>
    </xf>
    <xf numFmtId="0" fontId="17" fillId="0" borderId="2" applyAlignment="1" pivotButton="0" quotePrefix="0" xfId="0">
      <alignment horizontal="center" vertical="center" wrapText="1"/>
    </xf>
    <xf numFmtId="0" fontId="0" fillId="0" borderId="4" pivotButton="0" quotePrefix="0" xfId="0"/>
    <xf numFmtId="0" fontId="0" fillId="0" borderId="5" pivotButton="0" quotePrefix="0" xfId="0"/>
    <xf numFmtId="0" fontId="19" fillId="0" borderId="0" applyAlignment="1" pivotButton="0" quotePrefix="0" xfId="0">
      <alignment horizontal="general" vertical="bottom"/>
    </xf>
    <xf numFmtId="0" fontId="20" fillId="0" borderId="2" applyAlignment="1" pivotButton="0" quotePrefix="0" xfId="0">
      <alignment horizontal="center" vertical="center" wrapText="1"/>
    </xf>
    <xf numFmtId="0" fontId="20" fillId="0" borderId="2" applyAlignment="1" pivotButton="0" quotePrefix="0" xfId="0">
      <alignment horizontal="left" vertical="center" wrapText="1"/>
    </xf>
    <xf numFmtId="0" fontId="13" fillId="0" borderId="2" applyAlignment="1" pivotButton="0" quotePrefix="0" xfId="0">
      <alignment horizontal="left" vertical="center" wrapText="1"/>
    </xf>
    <xf numFmtId="0" fontId="10" fillId="0" borderId="1" applyAlignment="1" pivotButton="0" quotePrefix="0" xfId="0">
      <alignment horizontal="general" vertical="bottom"/>
    </xf>
    <xf numFmtId="0" fontId="0" fillId="4" borderId="1" applyAlignment="1" pivotButton="0" quotePrefix="0" xfId="0">
      <alignment horizontal="general" vertical="bottom"/>
    </xf>
    <xf numFmtId="0" fontId="0" fillId="4" borderId="0" applyAlignment="1" pivotButton="0" quotePrefix="0" xfId="0">
      <alignment horizontal="general" vertical="bottom"/>
    </xf>
    <xf numFmtId="0" fontId="0" fillId="5" borderId="1" applyAlignment="1" pivotButton="0" quotePrefix="0" xfId="0">
      <alignment horizontal="general" vertical="bottom"/>
    </xf>
    <xf numFmtId="0" fontId="0" fillId="5" borderId="0" applyAlignment="1" pivotButton="0" quotePrefix="0" xfId="0">
      <alignment horizontal="general" vertical="bottom"/>
    </xf>
    <xf numFmtId="0" fontId="0" fillId="6" borderId="1" applyAlignment="1" pivotButton="0" quotePrefix="0" xfId="0">
      <alignment horizontal="general" vertical="bottom"/>
    </xf>
    <xf numFmtId="0" fontId="0" fillId="6" borderId="0" applyAlignment="1" pivotButton="0" quotePrefix="0" xfId="0">
      <alignment horizontal="general" vertical="bottom"/>
    </xf>
    <xf numFmtId="0" fontId="0" fillId="7" borderId="1" applyAlignment="1" pivotButton="0" quotePrefix="0" xfId="0">
      <alignment horizontal="general" vertical="bottom"/>
    </xf>
    <xf numFmtId="0" fontId="0" fillId="7" borderId="0" applyAlignment="1" pivotButton="0" quotePrefix="0" xfId="0">
      <alignment horizontal="general" vertical="bottom"/>
    </xf>
    <xf numFmtId="0" fontId="0" fillId="8" borderId="1" applyAlignment="1" pivotButton="0" quotePrefix="0" xfId="0">
      <alignment horizontal="general" vertical="bottom"/>
    </xf>
    <xf numFmtId="0" fontId="0" fillId="8" borderId="0" applyAlignment="1" pivotButton="0" quotePrefix="0" xfId="0">
      <alignment horizontal="general" vertical="bottom"/>
    </xf>
    <xf numFmtId="0" fontId="0" fillId="9" borderId="1" applyAlignment="1" pivotButton="0" quotePrefix="0" xfId="0">
      <alignment horizontal="general" vertical="bottom"/>
    </xf>
    <xf numFmtId="0" fontId="0" fillId="9" borderId="0" applyAlignment="1" pivotButton="0" quotePrefix="0" xfId="0">
      <alignment horizontal="general" vertical="bottom"/>
    </xf>
    <xf numFmtId="0" fontId="0" fillId="10" borderId="1" applyAlignment="1" pivotButton="0" quotePrefix="0" xfId="0">
      <alignment horizontal="general" vertical="bottom"/>
    </xf>
    <xf numFmtId="0" fontId="0" fillId="10" borderId="0" applyAlignment="1" pivotButton="0" quotePrefix="0" xfId="0">
      <alignment horizontal="general" vertical="bottom"/>
    </xf>
    <xf numFmtId="0" fontId="0" fillId="11" borderId="1" applyAlignment="1" pivotButton="0" quotePrefix="0" xfId="0">
      <alignment horizontal="general" vertical="bottom"/>
    </xf>
    <xf numFmtId="0" fontId="0" fillId="11" borderId="0" applyAlignment="1" pivotButton="0" quotePrefix="0" xfId="0">
      <alignment horizontal="general" vertical="bottom"/>
    </xf>
    <xf numFmtId="0" fontId="0" fillId="12" borderId="1" applyAlignment="1" pivotButton="0" quotePrefix="0" xfId="0">
      <alignment horizontal="general" vertical="bottom"/>
    </xf>
    <xf numFmtId="0" fontId="0" fillId="12" borderId="0" applyAlignment="1" pivotButton="0" quotePrefix="0" xfId="0">
      <alignment horizontal="general" vertical="bottom"/>
    </xf>
    <xf numFmtId="0" fontId="0" fillId="13" borderId="1" applyAlignment="1" pivotButton="0" quotePrefix="0" xfId="0">
      <alignment horizontal="general" vertical="bottom"/>
    </xf>
    <xf numFmtId="0" fontId="0" fillId="13" borderId="0" applyAlignment="1" pivotButton="0" quotePrefix="0" xfId="0">
      <alignment horizontal="general" vertical="bottom"/>
    </xf>
    <xf numFmtId="0" fontId="0" fillId="14" borderId="1" applyAlignment="1" pivotButton="0" quotePrefix="0" xfId="0">
      <alignment horizontal="general" vertical="bottom"/>
    </xf>
    <xf numFmtId="0" fontId="0" fillId="14" borderId="0" applyAlignment="1" pivotButton="0" quotePrefix="0" xfId="0">
      <alignment horizontal="general" vertical="bottom"/>
    </xf>
    <xf numFmtId="0" fontId="0" fillId="15" borderId="1" applyAlignment="1" pivotButton="0" quotePrefix="0" xfId="0">
      <alignment horizontal="general" vertical="bottom"/>
    </xf>
    <xf numFmtId="0" fontId="0" fillId="15" borderId="0" applyAlignment="1" pivotButton="0" quotePrefix="0" xfId="0">
      <alignment horizontal="general" vertical="bottom"/>
    </xf>
    <xf numFmtId="0" fontId="0" fillId="16" borderId="1" applyAlignment="1" pivotButton="0" quotePrefix="0" xfId="0">
      <alignment horizontal="general" vertical="bottom"/>
    </xf>
    <xf numFmtId="0" fontId="0" fillId="16" borderId="0" applyAlignment="1" pivotButton="0" quotePrefix="0" xfId="0">
      <alignment horizontal="general" vertical="bottom"/>
    </xf>
    <xf numFmtId="0" fontId="0" fillId="17" borderId="1" applyAlignment="1" pivotButton="0" quotePrefix="0" xfId="0">
      <alignment horizontal="general" vertical="bottom"/>
    </xf>
    <xf numFmtId="0" fontId="0" fillId="17" borderId="0" applyAlignment="1" pivotButton="0" quotePrefix="0" xfId="0">
      <alignment horizontal="general" vertical="bottom"/>
    </xf>
    <xf numFmtId="49" fontId="0" fillId="0" borderId="1" applyAlignment="1" pivotButton="0" quotePrefix="0" xfId="0">
      <alignment horizontal="general" vertical="bottom"/>
    </xf>
    <xf numFmtId="0" fontId="21" fillId="0" borderId="0" applyAlignment="1" pivotButton="0" quotePrefix="0" xfId="0">
      <alignment horizontal="general" vertical="bottom"/>
    </xf>
    <xf numFmtId="0" fontId="5" fillId="2" borderId="0" applyAlignment="1" pivotButton="0" quotePrefix="0" xfId="0">
      <alignment horizontal="general" vertical="bottom"/>
    </xf>
    <xf numFmtId="0" fontId="8" fillId="0" borderId="6" applyAlignment="1" pivotButton="0" quotePrefix="0" xfId="0">
      <alignment horizontal="general" vertical="bottom"/>
    </xf>
    <xf numFmtId="0" fontId="6" fillId="0" borderId="6" applyAlignment="1" pivotButton="0" quotePrefix="0" xfId="0">
      <alignment horizontal="general" vertical="bottom"/>
    </xf>
    <xf numFmtId="0" fontId="9" fillId="0" borderId="6" applyAlignment="1" pivotButton="0" quotePrefix="0" xfId="0">
      <alignment horizontal="general" vertical="bottom"/>
    </xf>
    <xf numFmtId="0" fontId="12" fillId="0" borderId="6" applyAlignment="1" pivotButton="0" quotePrefix="0" xfId="0">
      <alignment horizontal="general" vertical="bottom"/>
    </xf>
    <xf numFmtId="0" fontId="11" fillId="0" borderId="6" applyAlignment="1" pivotButton="0" quotePrefix="0" xfId="0">
      <alignment horizontal="general" vertical="bottom" wrapText="1"/>
    </xf>
    <xf numFmtId="0" fontId="11" fillId="0" borderId="6" applyAlignment="1" pivotButton="0" quotePrefix="0" xfId="0">
      <alignment horizontal="general" vertical="bottom"/>
    </xf>
    <xf numFmtId="0" fontId="17" fillId="0" borderId="6" applyAlignment="1" pivotButton="0" quotePrefix="0" xfId="0">
      <alignment horizontal="general" vertical="bottom"/>
    </xf>
    <xf numFmtId="0" fontId="13" fillId="0" borderId="6" applyAlignment="1" pivotButton="0" quotePrefix="0" xfId="0">
      <alignment horizontal="general" vertical="bottom"/>
    </xf>
    <xf numFmtId="0" fontId="0" fillId="0" borderId="6" applyAlignment="1" pivotButton="0" quotePrefix="0" xfId="0">
      <alignment horizontal="general" vertical="bottom"/>
    </xf>
    <xf numFmtId="0" fontId="0" fillId="0" borderId="7" pivotButton="0" quotePrefix="0" xfId="0"/>
    <xf numFmtId="0" fontId="0" fillId="0" borderId="7" applyAlignment="1" pivotButton="0" quotePrefix="0" xfId="0">
      <alignment horizontal="general" vertical="bottom"/>
    </xf>
    <xf numFmtId="0" fontId="22" fillId="0" borderId="0" pivotButton="0" quotePrefix="0" xfId="0"/>
    <xf numFmtId="0" fontId="23" fillId="20" borderId="0" pivotButton="0" quotePrefix="0" xfId="0"/>
    <xf numFmtId="0" fontId="24" fillId="0" borderId="0" pivotButton="0" quotePrefix="0" xfId="0"/>
    <xf numFmtId="0" fontId="8" fillId="0" borderId="6" applyAlignment="1" pivotButton="0" quotePrefix="0" xfId="0">
      <alignment horizontal="center" vertical="bottom"/>
    </xf>
    <xf numFmtId="0" fontId="6" fillId="0" borderId="6" applyAlignment="1" pivotButton="0" quotePrefix="0" xfId="0">
      <alignment horizontal="center" vertical="bottom"/>
    </xf>
    <xf numFmtId="0" fontId="12" fillId="0" borderId="6" applyAlignment="1" pivotButton="0" quotePrefix="0" xfId="0">
      <alignment horizontal="center" vertical="bottom"/>
    </xf>
    <xf numFmtId="0" fontId="11" fillId="0" borderId="6" applyAlignment="1" pivotButton="0" quotePrefix="0" xfId="0">
      <alignment horizontal="left" vertical="bottom" wrapText="1"/>
    </xf>
    <xf numFmtId="0" fontId="8" fillId="0" borderId="6" applyAlignment="1" pivotButton="0" quotePrefix="0" xfId="0">
      <alignment horizontal="left" vertical="bottom" wrapText="1"/>
    </xf>
    <xf numFmtId="0" fontId="5" fillId="2" borderId="6" applyAlignment="1" pivotButton="0" quotePrefix="0" xfId="0">
      <alignment horizontal="center" vertical="center"/>
    </xf>
    <xf numFmtId="0" fontId="5" fillId="2" borderId="7" applyAlignment="1" pivotButton="0" quotePrefix="0" xfId="0">
      <alignment horizontal="center" vertical="center"/>
    </xf>
    <xf numFmtId="0" fontId="23" fillId="20" borderId="6" pivotButton="0" quotePrefix="0" xfId="0"/>
    <xf numFmtId="0" fontId="23" fillId="20" borderId="7" pivotButton="0" quotePrefix="0" xfId="0"/>
    <xf numFmtId="0" fontId="25" fillId="0" borderId="6" pivotButton="0" quotePrefix="0" xfId="0"/>
    <xf numFmtId="0" fontId="25" fillId="21" borderId="6" pivotButton="0" quotePrefix="0" xfId="0"/>
    <xf numFmtId="0" fontId="0" fillId="21" borderId="7" pivotButton="0" quotePrefix="0" xfId="0"/>
    <xf numFmtId="0" fontId="0" fillId="21" borderId="6" pivotButton="0" quotePrefix="0" xfId="0"/>
    <xf numFmtId="0" fontId="26" fillId="0" borderId="0" applyAlignment="1" pivotButton="0" quotePrefix="0" xfId="0">
      <alignment horizontal="general" vertical="bottom"/>
    </xf>
    <xf numFmtId="0" fontId="26" fillId="0" borderId="0" pivotButton="0" quotePrefix="0" xfId="0"/>
    <xf numFmtId="0" fontId="26" fillId="0" borderId="0" applyAlignment="1" pivotButton="0" quotePrefix="0" xfId="0">
      <alignment horizontal="center" vertical="center"/>
    </xf>
    <xf numFmtId="0" fontId="0" fillId="2" borderId="0" pivotButton="0" quotePrefix="0" xfId="0"/>
    <xf numFmtId="0" fontId="9" fillId="0" borderId="6" applyAlignment="1" pivotButton="0" quotePrefix="0" xfId="0">
      <alignment horizontal="center" vertical="bottom"/>
    </xf>
    <xf numFmtId="0" fontId="12" fillId="0" borderId="7" applyAlignment="1" pivotButton="0" quotePrefix="0" xfId="0">
      <alignment horizontal="center" vertical="bottom"/>
    </xf>
    <xf numFmtId="0" fontId="9" fillId="0" borderId="7" applyAlignment="1" pivotButton="0" quotePrefix="0" xfId="0">
      <alignment horizontal="center" vertical="bottom"/>
    </xf>
    <xf numFmtId="0" fontId="11" fillId="0" borderId="7" applyAlignment="1" pivotButton="0" quotePrefix="0" xfId="0">
      <alignment horizontal="general" vertical="bottom"/>
    </xf>
    <xf numFmtId="0" fontId="8" fillId="0" borderId="7" applyAlignment="1" pivotButton="0" quotePrefix="0" xfId="0">
      <alignment horizontal="general" vertical="bottom"/>
    </xf>
    <xf numFmtId="0" fontId="7" fillId="0" borderId="6" applyAlignment="1" pivotButton="0" quotePrefix="0" xfId="0">
      <alignment horizontal="general" vertical="bottom"/>
    </xf>
    <xf numFmtId="0" fontId="23" fillId="20" borderId="0" applyAlignment="1" pivotButton="0" quotePrefix="0" xfId="0">
      <alignment horizontal="center" vertical="center"/>
    </xf>
    <xf numFmtId="0" fontId="5" fillId="2" borderId="0" pivotButton="0" quotePrefix="0" xfId="0"/>
    <xf numFmtId="0" fontId="11" fillId="0" borderId="0" applyAlignment="1" pivotButton="0" quotePrefix="0" xfId="0">
      <alignment horizontal="left" vertical="bottom" wrapText="1"/>
    </xf>
    <xf numFmtId="0" fontId="8" fillId="0" borderId="1" applyAlignment="1" pivotButton="0" quotePrefix="0" xfId="0">
      <alignment horizontal="general" vertical="bottom"/>
    </xf>
    <xf numFmtId="0" fontId="6" fillId="0" borderId="0" applyAlignment="1" pivotButton="0" quotePrefix="0" xfId="0">
      <alignment horizontal="center" vertical="bottom"/>
    </xf>
    <xf numFmtId="0" fontId="13" fillId="0" borderId="0" applyAlignment="1" pivotButton="0" quotePrefix="0" xfId="0">
      <alignment horizontal="general" vertical="bottom"/>
    </xf>
    <xf numFmtId="0" fontId="0" fillId="0" borderId="6" applyAlignment="1" pivotButton="0" quotePrefix="0" xfId="0">
      <alignment vertical="top" wrapText="1"/>
    </xf>
    <xf numFmtId="0" fontId="27" fillId="0" borderId="0" pivotButton="0" quotePrefix="0" xfId="0"/>
    <xf numFmtId="0" fontId="0" fillId="0" borderId="0" applyAlignment="1" pivotButton="0" quotePrefix="0" xfId="0">
      <alignment vertical="top" wrapText="1"/>
    </xf>
    <xf numFmtId="0" fontId="28" fillId="2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6E0E23"/>
      <rgbColor rgb="FF008000"/>
      <rgbColor rgb="FF000080"/>
      <rgbColor rgb="FF7A8B4A"/>
      <rgbColor rgb="FF800080"/>
      <rgbColor rgb="FF008080"/>
      <rgbColor rgb="FFC7C7CC"/>
      <rgbColor rgb="FF6E7378"/>
      <rgbColor rgb="FF6FA8DC"/>
      <rgbColor rgb="FF8E44AD"/>
      <rgbColor rgb="FFFFF2CC"/>
      <rgbColor rgb="FFCCFFFF"/>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E8DCC4"/>
      <rgbColor rgb="FF3366FF"/>
      <rgbColor rgb="FF33CCCC"/>
      <rgbColor rgb="FF99CC00"/>
      <rgbColor rgb="FFFFCC00"/>
      <rgbColor rgb="FFB8892B"/>
      <rgbColor rgb="FFB5651D"/>
      <rgbColor rgb="FF666666"/>
      <rgbColor rgb="FFC08A3E"/>
      <rgbColor rgb="FF2E2A3D"/>
      <rgbColor rgb="FF4FA89B"/>
      <rgbColor rgb="FF1A1A1A"/>
      <rgbColor rgb="FF2B2118"/>
      <rgbColor rgb="FF8B4A2B"/>
      <rgbColor rgb="FF993366"/>
      <rgbColor rgb="FF4B5320"/>
      <rgbColor rgb="FF2F2F2F"/>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styles" Target="styles.xml" Id="rId38"/><Relationship Type="http://schemas.openxmlformats.org/officeDocument/2006/relationships/theme" Target="theme/theme1.xml" Id="rId3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A46"/>
  <sheetViews>
    <sheetView workbookViewId="0">
      <selection activeCell="A1" sqref="A1"/>
    </sheetView>
  </sheetViews>
  <sheetFormatPr baseColWidth="8" defaultRowHeight="15"/>
  <cols>
    <col width="140" customWidth="1" style="116" min="1" max="1"/>
  </cols>
  <sheetData>
    <row r="1">
      <c r="A1" s="277" t="inlineStr">
        <is>
          <t>RESUMO DO PROJETO — pra outro Claude/chat continuar de onde parei</t>
        </is>
      </c>
    </row>
    <row r="3" ht="95" customHeight="1" s="116">
      <c r="A3" s="278" t="inlineStr">
        <is>
          <t>Esse resumo existe porque essa conversa já passou de 1 semana e o usuário (Rod) bateu limite de anexo no chat atual. O objetivo é: quem ler isso (outro Claude, em outro chat) deve conseguir continuar o trabalho com ~90% do contexto que o Claude anterior tinha. Leia isso INTEIRO antes de mexer em qualquer coisa. Depois, sempre CONFIRME contra o código/planilha real antes de assumir que algo funciona — esse projeto tem um histórico forte de "achei que funcionava, mas não funcionava" (ver seção de Armadilhas).</t>
        </is>
      </c>
    </row>
    <row r="5">
      <c r="A5" s="279" t="inlineStr">
        <is>
          <t>1. O QUE É O JOGO</t>
        </is>
      </c>
    </row>
    <row r="6" ht="125" customHeight="1" s="116">
      <c r="A6" s="278" t="inlineStr">
        <is>
          <t>RPG solo em Telegram, bot chamado "Zeyrith RPG" (ou nome similar no BotFather), tema "A Infecção que Segura o Mundo" — pós-apocalíptico de fantasia, uma corrupção/Infecção Carmesim que espalhou pelo continente. 14 Tiers de progressão (Sucata Enferrujada → Estelar/Cósmico), 5 Atos narrativos, 7 Polos/Reinos, 8 Classes jogáveis. É PVE solo — qualquer pessoa que mandar /start pro bot ganha personagem próprio e isolado (não é preciso nenhum trabalho extra pra "multiplayer casual" nesse sentido — cada telegram_id é um personagem separado). Multiplayer/cooperativo de verdade (Fase 7) foi DECIDIDO e ADIADO, não é bug nem esquecimento.</t>
        </is>
      </c>
    </row>
    <row r="8">
      <c r="A8" s="279" t="inlineStr">
        <is>
          <t>2. ARQUITETURA — MUITO IMPORTANTE ENTENDER ISSO PRIMEIRO</t>
        </is>
      </c>
    </row>
    <row r="9" ht="200" customHeight="1" s="116">
      <c r="A9" s="278" t="inlineStr">
        <is>
          <t>A PLANILHA é a fonte de verdade de todo dado de jogo (monstro, item, missão, local, etc). O BOT (Python/Telegram) só lê esse dado, nunca inventa. O fluxo é sempre o mesmo, nessa ordem: 1) Editar a planilha balanceamento_rpg-13.xlsx (ou -13-31.xlsx, os nomes variaram ao longo da conversa, sempre confirme qual está sendo usado). 2) Rodar `python3 db/export_json.py` — isso abre a planilha com LibreOffice headless (`soffice --headless --calc --convert-to xlsx`) pra RECALCULAR fórmulas antes de ler os valores (openpyxl sozinho não recalcula fórmula), e escreve `data/game_data.json`. 3) Rodar a importação (`from db.import_data import importar; importar()`) — isso lê o JSON e escreve no banco (SQLite local pra teste, Postgres/Neon em produção via Render). 4) SEMPRE testar o handler de verdade depois (chamando a função async com mocks), nunca assumir que "deve funcionar" só porque o dado foi importado. Pra achar erro de fórmula na planilha (tipo #REF!, #N/A), sempre recalcular com LibreOffice headless e contar erros — o número de baseline validado é 10 erros conhecidos (FILTER() incompatível com LibreOffice, funciona no Google Sheets, não é bug real).</t>
        </is>
      </c>
    </row>
    <row r="11">
      <c r="A11" s="279" t="inlineStr">
        <is>
          <t>3. ARMADILHAS CONHECIDAS — LEIA ISSO OU VAI PERDER TEMPO REPETINDO ERRO</t>
        </is>
      </c>
    </row>
    <row r="12" ht="140" customHeight="1" s="116">
      <c r="A12" s="278" t="inlineStr">
        <is>
          <t>⚠️ ACENTO: a mesma informação (nome de Tier, nome de tipo de arma, etc) às vezes aparece COM acento numa aba da planilha e SEM acento em outra. Ex: Tier.nome usa sempre SEM acento ("Aco Elfico", "Ferro Orquico", "Ebano") em TODO o sistema (Bestiário, Missões, Locais), mas outras abas (Crafting-Receitas, Recursos Naturais) às vezes trazem o nome COM acento ou em formato diferente ("Tier 8 (Ferro Órquico)", "Tier 1" numérico puro). Isso já causou pelo menos 4 bugs reais diferentes nessa conversa. Sempre que ligar duas tabelas pelo nome de Tier/tipo, ou normalize os dois lados (tem uma função `_normalizar()` em game/economia.py que remove acento) ou confirme os valores reais direto no banco antes de assumir que o JOIN vai bater.</t>
        </is>
      </c>
    </row>
    <row r="14" ht="95" customHeight="1" s="116">
      <c r="A14" s="278" t="inlineStr">
        <is>
          <t>⚠️ TELEGRAM SÓ ACEITA 1 RESPOSTA POR CLIQUE (callback_query.answer()): se o código chama `await query.answer()` (vazio) e DEPOIS chama `await query.answer("mensagem", show_alert=True)` no mesmo fluxo (sem branch/return entre elas), a SEGUNDA chamada é silenciosamente ignorada pelo Telegram. Esse bug apareceu em 11 funções diferentes numa única varredura. O padrão correto é: só chamar answer() UMA VEZ por execução, e se tem caminho de erro vs sucesso, cada um deve ter sua PRÓPRIA chamada de answer() (nunca as duas no mesmo caminho).</t>
        </is>
      </c>
    </row>
    <row r="16" ht="95" customHeight="1" s="116">
      <c r="A16" s="278" t="inlineStr">
        <is>
          <t>⚠️ REAPROVEITAR query.data: vários handlers terminam chamando outro handler pra "atualizar a tela" (ex: `confirmar_compra` chama `listar_compra` no final). Se o handler chamado espera fazer `query.data.split("_")` num formato diferente do que originou a ação, ele lê o ID errado como se fosse outra coisa (ex: um ID de compra virando "tipo" de categoria por engano). Sempre que isso acontecer, sobrescreva `query.data` manualmente pro formato certo ANTES de chamar o outro handler.</t>
        </is>
      </c>
    </row>
    <row r="18" ht="50" customHeight="1" s="116">
      <c r="A18" s="278" t="inlineStr">
        <is>
          <t>⚠️ SESSÃO DO SQLALCHEMY: nunca acesse atributo de objeto do banco (`objeto.campo`) depois de `session.close()`. Sempre extraia pra variável Python simples ANTES de fechar a sessão. Já causou bug real mais de uma vez.</t>
        </is>
      </c>
    </row>
    <row r="20" ht="50" customHeight="1" s="116">
      <c r="A20" s="278" t="inlineStr">
        <is>
          <t>⚠️ Armadura usa coluna `slot`, Arma usa coluna `tipo` — são nomes diferentes pro "mesmo conceito" (Espada/Peitoral/etc). Fácil esquecer e tentar `.tipo` numa Armadura (dá AttributeError).</t>
        </is>
      </c>
    </row>
    <row r="22" ht="80" customHeight="1" s="116">
      <c r="A22" s="278" t="inlineStr">
        <is>
          <t>⚠️ Nem todo campo que "devia" existir no banco existe — vários campos da planilha (`Condição de Spawn`, `História/Origem`, `Loot Único`) foram descobertos FALTANDO no meio da conversa, mesmo a planilha já tendo a coluna pronta há muito tempo. Sempre que for usar um campo, confirme que ele está no `db/models.py` E no `db/export_json.py` (extração) antes de assumir que "deve estar lá".</t>
        </is>
      </c>
    </row>
    <row r="24">
      <c r="A24" s="279" t="inlineStr">
        <is>
          <t>4. O QUE ESTÁ PRONTO E TESTADO (alto nível)</t>
        </is>
      </c>
    </row>
    <row r="25" ht="365" customHeight="1" s="116">
      <c r="A25" s="278" t="inlineStr">
        <is>
          <t>✅ Criação de personagem: nome → prévia rica da classe (lore, passiva, kit detalhado item-por-item com ícone/status, atributos, vantagem/desvantagem) → confirmar → cria. ✅ HUD principal: HP/Vigor/Mana/XP, 6 atributos (mecânicos: FOR=dano, DES=crítico, CON=HP+Vigor, INT/SAB/CAR ainda só decorativos), hora do dia + dia/noite + clima, Tier sincronizado automaticamente com o Nível real. ✅ Level Up: existe de verdade agora (foi um bug crítico raiz — não existia até essa última rodada), sobe múltiplos níveis se o XP der, recalcula HP/Mana. ✅ Exploração: rolagem por Perigo do local, filtro dia/noite pra monstro "só à noite", Eventos de Viagem raros (narrativo), custo de Vigor. Rebalanceei a chance de "Nada" pela metade recentemente (estava em 70% no Perigo 1, ficou 35%). ✅ Descansar: existe agora (era bug crítico — Vigor não tinha NENHUMA forma de recuperar antes disso, travava o jogo de vez). Só funciona em Cidade, custa Ouro. ✅ Combate: ataque físico e mágico unificados na mesma lógica de vitória (drop real, Codex, level up, tudo junto). Proficiência de arma: +1 por hit, curva de nível 100→150→225× 1.5, buff de dano por nível assimétrico por afinidade de classe (guerreiro+espada &gt; mago+espada, e vice-versa com cetro). Botão Poupar quando aplicável, dá título. ✅ Loja: Comprar arma/armadura por tipo, com nome real + status + lore, vendedor NPC real (Ferreiro da cidade). Forjar (crafting): materiais variados por tipo de item em todos os 14 tiers (não repete mais a mesma dupla de material pra tudo), ícone real por categoria de material, separação visual Status/Materiais. ✅ Inventário: arma/armadura/acessório todos equipáveis, com ícone específico e status. ✅ Missões: navegação por categoria, honra de facção, recompensa detalhada. ✅ Facções: lista as 7, detalhe com líder/capital/ameaça, segredo trava/libera por Honra 50+. ✅ Codex: Bestiário com Knowledge progressivo 0-5 (revela nome→status→efeito→fraqueza→lore conforme vence combate), Locais e Materiais com descoberta real. ✅ Narrativa: abertura de jogo, narração de transição de Ato pelo Nível real. ✅ Login diário com sequência crescente.</t>
        </is>
      </c>
    </row>
    <row r="27">
      <c r="A27" s="279" t="inlineStr">
        <is>
          <t>5. O QUE ESTÁ PENDENTE (decisão já tomada de adiar, ou trabalho ainda não feito)</t>
        </is>
      </c>
    </row>
    <row r="28" ht="65" customHeight="1" s="116">
      <c r="A28" s="278" t="inlineStr">
        <is>
          <t>🔧 Expedições AFK — JÁ TEM DESIGN COMPLETO na aba "Expedicoes (AFK)" da planilha (duração real por Perigo: 2h/6h/12h/24h, chance de sucesso por atributo+Knowledge+Perigo, falha não mata o personagem só machuca). NUNCA foi implementado no bot. O usuário pediu explicitamente pra guardar isso como pendência futura.</t>
        </is>
      </c>
    </row>
    <row r="30" ht="65" customHeight="1" s="116">
      <c r="A30" s="278" t="inlineStr">
        <is>
          <t>🔧 Base de Operações — JÁ TEM DESIGN COMPLETO na aba "Base de Operacoes" (6 NPCs recrutáveis: Ferreiro, Enfermaria, Armazém, Oficina, Biblioteca, Mesa de Expedições — cada um dá bônus passivo fixo depois de cumprir quest + Reputação ≥40 com a facção). Integra direto com Expedições AFK (Mesa de Expedições reduz -25% da duração). NUNCA foi implementado.</t>
        </is>
      </c>
    </row>
    <row r="32" ht="50" customHeight="1" s="116">
      <c r="A32" s="278" t="inlineStr">
        <is>
          <t>🔧 Distribuição manual de pontos de atributo — hoje atributo só é fixo na criação. Decidido: quando implementar, jogador escolhe onde investir a cada level up (+2 pontos por nível, aprovado). Falta construir a UI de alocação.</t>
        </is>
      </c>
    </row>
    <row r="34" ht="20" customHeight="1" s="116">
      <c r="A34" s="278" t="inlineStr">
        <is>
          <t>🔧 Multiplayer/Cooperativo (Fase 7) — adiado por decisão consciente, não por esquecimento.</t>
        </is>
      </c>
    </row>
    <row r="36" ht="65" customHeight="1" s="116">
      <c r="A36" s="278" t="inlineStr">
        <is>
          <t>📋 16 de 27 Bosses ainda sem Loot Único cadastrado — 11 já foram recuperados extraindo do texto de Motivação (o item tava escondido em narrativa, nunca formalizado em coluna própria). Os 16 restantes precisam de atenção manual (o texto de Motivação deles não tem o padrão "item entre aspas" que permitiu extração automática nos outros 11).</t>
        </is>
      </c>
    </row>
    <row r="38" ht="35" customHeight="1" s="116">
      <c r="A38" s="278" t="inlineStr">
        <is>
          <t>📋 Backfill de detalhes visuais menores e formatação irregular em algumas abas antigas — registrado no Índice Geral, não bloqueia nada.</t>
        </is>
      </c>
    </row>
    <row r="40" ht="50" customHeight="1" s="116">
      <c r="A40" s="278" t="inlineStr">
        <is>
          <t>❓ Pergunta original do usuário nunca totalmente resolvida: "como funciona a criação de personagem" — ele queria entender/customizar mais, a prévia rica resolveu boa parte, mas vale confirmar se ainda falta algo aqui.</t>
        </is>
      </c>
    </row>
    <row r="42">
      <c r="A42" s="279" t="inlineStr">
        <is>
          <t>6. ESTRUTURA DE ARQUIVOS DO BOT (pasta rpg-bot/)</t>
        </is>
      </c>
    </row>
    <row r="43" ht="185" customHeight="1" s="116">
      <c r="A43" s="278" t="inlineStr">
        <is>
          <t>bot.py = entrypoint, registra todos os handlers, tem a criação de personagem e o HUD principal (/status). db/models.py = todos os modelos SQLAlchemy. db/export_json.py = le a planilha recalculada e escreve game_data.json. db/import_data.py = le o JSON e sincroniza no banco (por HASH de conteúdo, não contagem — só reimporta se mudou de verdade; também roda `migrar_colunas_novas()` que ADICIONA coluna faltando automaticamente, incluindo corrigir tipo de coluna errado em Postgres). handlers/ = um arquivo por área (aventura, comercio, inventario, mapa, missoes, magias, codex) — cada um tem as funções async que o Telegram chama. game/ = lógica pura (sem Telegram), reusável: combat.py (resolver_ataque), economia.py (loja/forja), loot.py, missoes.py, titulos.py, mapa.py, codex.py (Knowledge), narrativa.py (Ato), atributos.py, proficiencia.py, relogio.py (tempo/clima), nivel.py (level up), descanso.py, eventos.py (Eventos de Viagem), login_diario.py, ui_utils.py (barra genérica compartilhada).</t>
        </is>
      </c>
    </row>
    <row r="45">
      <c r="A45" s="279" t="inlineStr">
        <is>
          <t>7. FLUXO DE TRABALHO ESPERADO PELO USUÁRIO (Rod)</t>
        </is>
      </c>
    </row>
    <row r="46" ht="220" customHeight="1" s="116">
      <c r="A46" s="278" t="inlineStr">
        <is>
          <t>Rod não programa — trabalha só pela planilha + conversa aqui. Esse é o CHECKLIST de como toda resposta deve funcionar, não é opcional, é o que ele mais valoriza no processo:
1) SEMPRE testar de verdade (rodar o handler com mock/sessão real) antes de dizer que algo funciona. Nunca assumir só de ler o código.
2) Quando for mudar uma tela/fluxo, editar a PLANILHA e o PYTHON juntos, na mesma resposta.
3) Depois de qualquer mudança visual, mostrar um MOCKUP com o TEXTO REAL que saiu do teste — nunca um mockup inventado/imaginado.
4) Mostrar esse mockup sempre NO FINAL da resposta, não no meio.
5) Se aparecer algo estranho no caminho que não foi pedido, investigar e resolver também, avisando que foi achado no caminho.
6) Não reenviar os arquivos toda hora — só quando ele pedir ou quando terminar um bloco grande de mudanças.
7) Em decisão de design (não bug), propor número/desenho concreto pra aprovar, em vez de pergunta aberta.
Esse fluxo (testar → achar bug real → consertar planilha+python → testar de novo → mockup com dado real → aprovação → próximo item) é a espinha dorsal de como essa conversa toda funcionou por mais de uma semana. Seguir isso é mais importante que qualquer feature individual.</t>
        </is>
      </c>
    </row>
  </sheetData>
  <pageMargins left="0.75" right="0.75" top="1" bottom="1" header="0.5" footer="0.5"/>
</worksheet>
</file>

<file path=xl/worksheets/sheet2.xml><?xml version="1.0" encoding="utf-8"?>
<worksheet xmlns="http://schemas.openxmlformats.org/spreadsheetml/2006/main">
  <sheetPr filterMode="0">
    <outlinePr summaryBelow="1" summaryRight="1"/>
    <pageSetUpPr fitToPage="0"/>
  </sheetPr>
  <dimension ref="A1:C3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115" min="1" max="1"/>
    <col width="38" customWidth="1" style="115" min="2" max="2"/>
    <col width="46" customWidth="1" style="115" min="3" max="3"/>
  </cols>
  <sheetData>
    <row r="1" ht="17.25" customHeight="1" s="116">
      <c r="A1" s="117" t="inlineStr">
        <is>
          <t>A Infecção que Segura o Mundo — Índice Geral (fechado 28/08)</t>
        </is>
      </c>
    </row>
    <row r="2" ht="15" customHeight="1" s="116">
      <c r="A2" s="115" t="inlineStr">
        <is>
          <t>Todas as mecânicas, blocos fechados, e onde achar cada coisa. Comece aqui se estiver perdido.</t>
        </is>
      </c>
    </row>
    <row r="4" ht="15" customHeight="1" s="116">
      <c r="A4" s="118" t="inlineStr">
        <is>
          <t>Sistema</t>
        </is>
      </c>
      <c r="B4" s="118" t="inlineStr">
        <is>
          <t>Onde está</t>
        </is>
      </c>
      <c r="C4" s="118" t="inlineStr">
        <is>
          <t>Status</t>
        </is>
      </c>
    </row>
    <row r="5" ht="15" customHeight="1" s="116">
      <c r="A5" s="119" t="inlineStr">
        <is>
          <t>Progressão de Nível/Dano/Defesa</t>
        </is>
      </c>
      <c r="B5" s="119" t="inlineStr">
        <is>
          <t>Curva Mestra, Tiers</t>
        </is>
      </c>
      <c r="C5" s="119" t="inlineStr">
        <is>
          <t>✅ Fechado</t>
        </is>
      </c>
    </row>
    <row r="6" ht="15" customHeight="1" s="116">
      <c r="A6" s="119" t="inlineStr">
        <is>
          <t>Bestiário (123 monstros)</t>
        </is>
      </c>
      <c r="B6" s="119" t="inlineStr">
        <is>
          <t>Bestiario</t>
        </is>
      </c>
      <c r="C6" s="119" t="inlineStr">
        <is>
          <t>✅ Fechado — efeitos, fraqueza, materiais</t>
        </is>
      </c>
    </row>
    <row r="7" ht="15" customHeight="1" s="116">
      <c r="A7" s="119" t="inlineStr">
        <is>
          <t>Armas (308) / Armaduras (252)</t>
        </is>
      </c>
      <c r="B7" s="119" t="inlineStr">
        <is>
          <t>Armas, Armaduras</t>
        </is>
      </c>
      <c r="C7" s="119" t="inlineStr">
        <is>
          <t>✅ Fechado — Variação, Mod.Variação, Preço</t>
        </is>
      </c>
    </row>
    <row r="8" ht="15" customHeight="1" s="116">
      <c r="A8" s="119" t="inlineStr">
        <is>
          <t>Lendários/Artefatos (79)</t>
        </is>
      </c>
      <c r="B8" s="119" t="inlineStr">
        <is>
          <t>Artefatos e Relíquias</t>
        </is>
      </c>
      <c r="C8" s="119" t="inlineStr">
        <is>
          <t>✅ Fechado — Dano/Defesa Base, flag Combate</t>
        </is>
      </c>
    </row>
    <row r="9" ht="15" customHeight="1" s="116">
      <c r="A9" s="119" t="inlineStr">
        <is>
          <t>Missões (115+)</t>
        </is>
      </c>
      <c r="B9" s="119" t="inlineStr">
        <is>
          <t>Missoes</t>
        </is>
      </c>
      <c r="C9" s="119" t="inlineStr">
        <is>
          <t>✅ Fechado — Facção/Reputação nas 13 principais</t>
        </is>
      </c>
    </row>
    <row r="10" ht="15" customHeight="1" s="116">
      <c r="A10" s="119" t="inlineStr">
        <is>
          <t>Crafting (210 receitas)</t>
        </is>
      </c>
      <c r="B10" s="119" t="inlineStr">
        <is>
          <t>Crafting - Receitas</t>
        </is>
      </c>
      <c r="C10" s="119" t="inlineStr">
        <is>
          <t>✅ Fechado — 4 níveis de fricção</t>
        </is>
      </c>
    </row>
    <row r="11" ht="15" customHeight="1" s="116">
      <c r="A11" s="119" t="inlineStr">
        <is>
          <t>Materiais (157)</t>
        </is>
      </c>
      <c r="B11" s="119" t="inlineStr">
        <is>
          <t>Recursos Naturais</t>
        </is>
      </c>
      <c r="C11" s="119" t="inlineStr">
        <is>
          <t>✅ Fechado — identidade visual, troféus</t>
        </is>
      </c>
    </row>
    <row r="12" ht="15" customHeight="1" s="116">
      <c r="A12" s="119" t="inlineStr">
        <is>
          <t>Economia/Preço</t>
        </is>
      </c>
      <c r="B12" s="119" t="inlineStr">
        <is>
          <t>Economia, Cidades e NPCs</t>
        </is>
      </c>
      <c r="C12" s="119" t="inlineStr">
        <is>
          <t>✅ Fechado — fórmula única</t>
        </is>
      </c>
    </row>
    <row r="13" ht="15" customHeight="1" s="116">
      <c r="A13" s="119" t="inlineStr">
        <is>
          <t>Perigo/Atenção/Exploração</t>
        </is>
      </c>
      <c r="B13" s="119" t="inlineStr">
        <is>
          <t>Mundo - Locais, Regras e Fórmulas</t>
        </is>
      </c>
      <c r="C13" s="119" t="inlineStr">
        <is>
          <t>✅ Fechado</t>
        </is>
      </c>
    </row>
    <row r="14" ht="15" customHeight="1" s="116">
      <c r="A14" s="119" t="inlineStr">
        <is>
          <t>Descanso/Marcos de Nível</t>
        </is>
      </c>
      <c r="B14" s="119" t="inlineStr">
        <is>
          <t>Regras e Fórmulas</t>
        </is>
      </c>
      <c r="C14" s="119" t="inlineStr">
        <is>
          <t>✅ Fechado</t>
        </is>
      </c>
    </row>
    <row r="15" ht="15" customHeight="1" s="116">
      <c r="A15" s="119" t="inlineStr">
        <is>
          <t>Facções/Relação com NPC</t>
        </is>
      </c>
      <c r="B15" s="119" t="inlineStr">
        <is>
          <t>Reinos e Facções, Regras e Fórmulas</t>
        </is>
      </c>
      <c r="C15" s="119" t="inlineStr">
        <is>
          <t>✅ Fechado</t>
        </is>
      </c>
    </row>
    <row r="16" ht="15" customHeight="1" s="116">
      <c r="A16" s="119" t="inlineStr">
        <is>
          <t>Base de Operações</t>
        </is>
      </c>
      <c r="B16" s="119" t="inlineStr">
        <is>
          <t>Base de Operacoes</t>
        </is>
      </c>
      <c r="C16" s="119" t="inlineStr">
        <is>
          <t>✅ Fechado — 6 funções</t>
        </is>
      </c>
    </row>
    <row r="17" ht="15" customHeight="1" s="116">
      <c r="A17" s="119" t="inlineStr">
        <is>
          <t>Expedições AFK</t>
        </is>
      </c>
      <c r="B17" s="119" t="inlineStr">
        <is>
          <t>Expedicoes (AFK)</t>
        </is>
      </c>
      <c r="C17" s="119" t="inlineStr">
        <is>
          <t>✅ Fechado — jogador, tempo real</t>
        </is>
      </c>
    </row>
    <row r="18" ht="15" customHeight="1" s="116">
      <c r="A18" s="119" t="inlineStr">
        <is>
          <t>Knowledge/Descoberta/Codex</t>
        </is>
      </c>
      <c r="B18" s="119" t="inlineStr">
        <is>
          <t>Regras e Fórmulas + aba Codex (nova)</t>
        </is>
      </c>
      <c r="C18" s="119" t="inlineStr">
        <is>
          <t>✅ Fechado — agora com estrutura própria de referência</t>
        </is>
      </c>
    </row>
    <row r="19" ht="15" customHeight="1" s="116">
      <c r="A19" s="119" t="inlineStr">
        <is>
          <t>Títulos</t>
        </is>
      </c>
      <c r="B19" s="119" t="inlineStr">
        <is>
          <t>Titulos</t>
        </is>
      </c>
      <c r="C19" s="119" t="inlineStr">
        <is>
          <t>✅ Fechado — 7 exemplos</t>
        </is>
      </c>
    </row>
    <row r="20" ht="15" customHeight="1" s="116">
      <c r="A20" s="119" t="inlineStr">
        <is>
          <t>Motor do Mestre (sorteio automático)</t>
        </is>
      </c>
      <c r="B20" s="119" t="inlineStr">
        <is>
          <t>Motor do Mestre</t>
        </is>
      </c>
      <c r="C20" s="119" t="inlineStr">
        <is>
          <t>⚠️ Funcional, mas não lê Perigo por local ainda</t>
        </is>
      </c>
    </row>
    <row r="21" ht="15" customHeight="1" s="116">
      <c r="A21" s="119" t="inlineStr">
        <is>
          <t>AtqBonus vs Defesa (escala alta-tier)</t>
        </is>
      </c>
      <c r="B21" s="119" t="inlineStr">
        <is>
          <t>Curva Mestra (parametros) + Bestiario (formula de AtqBonus)</t>
        </is>
      </c>
      <c r="C21" s="119" t="inlineStr">
        <is>
          <t>✅ Corrigido e validado — acerto estavel em todos os tiers, Boss de 35-50 p/ 14-18 golpes</t>
        </is>
      </c>
    </row>
    <row r="22" ht="15" customHeight="1" s="116">
      <c r="A22" s="119" t="inlineStr">
        <is>
          <t>Imposto Regional por cidade</t>
        </is>
      </c>
      <c r="B22" s="119" t="inlineStr">
        <is>
          <t>Economia (parâmetro redirecionado)</t>
        </is>
      </c>
      <c r="C22" s="119" t="inlineStr">
        <is>
          <t>🟡 Fórmula pronta, valores por cidade não preenchidos</t>
        </is>
      </c>
    </row>
    <row r="23" ht="15" customHeight="1" s="116">
      <c r="A23" s="119" t="inlineStr">
        <is>
          <t>Facção — mapeamento completo</t>
        </is>
      </c>
      <c r="B23" s="119" t="inlineStr">
        <is>
          <t>Missoes (20 de ~100 quests mapeadas)</t>
        </is>
      </c>
      <c r="C23" s="119" t="inlineStr">
        <is>
          <t>✅ Cobertura ampliada (13→20) — resto avaliado e mantido de fora de propósito</t>
        </is>
      </c>
    </row>
    <row r="24" ht="15" customHeight="1" s="116">
      <c r="A24" s="115" t="inlineStr">
        <is>
          <t>Sistema de Tempo (relógio, Dia/Noite)</t>
        </is>
      </c>
      <c r="B24" s="115" t="inlineStr">
        <is>
          <t>Regras e Fórmulas</t>
        </is>
      </c>
      <c r="C24" s="115" t="inlineStr">
        <is>
          <t>✅ Fechado — custo de ação, efeito da Noite, ligado às Expedições</t>
        </is>
      </c>
    </row>
    <row r="25" ht="15" customHeight="1" s="116">
      <c r="A25" s="115" t="inlineStr">
        <is>
          <t>Ferramentas de Coleta (84) + Comida/Bebida (14)</t>
        </is>
      </c>
      <c r="B25" s="115" t="inlineStr">
        <is>
          <t>Crafting - Receitas</t>
        </is>
      </c>
      <c r="C25" s="115" t="inlineStr">
        <is>
          <t>✅ Fechado — Receita física + Codex</t>
        </is>
      </c>
    </row>
    <row r="26" ht="15" customHeight="1" s="116">
      <c r="A26" s="115" t="inlineStr">
        <is>
          <t>Classes e Arquétipos + 32 Talentos</t>
        </is>
      </c>
      <c r="B26" s="115" t="inlineStr">
        <is>
          <t>Classes e Arquétipos, Talentos de Classe</t>
        </is>
      </c>
      <c r="C26" s="115" t="inlineStr">
        <is>
          <t>✅ Fechado — Proficiência/VIG inicial, Vantagem/Desvantagem, talentos com efeito real</t>
        </is>
      </c>
    </row>
    <row r="27" ht="15" customHeight="1" s="116">
      <c r="A27" s="115" t="inlineStr">
        <is>
          <t>Consumíveis (revisado)</t>
        </is>
      </c>
      <c r="B27" s="115" t="inlineStr">
        <is>
          <t>Consumiveis</t>
        </is>
      </c>
      <c r="C27" s="115" t="inlineStr">
        <is>
          <t>✅ Fechado — Comida de Viagem genérica aposentada, Antídoto corrigido (só Leve), 14 Viais de Veneno criados</t>
        </is>
      </c>
    </row>
    <row r="28" ht="15" customHeight="1" s="116">
      <c r="A28" s="115" t="inlineStr">
        <is>
          <t>Masmorra Cooperativa (Multiplayer)</t>
        </is>
      </c>
      <c r="B28" s="115" t="inlineStr">
        <is>
          <t>Regras e Fórmulas</t>
        </is>
      </c>
      <c r="C28" s="115" t="inlineStr">
        <is>
          <t>✅ Fechado, isolado e seguro | 🟡 Resto do Multiplayer fica em aberto de propósito</t>
        </is>
      </c>
    </row>
    <row r="29" ht="15" customHeight="1" s="116">
      <c r="A29" s="115" t="inlineStr">
        <is>
          <t>Bestiário Expandido (Tier 1 piloto)</t>
        </is>
      </c>
      <c r="B29" s="115" t="inlineStr">
        <is>
          <t>Bestiario, Monstros Raros</t>
        </is>
      </c>
      <c r="C29" s="115" t="inlineStr">
        <is>
          <t>✅ Tier 1: 8→28 monstros. Meta final: ~400-470 nos 14 tiers. Tiers 2-14 pendentes.</t>
        </is>
      </c>
    </row>
    <row r="30">
      <c r="A30" s="115" t="inlineStr">
        <is>
          <t>PENDENTE: Backfill de Papel de Combate + Condição de Spawn nos ~115 monstros originais (pre-existentes) dos Tiers 2-14. Fazer depois que a expansao completa (Tiers 1-14) terminar.</t>
        </is>
      </c>
    </row>
    <row r="31">
      <c r="A31" s="115" t="inlineStr">
        <is>
          <t>PENDENTE (em espera, aguardando decisao): sistema de 10-15 missoes por Tier com bloqueio por Honra/Reputacao (Comum/Veterano/Lendario), 6 categorias por Tier (Principal/Caca/Coleta/Elite/Social/Exploracao). Hoje so existe 1 Principal por tier + pouquissimas secundarias (Tier1 tem so 2). Precisa de decisao antes de expandir.</t>
        </is>
      </c>
    </row>
    <row r="32">
      <c r="A32" s="115" t="inlineStr">
        <is>
          <t>RESOLVIDO 03/09: Mundo-Locais reconciliada com o Bestiario. 32 locais formais, cobrindo todos os 29 nomes que os 470 monstros referenciam (1 excecao legitima: referencia dupla Estrada/Acampamento, ambos ja existentes).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115" min="1" max="1"/>
    <col width="26" customWidth="1" style="115" min="2" max="2"/>
    <col width="30" customWidth="1" style="115" min="3" max="3"/>
    <col width="38" customWidth="1" style="115" min="4" max="5"/>
  </cols>
  <sheetData>
    <row r="1" ht="17.25" customHeight="1" s="116">
      <c r="A1" s="117" t="inlineStr">
        <is>
          <t>Codex — tudo que o jogador aprende e fica salvo pra sempre (estilo Crimson Desert)</t>
        </is>
      </c>
    </row>
    <row r="2" ht="15" customHeight="1" s="116">
      <c r="A2" s="115" t="inlineStr">
        <is>
          <t>Isso é o TEMPLATE de estrutura pro app (Telegram Mini App) — o estado real de cada jogador (o que ele já descobriu) mora no banco de dados do app, não aqui. Essa aba mostra O QUE existe pra ser descoberto.</t>
        </is>
      </c>
    </row>
    <row r="4" ht="15" customHeight="1" s="116">
      <c r="A4" s="118" t="inlineStr">
        <is>
          <t>Categoria do Codex</t>
        </is>
      </c>
      <c r="B4" s="118" t="inlineStr">
        <is>
          <t>Fonte (aba da planilha)</t>
        </is>
      </c>
      <c r="C4" s="118" t="inlineStr">
        <is>
          <t>Quantidade total</t>
        </is>
      </c>
      <c r="D4" s="118" t="inlineStr">
        <is>
          <t>Como é aprendido</t>
        </is>
      </c>
      <c r="E4" s="118" t="inlineStr">
        <is>
          <t>Fica salvo como</t>
        </is>
      </c>
    </row>
    <row r="5" ht="15" customHeight="1" s="116">
      <c r="A5" s="119" t="inlineStr">
        <is>
          <t>Receitas Aprendidas</t>
        </is>
      </c>
      <c r="B5" s="119" t="inlineStr">
        <is>
          <t>Crafting - Receitas</t>
        </is>
      </c>
      <c r="C5" s="119" t="inlineStr">
        <is>
          <t>210 receitas-base + variantes Nível 2-4</t>
        </is>
      </c>
      <c r="D5" s="119" t="inlineStr">
        <is>
          <t>Ler 1x a Receita física (consumida no uso)</t>
        </is>
      </c>
      <c r="E5" s="119" t="inlineStr">
        <is>
          <t>Permanente — nunca mais precisa comprar de novo</t>
        </is>
      </c>
    </row>
    <row r="6" ht="15" customHeight="1" s="116">
      <c r="A6" s="119" t="inlineStr">
        <is>
          <t>Bestiário (Knowledge)</t>
        </is>
      </c>
      <c r="B6" s="119" t="inlineStr">
        <is>
          <t>Bestiario</t>
        </is>
      </c>
      <c r="C6" s="119" t="inlineStr">
        <is>
          <t>470 criaturas, 0-5 de Knowledge cada</t>
        </is>
      </c>
      <c r="D6" s="119" t="inlineStr">
        <is>
          <t>Observar / combater / estudar cadáver / NPC / livro</t>
        </is>
      </c>
      <c r="E6" s="119" t="inlineStr">
        <is>
          <t>Nível de Knowledge fica salvo, nunca regride</t>
        </is>
      </c>
    </row>
    <row r="7" ht="15" customHeight="1" s="116">
      <c r="A7" s="119" t="inlineStr">
        <is>
          <t>Materiais Identificados</t>
        </is>
      </c>
      <c r="B7" s="119" t="inlineStr">
        <is>
          <t>Recursos Naturais</t>
        </is>
      </c>
      <c r="C7" s="119" t="inlineStr">
        <is>
          <t>600 materiais</t>
        </is>
      </c>
      <c r="D7" s="119" t="inlineStr">
        <is>
          <t>Teste INT/SAB, NPC especialista, ou quest</t>
        </is>
      </c>
      <c r="E7" s="119" t="inlineStr">
        <is>
          <t>Uma vez identificado, sempre reconhecido</t>
        </is>
      </c>
    </row>
    <row r="8" ht="15" customHeight="1" s="116">
      <c r="A8" s="119" t="inlineStr">
        <is>
          <t>NPCs (Relação)</t>
        </is>
      </c>
      <c r="B8" s="119" t="inlineStr">
        <is>
          <t>Cidades e NPCs (35 nomeados)</t>
        </is>
      </c>
      <c r="C8" s="119" t="inlineStr">
        <is>
          <t>35 NPCs</t>
        </is>
      </c>
      <c r="D8" s="119" t="inlineStr">
        <is>
          <t>Ações (não presente) — sobe por consequência real</t>
        </is>
      </c>
      <c r="E8" s="119" t="inlineStr">
        <is>
          <t>Nível de relação fica salvo, inclusive traição</t>
        </is>
      </c>
    </row>
    <row r="9" ht="15" customHeight="1" s="116">
      <c r="A9" s="119" t="inlineStr">
        <is>
          <t>Facções (Reputação)</t>
        </is>
      </c>
      <c r="B9" s="119" t="inlineStr">
        <is>
          <t>Reinos e Facções</t>
        </is>
      </c>
      <c r="C9" s="119" t="inlineStr">
        <is>
          <t>7 facções</t>
        </is>
      </c>
      <c r="D9" s="119" t="inlineStr">
        <is>
          <t>Escolhas de quest (221 já mapeadas)</t>
        </is>
      </c>
      <c r="E9" s="119" t="inlineStr">
        <is>
          <t>-100 a +100, permanente</t>
        </is>
      </c>
    </row>
    <row r="10" ht="15" customHeight="1" s="116">
      <c r="A10" s="119" t="inlineStr">
        <is>
          <t>Locais Descobertos</t>
        </is>
      </c>
      <c r="B10" s="119" t="inlineStr">
        <is>
          <t>Mundo - Locais</t>
        </is>
      </c>
      <c r="C10" s="119" t="inlineStr">
        <is>
          <t>53 locais</t>
        </is>
      </c>
      <c r="D10" s="119" t="inlineStr">
        <is>
          <t>Explorar/chegar no local pela primeira vez</t>
        </is>
      </c>
      <c r="E10" s="119" t="inlineStr">
        <is>
          <t>Mapa revela permanentemente</t>
        </is>
      </c>
    </row>
    <row r="11" ht="15" customHeight="1" s="116">
      <c r="A11" s="119" t="inlineStr">
        <is>
          <t>Títulos Conquistados</t>
        </is>
      </c>
      <c r="B11" s="119" t="inlineStr">
        <is>
          <t>Titulos</t>
        </is>
      </c>
      <c r="C11" s="119" t="inlineStr">
        <is>
          <t>17 títulos (mais podem ser criados)</t>
        </is>
      </c>
      <c r="D11" s="119" t="inlineStr">
        <is>
          <t>Cumprir a condição (Proficiência 100, Bestiário, Reputação etc.)</t>
        </is>
      </c>
      <c r="E11" s="119" t="inlineStr">
        <is>
          <t>Exibido no personagem pra sempre</t>
        </is>
      </c>
    </row>
    <row r="12" ht="15" customHeight="1" s="116">
      <c r="A12" s="119" t="inlineStr">
        <is>
          <t>Lendários/Artefatos Encontrados</t>
        </is>
      </c>
      <c r="B12" s="119" t="inlineStr">
        <is>
          <t>Artefatos e Relíquias</t>
        </is>
      </c>
      <c r="C12" s="119" t="inlineStr">
        <is>
          <t>93 itens únicos</t>
        </is>
      </c>
      <c r="D12" s="119" t="inlineStr">
        <is>
          <t>Loot ou recompensa de quest</t>
        </is>
      </c>
      <c r="E12" s="119" t="inlineStr">
        <is>
          <t>Registrado mesmo se vendido/perdido depois</t>
        </is>
      </c>
    </row>
    <row r="13" ht="15" customHeight="1" s="116">
      <c r="A13" s="119" t="inlineStr">
        <is>
          <t>Lore/Fragmentos do Aspecto</t>
        </is>
      </c>
      <c r="B13" s="119" t="inlineStr">
        <is>
          <t>Fragmentos do Aspecto</t>
        </is>
      </c>
      <c r="C13" s="119" t="inlineStr">
        <is>
          <t>5 fragmentos (1 por Ato)</t>
        </is>
      </c>
      <c r="D13" s="119" t="inlineStr">
        <is>
          <t>Derrotar o boss que carrega cada um</t>
        </is>
      </c>
      <c r="E13" s="119" t="inlineStr">
        <is>
          <t>Progresso da história principal, visível no Codex</t>
        </is>
      </c>
    </row>
    <row r="14" ht="15" customHeight="1" s="116">
      <c r="A14" s="115" t="inlineStr">
        <is>
          <t>Ferramentas de Coleta</t>
        </is>
      </c>
      <c r="B14" s="115" t="inlineStr">
        <is>
          <t>Crafting - Receitas</t>
        </is>
      </c>
      <c r="C14" s="115" t="inlineStr">
        <is>
          <t>84 (14 tiers x 3 ferramentas x Padrão/Refinada)</t>
        </is>
      </c>
      <c r="D14" s="115" t="inlineStr">
        <is>
          <t>Comprar Receita + craftar na Forja</t>
        </is>
      </c>
      <c r="E14" s="115" t="inlineStr">
        <is>
          <t>Permanente, mostra no Codex de Ferramentas</t>
        </is>
      </c>
    </row>
    <row r="15" ht="15" customHeight="1" s="116">
      <c r="A15" s="115" t="inlineStr">
        <is>
          <t>Comida/Bebida</t>
        </is>
      </c>
      <c r="B15" s="115" t="inlineStr">
        <is>
          <t>Crafting - Receitas</t>
        </is>
      </c>
      <c r="C15" s="115" t="inlineStr">
        <is>
          <t>14 (1 por tier)</t>
        </is>
      </c>
      <c r="D15" s="115" t="inlineStr">
        <is>
          <t>Comprar Receita + craftar em qualquer Fogueira</t>
        </is>
      </c>
      <c r="E15" s="115" t="inlineStr">
        <is>
          <t>Buff temporário, receita fica permanente</t>
        </is>
      </c>
    </row>
    <row r="16" ht="15" customHeight="1" s="116">
      <c r="A16" s="115" t="inlineStr">
        <is>
          <t>Talentos de Classe</t>
        </is>
      </c>
      <c r="B16" s="115" t="inlineStr">
        <is>
          <t>Talentos de Classe</t>
        </is>
      </c>
      <c r="C16" s="115" t="inlineStr">
        <is>
          <t>32 (4 por classe x 8 classes)</t>
        </is>
      </c>
      <c r="D16" s="115" t="inlineStr">
        <is>
          <t>Chegar no nível + treinar com o Mestre da classe (ou sozinho, mais caro)</t>
        </is>
      </c>
      <c r="E16" s="115" t="inlineStr">
        <is>
          <t>Permanente, aparece na ficha da classe</t>
        </is>
      </c>
    </row>
    <row r="17" ht="15" customHeight="1" s="116">
      <c r="A17" s="115" t="inlineStr">
        <is>
          <t>Consumíveis (Poção, Antídoto, Veneno)</t>
        </is>
      </c>
      <c r="B17" s="115" t="inlineStr">
        <is>
          <t>Consumiveis</t>
        </is>
      </c>
      <c r="C17" s="115" t="inlineStr">
        <is>
          <t>56 (4x14) + 14 Viais de Veneno = 70</t>
        </is>
      </c>
      <c r="D17" s="115" t="inlineStr">
        <is>
          <t>Comprar ou craftar</t>
        </is>
      </c>
      <c r="E17" s="115" t="inlineStr">
        <is>
          <t>Não é permanente — item consumível, cada um se gasta ao usar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15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5" customWidth="1" style="115" min="1" max="1"/>
  </cols>
  <sheetData>
    <row r="1" ht="15" customHeight="1" s="116">
      <c r="A1" s="117" t="inlineStr">
        <is>
          <t>REGRAS DE MESA — cola rápida (motor completo está nas abas Curva Mestra / Armas / Armaduras / Bestiario)</t>
        </is>
      </c>
    </row>
    <row r="2" ht="15" customHeight="1" s="116"/>
    <row r="3" ht="15" customHeight="1" s="116">
      <c r="A3" s="120" t="inlineStr">
        <is>
          <t>1. Resolução de ataque</t>
        </is>
      </c>
    </row>
    <row r="4" ht="15" customHeight="1" s="116">
      <c r="A4" s="115" t="inlineStr">
        <is>
          <t>d20 + Bônus de Ataque(atacante) &gt;= Defesa(alvo) -&gt; acerta</t>
        </is>
      </c>
    </row>
    <row r="5" ht="15" customHeight="1" s="116">
      <c r="A5" s="115" t="inlineStr">
        <is>
          <t>Regra de dado: natural 1 = sempre erra&lt;br&gt;natural 20 = sempre acerta</t>
        </is>
      </c>
    </row>
    <row r="6" ht="15" customHeight="1" s="116">
      <c r="A6" s="115" t="inlineStr">
        <is>
          <t>Chance de acerto = (21 - (Defesa alvo - seu Bônus Ataque)) / 20, entre 5% e 95%</t>
        </is>
      </c>
    </row>
    <row r="7" ht="15" customHeight="1" s="116"/>
    <row r="8" ht="15" customHeight="1" s="116">
      <c r="A8" s="120" t="inlineStr">
        <is>
          <t>2. Dano</t>
        </is>
      </c>
    </row>
    <row r="9" ht="15" customHeight="1" s="116">
      <c r="A9" s="115" t="inlineStr">
        <is>
          <t>Dano = ARREDONDA(DanoBaseTier(Tier,Raridade) x ModTipo x ModVariação, 0) — ver detalhe completo na Seção 8</t>
        </is>
      </c>
    </row>
    <row r="10" ht="15" customHeight="1" s="116">
      <c r="A10" s="115" t="inlineStr">
        <is>
          <t>Adaga x0,8 (ver Seção 8: 25% chance de golpe extra a 50% do dano — NÃO é 2 ataques garantidos)&lt;br&gt;Espada x1,0&lt;br&gt;Machado x1,2&lt;br&gt;Maça x1,1</t>
        </is>
      </c>
    </row>
    <row r="11" ht="15" customHeight="1" s="116">
      <c r="A11" s="115" t="inlineStr">
        <is>
          <t>Arco x0,9 (sempre 2 mãos)&lt;br&gt;Manopla x0,85 (sem golpe extra — Atordoamento é a identidade dela)&lt;br&gt;Cetro x0,7</t>
        </is>
      </c>
    </row>
    <row r="12" ht="15" customHeight="1" s="116"/>
    <row r="13" ht="15" customHeight="1" s="116"/>
    <row r="14" ht="15" customHeight="1" s="116">
      <c r="A14" s="120" t="inlineStr">
        <is>
          <t>3. Defesa</t>
        </is>
      </c>
    </row>
    <row r="15" ht="15" customHeight="1" s="116">
      <c r="A15" s="115" t="inlineStr">
        <is>
          <t>Defesa = soma dos 8 slots equipados + mod. DES</t>
        </is>
      </c>
    </row>
    <row r="16" ht="15" customHeight="1" s="116">
      <c r="A16" s="115" t="inlineStr">
        <is>
          <t>Peso de cada slot no orçamento de Defesa do tier:</t>
        </is>
      </c>
    </row>
    <row r="17" ht="15" customHeight="1" s="116">
      <c r="A17" s="115" t="inlineStr">
        <is>
          <t>Peitoral 26%&lt;br&gt;Calça 16%&lt;br&gt;Escudo 15%&lt;br&gt;Elmo 11%&lt;br&gt;Amuleto 8%&lt;br&gt;Luvas 7%&lt;br&gt;Bota 7%&lt;br&gt;Anel 5%</t>
        </is>
      </c>
    </row>
    <row r="18" ht="15" customHeight="1" s="116">
      <c r="A18" s="115" t="inlineStr">
        <is>
          <t>(anéis e amuletos SOMAM defesa nesta versão — decisão tomada em 25/08)</t>
        </is>
      </c>
    </row>
    <row r="19" ht="15" customHeight="1" s="116">
      <c r="A19" s="115" t="inlineStr">
        <is>
          <t>A Defesa Esperada listada na Curva Mestra é o valor BASE. O modificador de Destreza (DES) deve ser SOMADO por cima desse valor para obter a Defesa final do personagem.</t>
        </is>
      </c>
    </row>
    <row r="20" ht="15" customHeight="1" s="116">
      <c r="A20" s="120" t="inlineStr">
        <is>
          <t>4. HP / Mana / XP</t>
        </is>
      </c>
    </row>
    <row r="21" ht="15" customHeight="1" s="116">
      <c r="A21" s="115" t="inlineStr">
        <is>
          <t>Todos calculados na Curva Mestra a partir do Nível — não precisa fazer conta, só olhar a linha do nível.</t>
        </is>
      </c>
    </row>
    <row r="22" ht="15" customHeight="1" s="116"/>
    <row r="23" ht="15" customHeight="1" s="116">
      <c r="A23" s="120" t="inlineStr">
        <is>
          <t>5. Monstros — multiplicadores por Papel</t>
        </is>
      </c>
    </row>
    <row r="24" ht="15" customHeight="1" s="116">
      <c r="A24" s="115" t="inlineStr">
        <is>
          <t>Papel&lt;br&gt;Mult. Dano&lt;br&gt;Bônus Defesa&lt;br&gt;Fator XP&lt;br&gt;Bônus Ataque extra</t>
        </is>
      </c>
    </row>
    <row r="25" ht="15" customHeight="1" s="116">
      <c r="A25" s="115" t="inlineStr">
        <is>
          <t>Comum&lt;br&gt;x1,0&lt;br&gt;+0&lt;br&gt;x0,12&lt;br&gt;+0</t>
        </is>
      </c>
    </row>
    <row r="26" ht="15" customHeight="1" s="116">
      <c r="A26" s="115" t="inlineStr">
        <is>
          <t>Elite&lt;br&gt;x1,3&lt;br&gt;+3&lt;br&gt;x0,35&lt;br&gt;+2</t>
        </is>
      </c>
    </row>
    <row r="27" ht="15" customHeight="1" s="116">
      <c r="A27" s="115" t="inlineStr">
        <is>
          <t>Boss&lt;br&gt;x1,6&lt;br&gt;+6&lt;br&gt;x1,0&lt;br&gt;+4</t>
        </is>
      </c>
    </row>
    <row r="28" ht="15" customHeight="1" s="116">
      <c r="A28" s="115" t="inlineStr">
        <is>
          <t>Cósmico&lt;br&gt;x2,2&lt;br&gt;+10&lt;br&gt;x2,5&lt;br&gt;+6</t>
        </is>
      </c>
    </row>
    <row r="29" ht="15" customHeight="1" s="116"/>
    <row r="30" ht="15" customHeight="1" s="116">
      <c r="A30" s="120" t="inlineStr">
        <is>
          <t>6. Sub-variantes de dificuldade dentro de 'Comum' (abas Comuns ★ / ★★ / ★★★)</t>
        </is>
      </c>
    </row>
    <row r="31" ht="15" customHeight="1" s="116">
      <c r="A31" s="115" t="inlineStr">
        <is>
          <t>★ Normal:   sem alteração</t>
        </is>
      </c>
    </row>
    <row r="32" ht="15" customHeight="1" s="116">
      <c r="A32" s="115" t="inlineStr">
        <is>
          <t>★★ Médio:   HP x1,3&lt;br&gt;Dano x1,15&lt;br&gt;Defesa +2</t>
        </is>
      </c>
    </row>
    <row r="33" ht="15" customHeight="1" s="116">
      <c r="A33" s="115" t="inlineStr">
        <is>
          <t>★★★ Difícil: HP x1,6&lt;br&gt;Dano x1,3&lt;br&gt;Defesa +4</t>
        </is>
      </c>
    </row>
    <row r="34" ht="15" customHeight="1" s="116">
      <c r="A34" s="115" t="inlineStr">
        <is>
          <t>Uso: ao encontrar um Comum, escolha a estrela e leia os valores prontos na aba correspondente.</t>
        </is>
      </c>
    </row>
    <row r="35" ht="15" customHeight="1" s="116"/>
    <row r="36" ht="15" customHeight="1" s="116">
      <c r="A36" s="120" t="inlineStr">
        <is>
          <t>7. Dados usados no jogo</t>
        </is>
      </c>
    </row>
    <row r="37" ht="15" customHeight="1" s="116">
      <c r="A37" s="115" t="inlineStr">
        <is>
          <t>d20: ataque, testes de atributo, iniciativa</t>
        </is>
      </c>
    </row>
    <row r="38" ht="15" customHeight="1" s="116">
      <c r="A38" s="115" t="inlineStr">
        <is>
          <t>Valor fixo (sem dado): dano e cura</t>
        </is>
      </c>
    </row>
    <row r="39" ht="15" customHeight="1" s="116">
      <c r="A39" s="115" t="inlineStr">
        <is>
          <t>d100: raridade de loot, eventos de viagem/exploração</t>
        </is>
      </c>
    </row>
    <row r="41" ht="15" customHeight="1" s="116">
      <c r="A41" s="120" t="inlineStr">
        <is>
          <t>8. Sistema de Equipamentos — Variação e Identidade de Tipo (fechado em 27/08)</t>
        </is>
      </c>
    </row>
    <row r="42" ht="15" customHeight="1" s="116"/>
    <row r="43" ht="15" customHeight="1" s="116">
      <c r="A43" s="115" t="inlineStr">
        <is>
          <t>Dano Final   = ARREDONDA(DanoBaseTier(Tier,Raridade) x ModTipo x ModVariação, 0)</t>
        </is>
      </c>
    </row>
    <row r="44" ht="15" customHeight="1" s="116">
      <c r="A44" s="115" t="inlineStr">
        <is>
          <t>Defesa Final = ARREDONDA(DefesaBaseTier(Tier) x PesoSlot x ModVariação x MultRaridade, 0)</t>
        </is>
      </c>
    </row>
    <row r="45" ht="15" customHeight="1" s="116"/>
    <row r="46" ht="15" customHeight="1" s="116">
      <c r="A46" s="120" t="inlineStr">
        <is>
          <t>Limites de Mod. Variação por Tipo de arma (protege a hierarquia — nunca usar 0,90-1,10 igual pra todos):</t>
        </is>
      </c>
    </row>
    <row r="47" ht="15" customHeight="1" s="116">
      <c r="A47" s="115" t="inlineStr">
        <is>
          <t>Cetro: 0,90 a 1,07&lt;br&gt;Adaga: 0,94 a 1,03&lt;br&gt;Manopla: 0,97 a 1,03&lt;br&gt;Arco: 0,97 a 1,05&lt;br&gt;Espada: 0,95 a 1,05&lt;br&gt;Maça: 0,96 a 1,04&lt;br&gt;Machado: 0,96 a 1,05</t>
        </is>
      </c>
    </row>
    <row r="48" ht="15" customHeight="1" s="116">
      <c r="A48" s="115" t="inlineStr">
        <is>
          <t>Regra de atribuição: efeito ativo do pool -&gt; usa o piso&lt;br&gt;Fragilidade ou nome 'pesada/reforçada' -&gt; usa o teto&lt;br&gt;sem efeito -&gt; 1,00 (padrão)</t>
        </is>
      </c>
    </row>
    <row r="49" ht="15" customHeight="1" s="116">
      <c r="A49" s="115" t="inlineStr">
        <is>
          <t>Armaduras (sem risco de hierarquia entre slots): Fragilidade/nome pesado = 1,05&lt;br&gt;efeito ativo = 0,93&lt;br&gt;padrão = 1,00</t>
        </is>
      </c>
    </row>
    <row r="50" ht="15" customHeight="1" s="116"/>
    <row r="51" ht="15" customHeight="1" s="116">
      <c r="A51" s="120" t="inlineStr">
        <is>
          <t>Regra definitiva da Adaga (mecânica de combate, NÃO multiplica o Dano Final):</t>
        </is>
      </c>
    </row>
    <row r="52" ht="15" customHeight="1" s="116">
      <c r="A52" s="115" t="inlineStr">
        <is>
          <t>Ataque 1 = 100% do dano. Se acertar, 25% de chance de golpe adicional imediato a 50% do dano. Valor esperado ~1,125x.</t>
        </is>
      </c>
    </row>
    <row r="53" ht="15" customHeight="1" s="116">
      <c r="A53" s="115" t="inlineStr">
        <is>
          <t>Manopla NÃO recebe essa mecânica — fica com 1 ataque + Atordoamento (20% de chance de anular a próxima ação do alvo), pra não copiar a Adaga.</t>
        </is>
      </c>
    </row>
    <row r="54" ht="15" customHeight="1" s="116"/>
    <row r="55" ht="15" customHeight="1" s="116">
      <c r="A55" s="120" t="inlineStr">
        <is>
          <t>Tabela dos 8 efeitos (regra numérica fixa, equipamento procedural — Lendários podem ter versão própria mais forte):</t>
        </is>
      </c>
    </row>
    <row r="56" ht="15" customHeight="1" s="116">
      <c r="A56" s="115" t="inlineStr">
        <is>
          <t>1. Sangramento: 1 dano/turno por 2 turnos ao acertar</t>
        </is>
      </c>
    </row>
    <row r="57" ht="15" customHeight="1" s="116">
      <c r="A57" s="115" t="inlineStr">
        <is>
          <t>2. Ignora Defesa: ignora 1 ponto de Defesa do alvo (fixo)</t>
        </is>
      </c>
    </row>
    <row r="58" ht="15" customHeight="1" s="116">
      <c r="A58" s="115" t="inlineStr">
        <is>
          <t>3. Queimadura: 2 dano/turno por 2 turnos ao acertar</t>
        </is>
      </c>
    </row>
    <row r="59" ht="15" customHeight="1" s="116">
      <c r="A59" s="115" t="inlineStr">
        <is>
          <t>4. Lentidão/Imobilização: alvo perde a ação de Movimento no turno seguinte (resiste com FOR/DES CD 12)</t>
        </is>
      </c>
    </row>
    <row r="60" ht="15" customHeight="1" s="116">
      <c r="A60" s="115" t="inlineStr">
        <is>
          <t>5. Atordoamento: 20% de chance de anular a próxima ação do alvo ao acertar</t>
        </is>
      </c>
    </row>
    <row r="61" ht="15" customHeight="1" s="116">
      <c r="A61" s="115" t="inlineStr">
        <is>
          <t>6. Rouba Vida: cura 15% do dano causado como HP ao acertar</t>
        </is>
      </c>
    </row>
    <row r="62" ht="15" customHeight="1" s="116">
      <c r="A62" s="115" t="inlineStr">
        <is>
          <t>7. Ignora Resistência Mágica: ignora toda Resistência Mágica do alvo nesse golpe</t>
        </is>
      </c>
    </row>
    <row r="63" ht="15" customHeight="1" s="116">
      <c r="A63" s="115" t="inlineStr">
        <is>
          <t>8. Fragilidade: 5% de chance de quebrar (perde o bônus de Variação até reparar) ao sofrer um crítico</t>
        </is>
      </c>
    </row>
    <row r="64" ht="15" customHeight="1" s="116"/>
    <row r="65" ht="15" customHeight="1" s="116">
      <c r="A65" s="120" t="inlineStr">
        <is>
          <t>Lendários e Artefatos (aba própria): Dano/Defesa Base = Tiers!Dano-ou-Defesa-Lendário x ModTipo/Slot x Mod.Próprio do item (curado, pode ser &lt;1,00 — Lendário não precisa vencer todo Raro em número bruto, a identidade vem do efeito único).</t>
        </is>
      </c>
    </row>
    <row r="66" ht="15" customHeight="1" s="116">
      <c r="A66" s="115" t="inlineStr">
        <is>
          <t>Acessórios (Anel/Amuleto) Lendários não têm Dano/Defesa base — só o efeito especial importa pra eles.</t>
        </is>
      </c>
    </row>
    <row r="68" ht="15" customHeight="1" s="116">
      <c r="A68" s="120" t="inlineStr">
        <is>
          <t>9. Marcos de Nível (fechado em 28/08)</t>
        </is>
      </c>
    </row>
    <row r="69" ht="15" customHeight="1" s="116">
      <c r="A69" s="115" t="inlineStr">
        <is>
          <t>Marco = qualquer quest do Tier atual concluída. Não precisa fazer todas — só a Missão Principal é sempre obrigatória e é sempre o último marco do Tier.</t>
        </is>
      </c>
    </row>
    <row r="70" ht="15" customHeight="1" s="116">
      <c r="A70" s="115" t="inlineStr">
        <is>
          <t>Sem a Missão Principal concluída, o Nível não avança pro próximo Tier mesmo com XP de sobra (XP pode 'estocar' acima do necessário).</t>
        </is>
      </c>
    </row>
    <row r="71" ht="15" customHeight="1" s="116">
      <c r="A71" s="115" t="inlineStr">
        <is>
          <t>Dificuldade do marco por Ato (usa a coluna Tipo que a Missões já tem, sem nada novo):</t>
        </is>
      </c>
    </row>
    <row r="72" ht="15" customHeight="1" s="116">
      <c r="A72" s="115" t="inlineStr">
        <is>
          <t>Ato I e II (Tiers 1-6): qualquer quest secundária conta.</t>
        </is>
      </c>
    </row>
    <row r="73" ht="15" customHeight="1" s="116">
      <c r="A73" s="115" t="inlineStr">
        <is>
          <t>Ato III e IV (Tiers 7-12): só conta Significativa pra cima (Modesta/Gente Humilde ainda valem jogar, só não avançam nível).</t>
        </is>
      </c>
    </row>
    <row r="74" ht="15" customHeight="1" s="116">
      <c r="A74" s="115" t="inlineStr">
        <is>
          <t>Ato V (Tiers 13-14): só conta Definidora/Boss.</t>
        </is>
      </c>
    </row>
    <row r="75" ht="15" customHeight="1" s="116">
      <c r="A75" s="115" t="inlineStr">
        <is>
          <t>O nível só é APLICADO (HP/Dano/Defesa novos entram em vigor) no próximo Descanso Longo em cidade — cumprir o marco no meio da masmorra não aplica na hora.</t>
        </is>
      </c>
    </row>
    <row r="77" ht="15" customHeight="1" s="116">
      <c r="A77" s="120" t="inlineStr">
        <is>
          <t>10. Perigo, Atenção e Economia de Grind (fechado em 28/08)</t>
        </is>
      </c>
    </row>
    <row r="78" ht="15" customHeight="1" s="116">
      <c r="A78" s="115" t="inlineStr">
        <is>
          <t>Perigo (1-5), coluna nova na Mundo-Locais — reponta os pesos do d100 de Exploração (Motor do Mestre, Seção 5):</t>
        </is>
      </c>
    </row>
    <row r="79" ht="15" customHeight="1" s="116">
      <c r="A79" s="115" t="inlineStr">
        <is>
          <t>Perigo 1: Nada 1-70&lt;br&gt;Comum 71-90&lt;br&gt;Elite 91-97&lt;br&gt;Ameaça Sup. 98-99&lt;br&gt;Boss —&lt;br&gt;Achado 100</t>
        </is>
      </c>
    </row>
    <row r="80" ht="15" customHeight="1" s="116">
      <c r="A80" s="115" t="inlineStr">
        <is>
          <t>Perigo 2: Nada 1-60&lt;br&gt;Comum 61-83&lt;br&gt;Elite 84-94&lt;br&gt;Ameaça Sup. 95-98&lt;br&gt;Boss 99&lt;br&gt;Achado 100</t>
        </is>
      </c>
    </row>
    <row r="81" ht="15" customHeight="1" s="116">
      <c r="A81" s="115" t="inlineStr">
        <is>
          <t>Perigo 3 (padrão): Nada 1-50&lt;br&gt;Comum 51-75&lt;br&gt;Elite 76-87&lt;br&gt;Ameaça Sup. 88-95&lt;br&gt;Boss 96-99&lt;br&gt;Achado 100</t>
        </is>
      </c>
    </row>
    <row r="82" ht="15" customHeight="1" s="116">
      <c r="A82" s="115" t="inlineStr">
        <is>
          <t>Perigo 4: Nada 1-35&lt;br&gt;Comum 36-63&lt;br&gt;Elite 64-80&lt;br&gt;Ameaça Sup. 81-93&lt;br&gt;Boss 94-99&lt;br&gt;Achado 100</t>
        </is>
      </c>
    </row>
    <row r="83" ht="15" customHeight="1" s="116">
      <c r="A83" s="115" t="inlineStr">
        <is>
          <t>Perigo 5: Nada 1-20&lt;br&gt;Comum 21-45&lt;br&gt;Elite 46-65&lt;br&gt;Ameaça Sup. 66-85&lt;br&gt;Boss 86-97&lt;br&gt;Achado 98-100</t>
        </is>
      </c>
    </row>
    <row r="84" ht="15" customHeight="1" s="116"/>
    <row r="85" ht="15" customHeight="1" s="116">
      <c r="A85" s="115" t="inlineStr">
        <is>
          <t>Atenção (0-100): +5 combate vencido&lt;br&gt;+10 vs Elite/Boss&lt;br&gt;+15 furtividade falha/roubo. -10 Descanso Longo (cidade)&lt;br&gt;-5 Descanso Curto discreto&lt;br&gt;-3/hora sem ação agressiva.</t>
        </is>
      </c>
    </row>
    <row r="86" ht="15" customHeight="1" s="116">
      <c r="A86" s="115" t="inlineStr">
        <is>
          <t>A cada 25 pontos de Atenção acima de 50, o Perigo efetivo da região sobe +1 (teto 5). Atenção ≥80: próximo Descanso tem Emboscada garantida (sem rolar dado).</t>
        </is>
      </c>
    </row>
    <row r="87" ht="15" customHeight="1" s="116"/>
    <row r="88" ht="15" customHeight="1" s="116">
      <c r="A88" s="115" t="inlineStr">
        <is>
          <t>Economia — preço de compra/venda: ver aba Economia, linhas 30-34. Regra de ritmo: 1 arma Comum do tier atual = ~1 sessão de grind, em todos os tiers.</t>
        </is>
      </c>
    </row>
    <row r="90" ht="15" customHeight="1" s="116">
      <c r="A90" s="120" t="inlineStr">
        <is>
          <t>11. Descanso e Facções (fechado em 28/08)</t>
        </is>
      </c>
    </row>
    <row r="91" ht="15" customHeight="1" s="116">
      <c r="A91" s="115" t="inlineStr">
        <is>
          <t>Descanso Curto: em qualquer lugar fora de combate direto. Rola 1d100 contra a tabela de Perigo do local (Seção 10) — só 'Nada' ou 'Achado' não interrompem, qualquer outro resultado interrompe o descanso. Recupera +10 VIG e remove Atordoado.</t>
        </is>
      </c>
    </row>
    <row r="92" ht="15" customHeight="1" s="116">
      <c r="A92" s="115" t="inlineStr">
        <is>
          <t>Descanso Longo: SÓ em cidade (as 7 cidades já têm Perigo=1, então ~70% de chance de não ser interrompido). Recupera 100% VIG + 50% HP, aplica o Nível pendente (Seção 9), reduz Atenção em -10.</t>
        </is>
      </c>
    </row>
    <row r="93" ht="15" customHeight="1" s="116"/>
    <row r="94" ht="15" customHeight="1" s="116">
      <c r="A94" s="115" t="inlineStr">
        <is>
          <t>Facções: reputação -100 a +100 por facção (as 7-8 já existentes na aba Reinos e Facções). A cada 20 pontos positivos desbloqueia 1 item da lista: desconto de loja, quest extra, área restrita, serviço, equipamento exclusivo, aliado em combate (só no +100).</t>
        </is>
      </c>
    </row>
    <row r="95" ht="15" customHeight="1" s="116">
      <c r="A95" s="115" t="inlineStr">
        <is>
          <t>Negativo: a cada -20, some 1 benefício e piora o tratamento (preço +10% a cada -20, até hostilidade ativa em -80/-100).</t>
        </is>
      </c>
    </row>
    <row r="96" ht="15" customHeight="1" s="116">
      <c r="A96" s="115" t="inlineStr">
        <is>
          <t>13 quests já mapeadas com Facção Afetada + Pontos, direto na aba Missões (colunas F e G) — o resto das ~100 quests não mexe em reputação de facção, só nessas escolhas de peso.</t>
        </is>
      </c>
    </row>
    <row r="97" ht="15" customHeight="1" s="116">
      <c r="A97" s="115" t="inlineStr">
        <is>
          <t>Regra de Alimentação: O personagem só pode ter 1 buff de Comida/Bebida ativo por vez. Consumir uma nova comida substitui o buff anterior.</t>
        </is>
      </c>
    </row>
    <row r="98" ht="15" customHeight="1" s="116">
      <c r="A98" s="120" t="inlineStr">
        <is>
          <t>12. Materiais e Exploração (fechado em 28/08)</t>
        </is>
      </c>
    </row>
    <row r="99" ht="15" customHeight="1" s="116">
      <c r="A99" s="115" t="inlineStr">
        <is>
          <t>Qualidade de Coleta: ligada à margem de sucesso do teste (ver Recursos Naturais, coluna L). 0-4=Comum&lt;br&gt;5-9=Boa (1,5x)&lt;br&gt;10+=Excelente (substitui Essência).</t>
        </is>
      </c>
    </row>
    <row r="100" ht="15" customHeight="1" s="116">
      <c r="A100" s="115" t="inlineStr">
        <is>
          <t>Exploração custa VIG: 5 + 1 por ponto de Perigo acima de 1 (Perigo 1 = 5 VIG&lt;br&gt;Perigo 5 = 9 VIG). Coleta de material custa 3 VIG à parte.</t>
        </is>
      </c>
    </row>
    <row r="102" ht="15" customHeight="1" s="116">
      <c r="A102" s="120" t="inlineStr">
        <is>
          <t>13. Bloco 7 — Knowledge, Descoberta, Relação com NPC, Codex (fechado em 28/08)</t>
        </is>
      </c>
    </row>
    <row r="103" ht="15" customHeight="1" s="116">
      <c r="A103" s="115" t="inlineStr">
        <is>
          <t>Knowledge (0-5) por monstro: 0-2 revela Nome/Comportamento/Ataques (já visível pra todo mundo, é a ficha básica). 3-4 revela Resistência. 5 revela a Fraqueza (coluna nova no Bestiário, todos os 123 já preenchidos).</t>
        </is>
      </c>
    </row>
    <row r="104" ht="15" customHeight="1" s="116">
      <c r="A104" s="115" t="inlineStr">
        <is>
          <t>Ganha Knowledge: +1 observar, +1 combater e sobreviver, +2 estudar cadáver (precisa de material dropado), +1 livro/NPC especialista, +2 quest específica.</t>
        </is>
      </c>
    </row>
    <row r="105" ht="15" customHeight="1" s="116"/>
    <row r="106" ht="15" customHeight="1" s="116">
      <c r="A106" s="115" t="inlineStr">
        <is>
          <t>Descoberta/Identificação: Materiais e itens Lendários aparecem como '???' até identificados. Identifica com: teste de INT/SAB (CD = 10+Tier), NPC especialista (pago), ou item específico revelado por quest.</t>
        </is>
      </c>
    </row>
    <row r="107" ht="15" customHeight="1" s="116"/>
    <row r="108" ht="15" customHeight="1" s="116">
      <c r="A108" s="115" t="inlineStr">
        <is>
          <t>Relação com NPC (individual, diferente de Facção): 6 níveis — Hostil / Desconfiado / Neutro / Conhecido / Aliado / Íntimo. Sobe por AÇÃO (cumprir promessa, ajudar, defender), nunca só por presente. NPC lembra traição permanentemente — Relação não volta a subir depois de trair.</t>
        </is>
      </c>
    </row>
    <row r="109" ht="15" customHeight="1" s="116">
      <c r="A109" s="115" t="inlineStr">
        <is>
          <t>Efeitos por nível: Conhecido = preço normal + info básica. Aliado = desconto 10% + quests exclusivas. Íntimo = desconto 20% + ajuda em combate 1x por Ato + história pessoal do NPC revelada.</t>
        </is>
      </c>
    </row>
    <row r="110" ht="15" customHeight="1" s="116"/>
    <row r="111" ht="15" customHeight="1" s="116">
      <c r="A111" s="115" t="inlineStr">
        <is>
          <t>Codex/Diário do Mundo: não é dado novo — é a tela do Telegram Mini App que reúne Knowledge + Relação + Descoberta + Facções num lugar só. Não precisa de estrutura de planilha própria.</t>
        </is>
      </c>
    </row>
    <row r="113" ht="15" customHeight="1" s="116">
      <c r="A113" s="120" t="inlineStr">
        <is>
          <t>14. Sistema de Tempo — relógio rigoroso, 24h + Dia/Noite (fechado 29/08)</t>
        </is>
      </c>
    </row>
    <row r="114" ht="15" customHeight="1" s="116">
      <c r="A114" s="115" t="inlineStr">
        <is>
          <t>Relógio: 24h = 1 dia. Dia = 6h-18h&lt;br&gt;Noite = 18h-6h.</t>
        </is>
      </c>
    </row>
    <row r="115" ht="15" customHeight="1" s="116"/>
    <row r="116" ht="15" customHeight="1" s="116">
      <c r="A116" s="120" t="inlineStr">
        <is>
          <t>Custo de tempo por ação:</t>
        </is>
      </c>
    </row>
    <row r="117" ht="15" customHeight="1" s="116">
      <c r="A117" s="115" t="inlineStr">
        <is>
          <t>Ir até NPC/loja dentro da mesma cidade: 15-30 min&lt;br&gt;Mover entre locais da mesma região (fora de cidade): 2h</t>
        </is>
      </c>
    </row>
    <row r="118" ht="15" customHeight="1" s="116">
      <c r="A118" s="115" t="inlineStr">
        <is>
          <t>Viajar até outra região/cidade: 4-8h (conforme distância)&lt;br&gt;Explorar (1 rolagem): 1h&lt;br&gt;Coletar material: 1h</t>
        </is>
      </c>
    </row>
    <row r="119" ht="15" customHeight="1" s="116">
      <c r="A119" s="115" t="inlineStr">
        <is>
          <t>Combate (1 encontro): 30 min&lt;br&gt;Descanso Curto: 2h&lt;br&gt;Descanso Longo: 8h&lt;br&gt;Craftar 1 item: 1-3h (mais alto em tier maior)&lt;br&gt;Comprar/vender: 0h (não trava o relógio)</t>
        </is>
      </c>
    </row>
    <row r="120" ht="15" customHeight="1" s="116"/>
    <row r="121" ht="15" customHeight="1" s="116">
      <c r="A121" s="120" t="inlineStr">
        <is>
          <t>O que a Noite muda:</t>
        </is>
      </c>
    </row>
    <row r="122" ht="15" customHeight="1" s="116">
      <c r="A122" s="115" t="inlineStr">
        <is>
          <t>Perigo da região sobe +1 (empilha com o bônus de Atenção alta, do Bloco 3 — os dois juntos podem levar Perigo ao teto 5 rápido)</t>
        </is>
      </c>
    </row>
    <row r="123" ht="15" customHeight="1" s="116">
      <c r="A123" s="115" t="inlineStr">
        <is>
          <t>Lojas e Artesão Mestre da Base de Operações só atendem de dia. Poucas coisas (a definir por Local específico) só ficam acessíveis à noite.</t>
        </is>
      </c>
    </row>
    <row r="124" ht="15" customHeight="1" s="116">
      <c r="A124" s="115" t="inlineStr">
        <is>
          <t>Descanso Longo continua seguro em cidade a qualquer hora. Fora de cidade à noite, a rolagem de interrupção do Descanso Curto usa o Perigo já com o +1 da noite somado.</t>
        </is>
      </c>
    </row>
    <row r="125" ht="15" customHeight="1" s="116"/>
    <row r="126" ht="15" customHeight="1" s="116">
      <c r="A126" s="115" t="inlineStr">
        <is>
          <t>Conexão com Expedições AFK: mesmo relógio — uma expedição de 24h faz o tempo do mundo andar 1 dia inteiro pra você também (loja rotaciona, dia/noite alternam) enquanto ela roda.</t>
        </is>
      </c>
    </row>
    <row r="127" ht="15" customHeight="1" s="116"/>
    <row r="128" ht="15" customHeight="1" s="116">
      <c r="A128" s="115" t="inlineStr">
        <is>
          <t>Estações de Crafting (novo, ligado às Ferramentas/Comida): Forja = arma, armadura, ferramenta de coleta. Fogueira = comida/bebida, pode ser feita em qualquer lugar, até acampado. Caldeirão = só Poções (Consumíveis), não usado por nada além disso.</t>
        </is>
      </c>
    </row>
    <row r="130" ht="15" customHeight="1" s="116">
      <c r="A130" s="120" t="inlineStr">
        <is>
          <t>15. Masmorra Cooperativa (Multiplayer) — fechado 29/08, resto do Multiplayer EM ABERTO</t>
        </is>
      </c>
    </row>
    <row r="131" ht="15" customHeight="1" s="116">
      <c r="A131" s="115" t="inlineStr">
        <is>
          <t>Modo à parte, sem risco: não altera quest, NPC vivo/morto, nem reputação de facção do mundo principal.</t>
        </is>
      </c>
    </row>
    <row r="132" ht="15" customHeight="1" s="116">
      <c r="A132" s="115" t="inlineStr">
        <is>
          <t>Sorteia um Boss do Bestiário (123 já catalogados) do Tier mais alto que QUALQUER jogador do grupo já alcançou na campanha principal — nunca mais alto que isso.</t>
        </is>
      </c>
    </row>
    <row r="133" ht="15" customHeight="1" s="116">
      <c r="A133" s="115" t="inlineStr">
        <is>
          <t>Escala de HP do Boss: HP normal x (1 + 0,6 x jogadores extras). 2 jogadores = x1,6&lt;br&gt;3 jogadores = x2,2.</t>
        </is>
      </c>
    </row>
    <row r="134" ht="15" customHeight="1" s="116">
      <c r="A134" s="115" t="inlineStr">
        <is>
          <t>XP, Ouro e Loot são reais e voltam pro personagem de cada jogador — só não gera consequência narrativa permanente.</t>
        </is>
      </c>
    </row>
    <row r="135" ht="15" customHeight="1" s="116">
      <c r="A135" s="115" t="inlineStr">
        <is>
          <t>PENDENTE — decidir depois: como funciona o resto do Multiplayer (grupo compartilhado na campanha principal, decisão de quest a várias mãos, etc.)</t>
        </is>
      </c>
    </row>
    <row r="137" ht="15" customHeight="1" s="116">
      <c r="A137" s="120" t="inlineStr">
        <is>
          <t>16. Expansão do Bestiário — mecânicas novas (fechado 29/08)</t>
        </is>
      </c>
    </row>
    <row r="138" ht="15" customHeight="1" s="116">
      <c r="A138" s="115" t="inlineStr">
        <is>
          <t>Papel de Combate (coluna nova, não afeta número): DPS, Tanque, Controle, Debuffer, Suporte, Enxame, Invocador, Necrófago, Parasita, Ladrão, Assassino, Explosivo, Rastreador, Batedor, Mímico, Superloot/Evasivo, Não-hostil, Condicional, Nomeado. Puramente descritivo — HP/Dano/Defesa continuam vindo só da Curva Mestra.</t>
        </is>
      </c>
    </row>
    <row r="139" ht="15" customHeight="1" s="116"/>
    <row r="140" ht="15" customHeight="1" s="116">
      <c r="A140" s="115" t="inlineStr">
        <is>
          <t>Mímico: aparece disfarçado de objeto do cenário (baú, minério, planta). Só revela a natureza ao ser interagido — surpreende o jogador com 1 turno de vantagem no primeiro golpe.</t>
        </is>
      </c>
    </row>
    <row r="141" ht="15" customHeight="1" s="116">
      <c r="A141" s="115" t="inlineStr">
        <is>
          <t>Superloot/Evasivo: HP normal, mas foge após N turnos se não for derrotado antes. Se derrotado a tempo, dropa material de 1 tier ACIMA do seu próprio — não invente item novo, use o material real do tier seguinte.</t>
        </is>
      </c>
    </row>
    <row r="142" ht="15" customHeight="1" s="116">
      <c r="A142" s="115" t="inlineStr">
        <is>
          <t>Condicional: só aparece quando uma condição externa é satisfeita (clima, hora do dia, presença de outro monstro específico). A condição precisa ser checável por dado que já existe no jogo (Eventos de Viagem e Clima, hora do relógio, etc.) — nunca invente condição sem lastro em sistema real.</t>
        </is>
      </c>
    </row>
    <row r="143" ht="15" customHeight="1" s="116">
      <c r="A143" s="115" t="inlineStr">
        <is>
          <t>Nomeado/Mini-Boss: criatura única com nome próprio, spawn raro (2-5%), sempre dentro do Bestiário normal (não é Monstros Raros). Pode ter opção de ser poupado (Título) OU derrotado (Loot Único) — nunca as duas coisas juntas.</t>
        </is>
      </c>
    </row>
    <row r="144" ht="15" customHeight="1" s="116">
      <c r="A144" s="115" t="inlineStr">
        <is>
          <t>Não-hostil: só ataca se atacado primeiro. Poupar costuma valer mais (revela segredo, dá reputação) do que matar.</t>
        </is>
      </c>
    </row>
    <row r="145" ht="15" customHeight="1" s="116">
      <c r="A145" s="115" t="inlineStr">
        <is>
          <t>Necrófago: se cura com cadáveres presentes no local (de combates anteriores vencidos ali). Parasita: só aparece junto de um hospedeiro específico (outro monstro), nunca sozinho.</t>
        </is>
      </c>
    </row>
    <row r="146" ht="15" customHeight="1" s="116">
      <c r="A146" s="115" t="inlineStr">
        <is>
          <t>Fase 2: só existe quando faz diferença de verdade — ativada por %HP, morte de aliado, ou turno específico. Coluna fica vazia quando o monstro não tem.</t>
        </is>
      </c>
    </row>
    <row r="147" ht="15" customHeight="1" s="116">
      <c r="A147" s="115" t="inlineStr">
        <is>
          <t>Interação Ambiental / Reação à Facção: texto livre, conecta o monstro ao mundo (altera o Perigo do local, é caçado por uma facção, etc.) — nunca mecânica nova sem regra numérica clara por trás.</t>
        </is>
      </c>
    </row>
    <row r="148" ht="15" customHeight="1" s="116"/>
    <row r="149" ht="15" customHeight="1" s="116">
      <c r="A149" s="115" t="inlineStr">
        <is>
          <t>Monstros Raros (aba própria): spawn de 0,5-1%, SEMPRE com Loot Exclusivo (nunca equipamento comum com número maior) e sempre gera Título ao derrotar. Diferente do Superloot (que é 1-3% e mora no Bestiário principal).</t>
        </is>
      </c>
    </row>
    <row r="151" ht="15" customHeight="1" s="116">
      <c r="A151" s="120" t="inlineStr">
        <is>
          <t>17. Compatibilidade: o Motor do Mestre usa FILTER() em 9 celulas — funciona perfeito no Google Sheets (confirmado), so mostra #NAME? se aberto em Excel anterior a 365/2021. Uso oficial do jogo e Google Sheets, entao isso nao e um bug real.</t>
        </is>
      </c>
    </row>
    <row r="153">
      <c r="A153" s="246" t="inlineStr">
        <is>
          <t>18. Sistema de Missoes por Tier — fechado (aprovado)</t>
        </is>
      </c>
    </row>
    <row r="154">
      <c r="A154" s="115" t="inlineStr">
        <is>
          <t>15 missoes por Tier nos Atos I-III (Tiers 1-9), reduzindo pra 13/12/11/10 conforme o Ato avanca (ver Campanha - Atos).</t>
        </is>
      </c>
    </row>
    <row r="155">
      <c r="A155" s="115" t="inlineStr">
        <is>
          <t>6 categorias: Principal(1) / Caca(3) / Coleta(3) / Elite(2) / Social(3) / Exploracao-Crafting(3) = 15.</t>
        </is>
      </c>
    </row>
    <row r="156">
      <c r="A156" s="115" t="inlineStr">
        <is>
          <t>Honra por facao: 0=Comum (liberada) | 50=Veterano (mais dificil, item Raro) | 100=Lendario (Boss alt./Tier+1, item Lendario+Artefato).</t>
        </is>
      </c>
    </row>
    <row r="157">
      <c r="A157" s="115" t="inlineStr">
        <is>
          <t>O beneficio de cada nivel de Honra usa o texto ja existente em Reinos e Faccoes (Beneficio de Reputacao/Alianca) — nao inventa recompensa nova.</t>
        </is>
      </c>
    </row>
    <row r="158">
      <c r="A158" s="115" t="inlineStr">
        <is>
          <t>Missao de Caca sempre referencia PAPEL (Comuns/Elites do Tier), nunca monstro individual — cobre todo o roster automaticamente, nao escala com quantidade de monstros criados.</t>
        </is>
      </c>
    </row>
    <row r="159">
      <c r="A159" s="115" t="inlineStr">
        <is>
          <t>Colunas novas em Missoes: Categoria, Requisito_Honra, Requisito_Nivel, Requisito_Quest_Previa, Requisito_Faccao, Requisito_Condicao_Texto, Recompensa_Item.</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I7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0" customWidth="1" style="115" min="1" max="1"/>
    <col width="20" customWidth="1" style="115" min="2" max="2"/>
    <col width="40" customWidth="1" style="115" min="3" max="3"/>
    <col width="30" customWidth="1" style="115" min="4" max="4"/>
    <col width="20" customWidth="1" style="115" min="5" max="5"/>
  </cols>
  <sheetData>
    <row r="1" ht="15.75" customHeight="1" s="116">
      <c r="A1" s="117" t="inlineStr">
        <is>
          <t>Motor do Mestre — gera encontro, loot, quests e cidade em 1 clique</t>
        </is>
      </c>
    </row>
    <row r="2" ht="15" customHeight="1" s="116">
      <c r="A2" s="115" t="inlineStr">
        <is>
          <t>Mude o Tier abaixo e edite a célula (ou F9) pra sortear de novo.</t>
        </is>
      </c>
    </row>
    <row r="4" ht="15" customHeight="1" s="116">
      <c r="A4" s="120" t="inlineStr">
        <is>
          <t>TIER DO GRUPO:</t>
        </is>
      </c>
      <c r="B4" s="121" t="inlineStr">
        <is>
          <t>Sucata Enferrujada</t>
        </is>
      </c>
    </row>
    <row r="6" ht="15" customHeight="1" s="116">
      <c r="A6" s="118" t="inlineStr">
        <is>
          <t>1. ENCONTRO SORTEADO</t>
        </is>
      </c>
      <c r="B6" s="122" t="n"/>
    </row>
    <row r="7" ht="15" customHeight="1" s="116">
      <c r="A7" s="115" t="inlineStr">
        <is>
          <t>Rolagem de Papel (d100)</t>
        </is>
      </c>
      <c r="B7" s="115">
        <f>RANDBETWEEN(1,100)</f>
        <v/>
      </c>
    </row>
    <row r="8" ht="15" customHeight="1" s="116">
      <c r="A8" s="115" t="inlineStr">
        <is>
          <t>Papel sorteado (55% Comum / 30% Elite / 15% Boss)</t>
        </is>
      </c>
      <c r="B8" s="115">
        <f>ifs($B$7&lt;=55,"Comum",$B$7&lt;=85,"Elite",TRUE(),"Boss")</f>
        <v/>
      </c>
    </row>
    <row r="9" ht="15" customHeight="1" s="116">
      <c r="A9" s="115" t="inlineStr">
        <is>
          <t>Monstro sorteado</t>
        </is>
      </c>
      <c r="B9" s="115">
        <f>INDEX(filter(Bestiario!$B$12:$B$700,Bestiario!$A$12:$A$700=$B$4,Bestiario!$C$12:$C$700=$B$8),RANDBETWEEN(1,COUNTIFS(Bestiario!$A$12:$A$700,$B$4,Bestiario!$C$12:$C$700,$B$8)))</f>
        <v/>
      </c>
    </row>
    <row r="10" ht="15" customHeight="1" s="116">
      <c r="A10" s="115" t="inlineStr">
        <is>
          <t>Nível</t>
        </is>
      </c>
      <c r="B10" s="115">
        <f>IFERROR(INDEX(Bestiario!$D$12:$D$700,MATCH($B$9,Bestiario!$B$12:$B$700,0)),"")</f>
        <v/>
      </c>
    </row>
    <row r="11" ht="15" customHeight="1" s="116">
      <c r="A11" s="115" t="inlineStr">
        <is>
          <t>HP</t>
        </is>
      </c>
      <c r="B11" s="115">
        <f>IFERROR(INDEX(Bestiario!$E$12:$E$700,MATCH($B$9,Bestiario!$B$12:$B$700,0)),"")</f>
        <v/>
      </c>
    </row>
    <row r="12" ht="15" customHeight="1" s="116">
      <c r="A12" s="115" t="inlineStr">
        <is>
          <t>Dano</t>
        </is>
      </c>
      <c r="B12" s="115">
        <f>IFERROR(INDEX(Bestiario!$F$12:$F$700,MATCH($B$9,Bestiario!$B$12:$B$700,0)),"")</f>
        <v/>
      </c>
    </row>
    <row r="13" ht="15" customHeight="1" s="116">
      <c r="A13" s="115" t="inlineStr">
        <is>
          <t>Defesa</t>
        </is>
      </c>
      <c r="B13" s="115">
        <f>IFERROR(INDEX(Bestiario!$G$12:$G$700,MATCH($B$9,Bestiario!$B$12:$B$700,0)),"")</f>
        <v/>
      </c>
    </row>
    <row r="14" ht="15" customHeight="1" s="116">
      <c r="A14" s="115" t="inlineStr">
        <is>
          <t>Golpe Especial</t>
        </is>
      </c>
      <c r="B14" s="115">
        <f>IFERROR(INDEX(Bestiario!$I$12:$I$700,MATCH($B$9,Bestiario!$B$12:$B$700,0)),"")</f>
        <v/>
      </c>
    </row>
    <row r="15" ht="15" customHeight="1" s="116">
      <c r="A15" s="115" t="inlineStr">
        <is>
          <t>Efeito do Golpe</t>
        </is>
      </c>
      <c r="B15" s="115">
        <f>IFERROR(INDEX(Bestiario!$J$12:$J$700,MATCH($B$9,Bestiario!$B$12:$B$700,0)),"")</f>
        <v/>
      </c>
    </row>
    <row r="17" ht="15" customHeight="1" s="116">
      <c r="A17" s="118" t="inlineStr">
        <is>
          <t>2. LOOT SORTEADO</t>
        </is>
      </c>
      <c r="B17" s="122" t="n"/>
    </row>
    <row r="18" ht="15" customHeight="1" s="116">
      <c r="A18" s="115" t="inlineStr">
        <is>
          <t>Tipo de Arma</t>
        </is>
      </c>
      <c r="B18" s="115">
        <f>INDEX(Armas!$A$5:$A$11,RANDBETWEEN(1,7))</f>
        <v/>
      </c>
    </row>
    <row r="19" ht="15" customHeight="1" s="116">
      <c r="A19" s="115" t="inlineStr">
        <is>
          <t>Rolagem de Raridade (d100)</t>
        </is>
      </c>
      <c r="B19" s="115">
        <f>RANDBETWEEN(1,100)</f>
        <v/>
      </c>
    </row>
    <row r="20" ht="15" customHeight="1" s="116">
      <c r="A20" s="115" t="inlineStr">
        <is>
          <t>Raridade (60% Comum / 30% Raro / 10% Lendário)</t>
        </is>
      </c>
      <c r="B20" s="115">
        <f>ifs($B$19&lt;=60,"Comum",$B$19&lt;=90,"Raro",TRUE(),"Lendario")</f>
        <v/>
      </c>
    </row>
    <row r="21" ht="15" customHeight="1" s="116">
      <c r="A21" s="115" t="inlineStr">
        <is>
          <t>Nº do Tier atual (auxiliar)</t>
        </is>
      </c>
      <c r="B21" s="115">
        <f>MATCH($B$4,Tiers!$B$9:$B$22,0)</f>
        <v/>
      </c>
    </row>
    <row r="22" ht="15" customHeight="1" s="116">
      <c r="A22" s="115" t="inlineStr">
        <is>
          <t>Variação sorteada (se Comum/Raro)</t>
        </is>
      </c>
      <c r="B22" s="115">
        <f>IF($B$20="Lendario","(ver linha de Lendário abaixo)",INDEX(filter(Armas!$C$15:$C$322,Armas!$A$15:$A$322=$B$4,Armas!$B$15:$B$322=$B$18),RANDBETWEEN(1,COUNTIFS(Armas!$A$15:$A$322,$B$4,Armas!$B$15:$B$322,$B$18))))</f>
        <v/>
      </c>
    </row>
    <row r="23" ht="15" customHeight="1" s="116">
      <c r="A23" s="115" t="inlineStr">
        <is>
          <t>Dano do item (Comum ou Raro)</t>
        </is>
      </c>
      <c r="B23" s="115">
        <f>IFERROR(IF($B$20="Comum",INDEX(Armas!$I$15:$I$322,MATCH($B$22,Armas!$C$15:$C$322,0)),IF($B$20="Raro",INDEX(Armas!$J$15:$J$322,MATCH($B$22,Armas!$C$15:$C$322,0)),"")),"")</f>
        <v/>
      </c>
    </row>
    <row r="24" ht="15" customHeight="1" s="116">
      <c r="A24" s="115" t="inlineStr">
        <is>
          <t>Efeito Especial do item</t>
        </is>
      </c>
      <c r="B24" s="115">
        <f>IFERROR(INDEX(Armas!$D$15:$D$322,MATCH($B$22,Armas!$C$15:$C$322,0)),"")</f>
        <v/>
      </c>
    </row>
    <row r="25" ht="15" customHeight="1" s="116">
      <c r="A25" s="115" t="inlineStr">
        <is>
          <t>Lendário sorteado (se Lendario)</t>
        </is>
      </c>
      <c r="B25" s="115">
        <f>IF($B$20&lt;&gt;"Lendario","",IFERROR(INDEX(filter('Artefatos e Relíquias'!$C$5:$C$90,'Artefatos e Relíquias'!$L$5:$L$90="Lendário",LEFT('Artefatos e Relíquias'!$D$5:$D$90,4)="Arma",ISNUMBER(SEARCH("Tier "&amp;$B$21&amp;" ",'Artefatos e Relíquias'!$E$5:$E$90))),RANDBETWEEN(1,COUNTIFS('Artefatos e Relíquias'!$L$5:$L$90,"Lendário",'Artefatos e Relíquias'!$D$5:$D$90,"Arma*",'Artefatos e Relíquias'!$E$5:$E$90,"*Tier "&amp;$B$21&amp;" *"))),"(nenhum Lendário de arma cadastrado nesse tier)"))</f>
        <v/>
      </c>
    </row>
    <row r="26" ht="15" customHeight="1" s="116">
      <c r="A26" s="115" t="inlineStr">
        <is>
          <t>Descrição final</t>
        </is>
      </c>
      <c r="B26" s="115">
        <f>IF($B$20="Lendario","1 "&amp;$B$25,"1 "&amp;$B$18&amp;" — "&amp;$B$22&amp;" ("&amp;$B$20&amp;") — Dano "&amp;$B$23&amp;IF($B$24&lt;&gt;"",", Efeito: "&amp;$B$24,""))</f>
        <v/>
      </c>
    </row>
    <row r="27" ht="15" customHeight="1" s="116"/>
    <row r="28" ht="15" customHeight="1" s="116"/>
    <row r="30" ht="15" customHeight="1" s="116">
      <c r="A30" s="118" t="inlineStr">
        <is>
          <t>3. MISSÕES DISPONÍVEIS NESTE TIER</t>
        </is>
      </c>
      <c r="B30" s="122" t="n"/>
      <c r="C30" s="122" t="n"/>
      <c r="D30" s="122" t="n"/>
      <c r="E30" s="122" t="n"/>
    </row>
    <row r="31" ht="15" customHeight="1" s="116">
      <c r="A31" s="115" t="inlineStr">
        <is>
          <t>Nome</t>
        </is>
      </c>
      <c r="B31" s="115" t="inlineStr">
        <is>
          <t>Tipo</t>
        </is>
      </c>
      <c r="C31" s="115" t="inlineStr">
        <is>
          <t>Objetivo</t>
        </is>
      </c>
      <c r="D31" s="115" t="inlineStr">
        <is>
          <t>Recompensa</t>
        </is>
      </c>
    </row>
    <row r="32" ht="15" customHeight="1" s="116">
      <c r="A32" s="115">
        <f>IFERROR(filter(Missoes!$B$16:$E$400,Missoes!$A$16:$A$400=$B$4),"(nenhuma cadastrada)")</f>
        <v/>
      </c>
    </row>
    <row r="49" ht="15" customHeight="1" s="116">
      <c r="A49" s="260" t="n"/>
      <c r="B49" s="260" t="n"/>
      <c r="C49" s="261" t="n"/>
      <c r="D49" s="261" t="n"/>
      <c r="E49" s="261" t="n"/>
    </row>
    <row r="50" ht="15" customHeight="1" s="116">
      <c r="A50" s="115" t="n"/>
      <c r="B50" s="115" t="n"/>
    </row>
    <row r="51" ht="15" customHeight="1" s="116">
      <c r="A51" s="262" t="n"/>
      <c r="B51" s="260" t="n"/>
      <c r="C51" s="260" t="n"/>
      <c r="D51" s="260" t="n"/>
      <c r="E51" s="260" t="n"/>
    </row>
    <row r="52" ht="15" customHeight="1" s="116">
      <c r="A52" s="115" t="n"/>
      <c r="B52" s="115" t="n"/>
      <c r="C52" s="115" t="n"/>
      <c r="D52" s="115" t="n"/>
    </row>
    <row r="53" ht="15" customHeight="1" s="116">
      <c r="A53" s="115" t="n"/>
      <c r="B53" s="115" t="n"/>
      <c r="C53" s="115" t="n"/>
      <c r="D53" s="115" t="n"/>
    </row>
    <row r="55" ht="15" customHeight="1" s="116">
      <c r="A55" s="262" t="n"/>
      <c r="B55" s="260" t="n"/>
      <c r="C55" s="261" t="n"/>
      <c r="D55" s="260" t="n"/>
      <c r="E55" s="260" t="n"/>
      <c r="F55" s="115" t="n"/>
      <c r="G55" s="115" t="n"/>
      <c r="H55" s="115" t="n"/>
      <c r="I55" s="115" t="n"/>
    </row>
    <row r="56" ht="15" customHeight="1" s="116">
      <c r="A56" s="115" t="n"/>
      <c r="B56" s="115" t="n"/>
      <c r="D56" s="115" t="n"/>
      <c r="E56" s="115" t="n"/>
      <c r="F56" s="115" t="n"/>
      <c r="G56" s="115" t="n"/>
      <c r="H56" s="115" t="n"/>
      <c r="I56" s="115" t="n"/>
    </row>
    <row r="57" ht="15" customHeight="1" s="116">
      <c r="A57" s="115" t="n"/>
      <c r="B57" s="115" t="n"/>
      <c r="D57" s="115" t="n"/>
      <c r="E57" s="115" t="n"/>
      <c r="F57" s="115" t="n"/>
      <c r="G57" s="115" t="n"/>
      <c r="H57" s="115" t="n"/>
      <c r="I57" s="115" t="n"/>
    </row>
    <row r="58" ht="15" customHeight="1" s="116">
      <c r="A58" s="115" t="n"/>
      <c r="B58" s="115" t="n"/>
      <c r="D58" s="115" t="n"/>
      <c r="E58" s="115" t="n"/>
      <c r="F58" s="115" t="n"/>
      <c r="G58" s="115" t="n"/>
      <c r="H58" s="115" t="n"/>
      <c r="I58" s="115" t="n"/>
    </row>
    <row r="59" ht="15" customHeight="1" s="116">
      <c r="A59" s="115" t="n"/>
      <c r="B59" s="115" t="n"/>
      <c r="D59" s="115" t="n"/>
      <c r="E59" s="115" t="n"/>
      <c r="F59" s="115" t="n"/>
      <c r="G59" s="115" t="n"/>
      <c r="H59" s="115" t="n"/>
      <c r="I59" s="115" t="n"/>
    </row>
    <row r="60" ht="15" customHeight="1" s="116">
      <c r="A60" s="115" t="n"/>
      <c r="B60" s="115" t="n"/>
      <c r="D60" s="115" t="n"/>
      <c r="E60" s="115" t="n"/>
      <c r="F60" s="115" t="n"/>
      <c r="G60" s="115" t="n"/>
      <c r="H60" s="115" t="n"/>
      <c r="I60" s="115" t="n"/>
    </row>
    <row r="67">
      <c r="A67" s="120" t="inlineStr">
        <is>
          <t>LOCAL ATUAL (pra Perigo):</t>
        </is>
      </c>
      <c r="B67" s="121" t="inlineStr">
        <is>
          <t>Vila Inicial</t>
        </is>
      </c>
    </row>
    <row r="68">
      <c r="A68" s="115" t="inlineStr">
        <is>
          <t>Perigo do Local (1-5)</t>
        </is>
      </c>
      <c r="B68" s="115">
        <f>IFERROR(INDEX('Mundo - Locais'!$L$5:$L$130,MATCH($B$67,'Mundo - Locais'!$A$5:$A$130,0)),3)</f>
        <v/>
      </c>
    </row>
    <row r="69">
      <c r="A69" s="232" t="inlineStr">
        <is>
          <t>4. CIDADE / MERCADOR DA REGIÃO</t>
        </is>
      </c>
      <c r="B69" s="263" t="n"/>
      <c r="C69" s="263" t="n"/>
      <c r="D69" s="263" t="n"/>
      <c r="E69" s="263" t="n"/>
    </row>
    <row r="70">
      <c r="A70" s="115" t="inlineStr">
        <is>
          <t>Cidade</t>
        </is>
      </c>
      <c r="B70" s="115" t="inlineStr">
        <is>
          <t>Teto de Tier p/ Venda</t>
        </is>
      </c>
      <c r="C70" s="115" t="inlineStr">
        <is>
          <t>Custo de Descanso (Ouro)</t>
        </is>
      </c>
      <c r="D70" s="115" t="inlineStr">
        <is>
          <t>Descrição</t>
        </is>
      </c>
    </row>
    <row r="71">
      <c r="A71" s="115">
        <f>IFERROR(filter('Cidades e NPCs'!$A$20:$A$26,ISNUMBER(SEARCH($B$4,'Cidades e NPCs'!$B$20:$B$26))),"")</f>
        <v/>
      </c>
      <c r="B71" s="115">
        <f>IFERROR(filter('Cidades e NPCs'!$F$20:$F$26,ISNUMBER(SEARCH($B$4,'Cidades e NPCs'!$B$20:$B$26))),"")</f>
        <v/>
      </c>
      <c r="C71" s="115">
        <f>IFERROR(filter('Cidades e NPCs'!$G$20:$G$26,ISNUMBER(SEARCH($B$4,'Cidades e NPCs'!$B$20:$B$26))),"")</f>
        <v/>
      </c>
      <c r="D71" s="115">
        <f>IFERROR(filter('Cidades e NPCs'!$E$20:$E$26,ISNUMBER(SEARCH($B$4,'Cidades e NPCs'!$B$20:$B$26))),"")</f>
        <v/>
      </c>
    </row>
    <row r="73">
      <c r="A73" s="232" t="inlineStr">
        <is>
          <t>5. ENCONTRO ALEATÓRIO DE EXPLORAÇÃO (1d100)</t>
        </is>
      </c>
      <c r="B73" s="263" t="n"/>
      <c r="D73" s="115" t="inlineStr">
        <is>
          <t>Perigo</t>
        </is>
      </c>
      <c r="E73" s="115" t="inlineStr">
        <is>
          <t>Nada até</t>
        </is>
      </c>
      <c r="F73" s="115" t="inlineStr">
        <is>
          <t>Comum até</t>
        </is>
      </c>
      <c r="G73" s="115" t="inlineStr">
        <is>
          <t>Elite até</t>
        </is>
      </c>
      <c r="H73" s="115" t="inlineStr">
        <is>
          <t>AmeaçaSup até</t>
        </is>
      </c>
      <c r="I73" s="115" t="inlineStr">
        <is>
          <t>Boss até</t>
        </is>
      </c>
    </row>
    <row r="74">
      <c r="A74" s="115" t="inlineStr">
        <is>
          <t>Rolagem (1d100)</t>
        </is>
      </c>
      <c r="B74" s="115">
        <f>RANDBETWEEN(1,100)</f>
        <v/>
      </c>
      <c r="D74" s="115" t="n">
        <v>1</v>
      </c>
      <c r="E74" s="115" t="n">
        <v>70</v>
      </c>
      <c r="F74" s="115" t="n">
        <v>90</v>
      </c>
      <c r="G74" s="115" t="n">
        <v>97</v>
      </c>
      <c r="H74" s="115" t="n">
        <v>99</v>
      </c>
      <c r="I74" s="115" t="n">
        <v>99</v>
      </c>
    </row>
    <row r="75">
      <c r="A75" s="115" t="inlineStr">
        <is>
          <t>Resultado (tabela de Perigo do local selecionado)</t>
        </is>
      </c>
      <c r="B75" s="115">
        <f>ifs($B$74&lt;=INDEX($E$74:$E$78,MATCH($B$68,$D$74:$D$78,0)),"Nada acontece",$B$74&lt;=INDEX($F$74:$F$78,MATCH($B$68,$D$74:$D$78,0)),"Monstro Comum do tier atual",$B$74&lt;=INDEX($G$74:$G$78,MATCH($B$68,$D$74:$D$78,0)),"Monstro Elite do tier atual",$B$74&lt;=INDEX($H$74:$H$78,MATCH($B$68,$D$74:$D$78,0)),"Ameaça Superior (próximo tier)",$B$74&lt;=INDEX($I$74:$I$78,MATCH($B$68,$D$74:$D$78,0)),"Emboscada de Boss do tier atual",TRUE(),"Achado raro (loot sem combate)")</f>
        <v/>
      </c>
      <c r="D75" s="115" t="n">
        <v>2</v>
      </c>
      <c r="E75" s="115" t="n">
        <v>60</v>
      </c>
      <c r="F75" s="115" t="n">
        <v>83</v>
      </c>
      <c r="G75" s="115" t="n">
        <v>94</v>
      </c>
      <c r="H75" s="115" t="n">
        <v>98</v>
      </c>
      <c r="I75" s="115" t="n">
        <v>99</v>
      </c>
    </row>
    <row r="76">
      <c r="A76" s="115" t="inlineStr">
        <is>
          <t>Tier a usar no sorteio</t>
        </is>
      </c>
      <c r="B76" s="115">
        <f>IF($B$75="Ameaça Superior (próximo tier)",IFERROR(INDEX(Tiers!$B$9:$B$22,MATCH($B$4,Tiers!$B$9:$B$22,0)+1),"(já é o último tier)"),$B$4)</f>
        <v/>
      </c>
      <c r="D76" s="115" t="n">
        <v>3</v>
      </c>
      <c r="E76" s="115" t="n">
        <v>50</v>
      </c>
      <c r="F76" s="115" t="n">
        <v>75</v>
      </c>
      <c r="G76" s="115" t="n">
        <v>87</v>
      </c>
      <c r="H76" s="115" t="n">
        <v>95</v>
      </c>
      <c r="I76" s="115" t="n">
        <v>99</v>
      </c>
    </row>
    <row r="77">
      <c r="A77" s="115" t="inlineStr">
        <is>
          <t>Papel a sortear</t>
        </is>
      </c>
      <c r="B77" s="115">
        <f>ifs($B$75="Monstro Comum do tier atual","Comum",$B$75="Monstro Elite do tier atual","Elite",$B$75="Ameaça Superior (próximo tier)","Elite",$B$75="Emboscada de Boss do tier atual","Boss",TRUE(),"")</f>
        <v/>
      </c>
      <c r="D77" s="115" t="n">
        <v>4</v>
      </c>
      <c r="E77" s="115" t="n">
        <v>35</v>
      </c>
      <c r="F77" s="115" t="n">
        <v>63</v>
      </c>
      <c r="G77" s="115" t="n">
        <v>80</v>
      </c>
      <c r="H77" s="115" t="n">
        <v>93</v>
      </c>
      <c r="I77" s="115" t="n">
        <v>99</v>
      </c>
    </row>
    <row r="78">
      <c r="A78" s="115" t="inlineStr">
        <is>
          <t>Monstro sorteado (se aplicável)</t>
        </is>
      </c>
      <c r="B78" s="115">
        <f>IF($B$77="","— (sem combate neste resultado)",INDEX(filter(Bestiario!$B$12:$B$718,Bestiario!$A$12:$A$718=$B$76,Bestiario!$C$12:$C$718=$B$77),RANDBETWEEN(1,COUNTIFS(Bestiario!$A$12:$A$718,$B$76,Bestiario!$C$12:$C$718,$B$77))))</f>
        <v/>
      </c>
      <c r="D78" s="115" t="n">
        <v>5</v>
      </c>
      <c r="E78" s="115" t="n">
        <v>20</v>
      </c>
      <c r="F78" s="115" t="n">
        <v>45</v>
      </c>
      <c r="G78" s="115" t="n">
        <v>65</v>
      </c>
      <c r="H78" s="115" t="n">
        <v>85</v>
      </c>
      <c r="I78" s="115" t="n">
        <v>97</v>
      </c>
    </row>
  </sheetData>
  <dataValidations count="2">
    <dataValidation sqref="B4" showDropDown="0" showInputMessage="0" showErrorMessage="0" allowBlank="0" type="list" errorStyle="stop" operator="between">
      <formula1>Tiers!$B$9:$B$22</formula1>
      <formula2>0</formula2>
    </dataValidation>
    <dataValidation sqref="B67" showDropDown="0" showInputMessage="0" showErrorMessage="0" allowBlank="1" type="list">
      <formula1>'Mundo - Locais'!$A$5:$A$130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O125"/>
  <sheetViews>
    <sheetView showFormulas="0" showGridLines="0" showRowColHeaders="1" showZeros="1" rightToLeft="0" tabSelected="1" showOutlineSymbols="1" defaultGridColor="1" view="normal" topLeftCell="A1" colorId="64" zoomScale="100" zoomScaleNormal="100" zoomScalePageLayoutView="100" workbookViewId="0">
      <pane xSplit="0" ySplit="19" topLeftCell="A20"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15" min="1" max="1"/>
    <col width="12" customWidth="1" style="115" min="2" max="2"/>
    <col width="20" customWidth="1" style="115" min="3" max="3"/>
    <col width="15" customWidth="1" style="115" min="4" max="4"/>
    <col width="14" customWidth="1" style="115" min="5" max="5"/>
    <col width="16" customWidth="1" style="115" min="6" max="6"/>
    <col width="14" customWidth="1" style="115" min="7" max="8"/>
    <col width="18" customWidth="1" style="115" min="9" max="9"/>
    <col width="16" customWidth="1" style="115" min="10" max="10"/>
    <col width="14" customWidth="1" style="115" min="11" max="11"/>
    <col width="8" customWidth="1" style="115" min="12" max="12"/>
    <col width="14" customWidth="1" style="115" min="13" max="13"/>
    <col width="15" customWidth="1" style="115" min="14" max="14"/>
    <col width="8" customWidth="1" style="115" min="15" max="15"/>
  </cols>
  <sheetData>
    <row r="1" ht="17.25" customHeight="1" s="116">
      <c r="A1" s="117" t="inlineStr">
        <is>
          <t>Curva Mestra de Progressão</t>
        </is>
      </c>
    </row>
    <row r="2" ht="15" customHeight="1" s="116">
      <c r="A2" s="123" t="inlineStr">
        <is>
          <t>Parametros em azul podem ser ajustados - tudo abaixo recalcula automaticamente.</t>
        </is>
      </c>
    </row>
    <row r="4" ht="15" customHeight="1" s="116">
      <c r="A4" s="124" t="inlineStr">
        <is>
          <t>Parametro</t>
        </is>
      </c>
      <c r="B4" s="124" t="inlineStr">
        <is>
          <t>Valor</t>
        </is>
      </c>
      <c r="C4" s="124" t="inlineStr">
        <is>
          <t>O que controla</t>
        </is>
      </c>
      <c r="K4" s="124" t="inlineStr">
        <is>
          <t>Parametro XP</t>
        </is>
      </c>
      <c r="L4" s="124" t="inlineStr">
        <is>
          <t>Valor</t>
        </is>
      </c>
      <c r="N4" s="124" t="inlineStr">
        <is>
          <t>Parametro Mana</t>
        </is>
      </c>
      <c r="O4" s="124" t="inlineStr">
        <is>
          <t>Valor</t>
        </is>
      </c>
    </row>
    <row r="5" ht="15" customHeight="1" s="116">
      <c r="A5" s="125" t="inlineStr">
        <is>
          <t>HP_base</t>
        </is>
      </c>
      <c r="B5" s="126" t="n">
        <v>18</v>
      </c>
      <c r="C5" s="123" t="inlineStr">
        <is>
          <t>HP inicial no nivel 1 (parte fixa)</t>
        </is>
      </c>
      <c r="K5" s="125" t="inlineStr">
        <is>
          <t>XP_base</t>
        </is>
      </c>
      <c r="L5" s="126" t="n">
        <v>50</v>
      </c>
      <c r="N5" s="125" t="inlineStr">
        <is>
          <t>Mana_base</t>
        </is>
      </c>
      <c r="O5" s="126" t="n">
        <v>10</v>
      </c>
    </row>
    <row r="6" ht="15" customHeight="1" s="116">
      <c r="A6" s="125" t="inlineStr">
        <is>
          <t>HP_lin</t>
        </is>
      </c>
      <c r="B6" s="126" t="n">
        <v>6</v>
      </c>
      <c r="C6" s="123" t="inlineStr">
        <is>
          <t>Crescimento linear de HP por nivel</t>
        </is>
      </c>
      <c r="K6" s="125" t="inlineStr">
        <is>
          <t>XP_lin</t>
        </is>
      </c>
      <c r="L6" s="126" t="n">
        <v>20</v>
      </c>
      <c r="N6" s="125" t="inlineStr">
        <is>
          <t>Mana_lin</t>
        </is>
      </c>
      <c r="O6" s="126" t="n">
        <v>4</v>
      </c>
    </row>
    <row r="7" ht="15" customHeight="1" s="116">
      <c r="A7" s="125" t="inlineStr">
        <is>
          <t>HP_quad</t>
        </is>
      </c>
      <c r="B7" s="126" t="n">
        <v>0.35</v>
      </c>
      <c r="C7" s="123" t="inlineStr">
        <is>
          <t>Crescimento acelerado de HP (nivel ao quadrado)</t>
        </is>
      </c>
      <c r="K7" s="125" t="inlineStr">
        <is>
          <t>XP_quad</t>
        </is>
      </c>
      <c r="L7" s="126" t="n">
        <v>3</v>
      </c>
      <c r="N7" s="125" t="inlineStr">
        <is>
          <t>Mana_quad</t>
        </is>
      </c>
      <c r="O7" s="126" t="n">
        <v>0.5</v>
      </c>
    </row>
    <row r="8" ht="15" customHeight="1" s="116">
      <c r="A8" s="125" t="inlineStr">
        <is>
          <t>Mult_MonstroComum</t>
        </is>
      </c>
      <c r="B8" s="126" t="n">
        <v>0.5</v>
      </c>
      <c r="C8" s="123" t="inlineStr">
        <is>
          <t>HP do monstro comum = HP jogador x este valor</t>
        </is>
      </c>
    </row>
    <row r="9" ht="15" customHeight="1" s="116">
      <c r="A9" s="125" t="inlineStr">
        <is>
          <t>Mult_MonstroElite</t>
        </is>
      </c>
      <c r="B9" s="126" t="n">
        <v>1.2</v>
      </c>
      <c r="C9" s="123" t="inlineStr">
        <is>
          <t>HP do monstro elite = HP jogador x este valor</t>
        </is>
      </c>
    </row>
    <row r="10" ht="15" customHeight="1" s="116">
      <c r="A10" s="125" t="inlineStr">
        <is>
          <t>Mult_MonstroBoss</t>
        </is>
      </c>
      <c r="B10" s="126" t="n">
        <v>1.35</v>
      </c>
      <c r="C10" s="123" t="inlineStr">
        <is>
          <t>HP do boss = HP jogador x este valor</t>
        </is>
      </c>
    </row>
    <row r="11" ht="15" customHeight="1" s="116">
      <c r="A11" s="125" t="inlineStr">
        <is>
          <t>Mult_MonstroCosmico</t>
        </is>
      </c>
      <c r="B11" s="126" t="n">
        <v>2.2</v>
      </c>
      <c r="C11" s="123" t="inlineStr">
        <is>
          <t>HP de entidade cosmica = HP jogador x este valor</t>
        </is>
      </c>
    </row>
    <row r="12" ht="15" customHeight="1" s="116">
      <c r="A12" s="125" t="inlineStr">
        <is>
          <t>Divisor_DanoArma</t>
        </is>
      </c>
      <c r="B12" s="126" t="n">
        <v>5</v>
      </c>
      <c r="C12" s="123" t="inlineStr">
        <is>
          <t>Dano de arma padrao = HP monstro comum / este valor</t>
        </is>
      </c>
    </row>
    <row r="13" ht="15" customHeight="1" s="116">
      <c r="A13" s="125" t="inlineStr">
        <is>
          <t>Defesa_base</t>
        </is>
      </c>
      <c r="B13" s="126" t="n">
        <v>5</v>
      </c>
      <c r="C13" s="123" t="inlineStr">
        <is>
          <t>Defesa esperada no nivel 1</t>
        </is>
      </c>
    </row>
    <row r="14" ht="15" customHeight="1" s="116">
      <c r="A14" s="125" t="inlineStr">
        <is>
          <t>Defesa_lin</t>
        </is>
      </c>
      <c r="B14" s="126" t="n">
        <v>0.9</v>
      </c>
      <c r="C14" s="123" t="inlineStr">
        <is>
          <t>Crescimento de Defesa por nivel</t>
        </is>
      </c>
    </row>
    <row r="15" ht="15" customHeight="1" s="116">
      <c r="A15" s="125" t="inlineStr">
        <is>
          <t>AtqBonus_base</t>
        </is>
      </c>
      <c r="B15" s="126" t="n">
        <v>2</v>
      </c>
      <c r="C15" s="123" t="inlineStr">
        <is>
          <t>Bonus de ataque no nivel 1</t>
        </is>
      </c>
    </row>
    <row r="16" ht="15" customHeight="1" s="116">
      <c r="A16" s="125" t="inlineStr">
        <is>
          <t>AtqBonus_lin</t>
        </is>
      </c>
      <c r="B16" s="126" t="n">
        <v>0.9</v>
      </c>
      <c r="C16" s="123" t="inlineStr">
        <is>
          <t>Crescimento do bonus de ataque por nivel</t>
        </is>
      </c>
    </row>
    <row r="18" ht="15" customHeight="1" s="116">
      <c r="A18" s="127" t="inlineStr">
        <is>
          <t>Tabela por Nivel (1 a 75)</t>
        </is>
      </c>
    </row>
    <row r="19" ht="15" customHeight="1" s="116">
      <c r="A19" s="124" t="inlineStr">
        <is>
          <t>Nivel</t>
        </is>
      </c>
      <c r="B19" s="124" t="inlineStr">
        <is>
          <t>HP Jogador</t>
        </is>
      </c>
      <c r="C19" s="124" t="inlineStr">
        <is>
          <t>Dano Arma Padrao (comum)</t>
        </is>
      </c>
      <c r="D19" s="124" t="inlineStr">
        <is>
          <t>Defesa Esperada</t>
        </is>
      </c>
      <c r="E19" s="124" t="inlineStr">
        <is>
          <t>Bonus de Ataque</t>
        </is>
      </c>
      <c r="F19" s="124" t="inlineStr">
        <is>
          <t>HP Monstro Comum</t>
        </is>
      </c>
      <c r="G19" s="124" t="inlineStr">
        <is>
          <t>HP Monstro Elite</t>
        </is>
      </c>
      <c r="H19" s="124" t="inlineStr">
        <is>
          <t>HP Monstro Boss</t>
        </is>
      </c>
      <c r="I19" s="124" t="inlineStr">
        <is>
          <t>HP Entidade Cosmica</t>
        </is>
      </c>
      <c r="J19" s="124" t="inlineStr">
        <is>
          <t>XP p/ Prox. Nivel</t>
        </is>
      </c>
      <c r="M19" s="124" t="inlineStr">
        <is>
          <t>Mana Jogador</t>
        </is>
      </c>
    </row>
    <row r="20" ht="15" customHeight="1" s="116">
      <c r="A20" s="128" t="n">
        <v>1</v>
      </c>
      <c r="B20" s="128">
        <f>ROUND($B$5+$B$6*A20+$B$7*A20^2,0)</f>
        <v/>
      </c>
      <c r="C20" s="128">
        <f>ROUND(F20/$B$12,0)</f>
        <v/>
      </c>
      <c r="D20" s="128">
        <f>ROUND($B$13+$B$14*A20,0)</f>
        <v/>
      </c>
      <c r="E20" s="128">
        <f>ROUND($B$15+$B$16*A20,0)</f>
        <v/>
      </c>
      <c r="F20" s="128">
        <f>ROUND(B20*$B$8,0)</f>
        <v/>
      </c>
      <c r="G20" s="128">
        <f>ROUND(B20*$B$9,0)</f>
        <v/>
      </c>
      <c r="H20" s="128">
        <f>ROUND(B20*$B$10,0)</f>
        <v/>
      </c>
      <c r="I20" s="128">
        <f>ROUND(B20*$B$11,0)</f>
        <v/>
      </c>
      <c r="J20" s="128">
        <f>ROUND($L$5+$L$6*A20+$L$7*A20^2,0)</f>
        <v/>
      </c>
      <c r="M20" s="128">
        <f>ROUND($O$5+$O$6*A20+$O$7*A20^2,0)</f>
        <v/>
      </c>
    </row>
    <row r="21" ht="15" customHeight="1" s="116">
      <c r="A21" s="128" t="n">
        <v>2</v>
      </c>
      <c r="B21" s="128">
        <f>ROUND($B$5+$B$6*A21+$B$7*A21^2,0)</f>
        <v/>
      </c>
      <c r="C21" s="128">
        <f>ROUND(F21/$B$12,0)</f>
        <v/>
      </c>
      <c r="D21" s="128">
        <f>ROUND($B$13+$B$14*A21,0)</f>
        <v/>
      </c>
      <c r="E21" s="128">
        <f>ROUND($B$15+$B$16*A21,0)</f>
        <v/>
      </c>
      <c r="F21" s="128">
        <f>ROUND(B21*$B$8,0)</f>
        <v/>
      </c>
      <c r="G21" s="128">
        <f>ROUND(B21*$B$9,0)</f>
        <v/>
      </c>
      <c r="H21" s="128">
        <f>ROUND(B21*$B$10,0)</f>
        <v/>
      </c>
      <c r="I21" s="128">
        <f>ROUND(B21*$B$11,0)</f>
        <v/>
      </c>
      <c r="J21" s="128">
        <f>ROUND($L$5+$L$6*A21+$L$7*A21^2,0)</f>
        <v/>
      </c>
      <c r="M21" s="128">
        <f>ROUND($O$5+$O$6*A21+$O$7*A21^2,0)</f>
        <v/>
      </c>
    </row>
    <row r="22" ht="15" customHeight="1" s="116">
      <c r="A22" s="128" t="n">
        <v>3</v>
      </c>
      <c r="B22" s="128">
        <f>ROUND($B$5+$B$6*A22+$B$7*A22^2,0)</f>
        <v/>
      </c>
      <c r="C22" s="128">
        <f>ROUND(F22/$B$12,0)</f>
        <v/>
      </c>
      <c r="D22" s="128">
        <f>ROUND($B$13+$B$14*A22,0)</f>
        <v/>
      </c>
      <c r="E22" s="128">
        <f>ROUND($B$15+$B$16*A22,0)</f>
        <v/>
      </c>
      <c r="F22" s="128">
        <f>ROUND(B22*$B$8,0)</f>
        <v/>
      </c>
      <c r="G22" s="128">
        <f>ROUND(B22*$B$9,0)</f>
        <v/>
      </c>
      <c r="H22" s="128">
        <f>ROUND(B22*$B$10,0)</f>
        <v/>
      </c>
      <c r="I22" s="128">
        <f>ROUND(B22*$B$11,0)</f>
        <v/>
      </c>
      <c r="J22" s="128">
        <f>ROUND($L$5+$L$6*A22+$L$7*A22^2,0)</f>
        <v/>
      </c>
      <c r="M22" s="128">
        <f>ROUND($O$5+$O$6*A22+$O$7*A22^2,0)</f>
        <v/>
      </c>
    </row>
    <row r="23" ht="15" customHeight="1" s="116">
      <c r="A23" s="128" t="n">
        <v>4</v>
      </c>
      <c r="B23" s="128">
        <f>ROUND($B$5+$B$6*A23+$B$7*A23^2,0)</f>
        <v/>
      </c>
      <c r="C23" s="128">
        <f>ROUND(F23/$B$12,0)</f>
        <v/>
      </c>
      <c r="D23" s="128">
        <f>ROUND($B$13+$B$14*A23,0)</f>
        <v/>
      </c>
      <c r="E23" s="128">
        <f>ROUND($B$15+$B$16*A23,0)</f>
        <v/>
      </c>
      <c r="F23" s="128">
        <f>ROUND(B23*$B$8,0)</f>
        <v/>
      </c>
      <c r="G23" s="128">
        <f>ROUND(B23*$B$9,0)</f>
        <v/>
      </c>
      <c r="H23" s="128">
        <f>ROUND(B23*$B$10,0)</f>
        <v/>
      </c>
      <c r="I23" s="128">
        <f>ROUND(B23*$B$11,0)</f>
        <v/>
      </c>
      <c r="J23" s="128">
        <f>ROUND($L$5+$L$6*A23+$L$7*A23^2,0)</f>
        <v/>
      </c>
      <c r="M23" s="128">
        <f>ROUND($O$5+$O$6*A23+$O$7*A23^2,0)</f>
        <v/>
      </c>
    </row>
    <row r="24" ht="15" customHeight="1" s="116">
      <c r="A24" s="128" t="n">
        <v>5</v>
      </c>
      <c r="B24" s="128">
        <f>ROUND($B$5+$B$6*A24+$B$7*A24^2,0)</f>
        <v/>
      </c>
      <c r="C24" s="128">
        <f>ROUND(F24/$B$12,0)</f>
        <v/>
      </c>
      <c r="D24" s="128">
        <f>ROUND($B$13+$B$14*A24,0)</f>
        <v/>
      </c>
      <c r="E24" s="128">
        <f>ROUND($B$15+$B$16*A24,0)</f>
        <v/>
      </c>
      <c r="F24" s="128">
        <f>ROUND(B24*$B$8,0)</f>
        <v/>
      </c>
      <c r="G24" s="128">
        <f>ROUND(B24*$B$9,0)</f>
        <v/>
      </c>
      <c r="H24" s="128">
        <f>ROUND(B24*$B$10,0)</f>
        <v/>
      </c>
      <c r="I24" s="128">
        <f>ROUND(B24*$B$11,0)</f>
        <v/>
      </c>
      <c r="J24" s="128">
        <f>ROUND($L$5+$L$6*A24+$L$7*A24^2,0)</f>
        <v/>
      </c>
      <c r="M24" s="128">
        <f>ROUND($O$5+$O$6*A24+$O$7*A24^2,0)</f>
        <v/>
      </c>
    </row>
    <row r="25" ht="15" customHeight="1" s="116">
      <c r="A25" s="128" t="n">
        <v>6</v>
      </c>
      <c r="B25" s="128">
        <f>ROUND($B$5+$B$6*A25+$B$7*A25^2,0)</f>
        <v/>
      </c>
      <c r="C25" s="128">
        <f>ROUND(F25/$B$12,0)</f>
        <v/>
      </c>
      <c r="D25" s="128">
        <f>ROUND($B$13+$B$14*A25,0)</f>
        <v/>
      </c>
      <c r="E25" s="128">
        <f>ROUND($B$15+$B$16*A25,0)</f>
        <v/>
      </c>
      <c r="F25" s="128">
        <f>ROUND(B25*$B$8,0)</f>
        <v/>
      </c>
      <c r="G25" s="128">
        <f>ROUND(B25*$B$9,0)</f>
        <v/>
      </c>
      <c r="H25" s="128">
        <f>ROUND(B25*$B$10,0)</f>
        <v/>
      </c>
      <c r="I25" s="128">
        <f>ROUND(B25*$B$11,0)</f>
        <v/>
      </c>
      <c r="J25" s="128">
        <f>ROUND($L$5+$L$6*A25+$L$7*A25^2,0)</f>
        <v/>
      </c>
      <c r="M25" s="128">
        <f>ROUND($O$5+$O$6*A25+$O$7*A25^2,0)</f>
        <v/>
      </c>
    </row>
    <row r="26" ht="15" customHeight="1" s="116">
      <c r="A26" s="128" t="n">
        <v>7</v>
      </c>
      <c r="B26" s="128">
        <f>ROUND($B$5+$B$6*A26+$B$7*A26^2,0)</f>
        <v/>
      </c>
      <c r="C26" s="128">
        <f>ROUND(F26/$B$12,0)</f>
        <v/>
      </c>
      <c r="D26" s="128">
        <f>ROUND($B$13+$B$14*A26,0)</f>
        <v/>
      </c>
      <c r="E26" s="128">
        <f>ROUND($B$15+$B$16*A26,0)</f>
        <v/>
      </c>
      <c r="F26" s="128">
        <f>ROUND(B26*$B$8,0)</f>
        <v/>
      </c>
      <c r="G26" s="128">
        <f>ROUND(B26*$B$9,0)</f>
        <v/>
      </c>
      <c r="H26" s="128">
        <f>ROUND(B26*$B$10,0)</f>
        <v/>
      </c>
      <c r="I26" s="128">
        <f>ROUND(B26*$B$11,0)</f>
        <v/>
      </c>
      <c r="J26" s="128">
        <f>ROUND($L$5+$L$6*A26+$L$7*A26^2,0)</f>
        <v/>
      </c>
      <c r="M26" s="128">
        <f>ROUND($O$5+$O$6*A26+$O$7*A26^2,0)</f>
        <v/>
      </c>
    </row>
    <row r="27" ht="15" customHeight="1" s="116">
      <c r="A27" s="128" t="n">
        <v>8</v>
      </c>
      <c r="B27" s="128">
        <f>ROUND($B$5+$B$6*A27+$B$7*A27^2,0)</f>
        <v/>
      </c>
      <c r="C27" s="128">
        <f>ROUND(F27/$B$12,0)</f>
        <v/>
      </c>
      <c r="D27" s="128">
        <f>ROUND($B$13+$B$14*A27,0)</f>
        <v/>
      </c>
      <c r="E27" s="128">
        <f>ROUND($B$15+$B$16*A27,0)</f>
        <v/>
      </c>
      <c r="F27" s="128">
        <f>ROUND(B27*$B$8,0)</f>
        <v/>
      </c>
      <c r="G27" s="128">
        <f>ROUND(B27*$B$9,0)</f>
        <v/>
      </c>
      <c r="H27" s="128">
        <f>ROUND(B27*$B$10,0)</f>
        <v/>
      </c>
      <c r="I27" s="128">
        <f>ROUND(B27*$B$11,0)</f>
        <v/>
      </c>
      <c r="J27" s="128">
        <f>ROUND($L$5+$L$6*A27+$L$7*A27^2,0)</f>
        <v/>
      </c>
      <c r="M27" s="128">
        <f>ROUND($O$5+$O$6*A27+$O$7*A27^2,0)</f>
        <v/>
      </c>
    </row>
    <row r="28" ht="15" customHeight="1" s="116">
      <c r="A28" s="128" t="n">
        <v>9</v>
      </c>
      <c r="B28" s="128">
        <f>ROUND($B$5+$B$6*A28+$B$7*A28^2,0)</f>
        <v/>
      </c>
      <c r="C28" s="128">
        <f>ROUND(F28/$B$12,0)</f>
        <v/>
      </c>
      <c r="D28" s="128">
        <f>ROUND($B$13+$B$14*A28,0)</f>
        <v/>
      </c>
      <c r="E28" s="128">
        <f>ROUND($B$15+$B$16*A28,0)</f>
        <v/>
      </c>
      <c r="F28" s="128">
        <f>ROUND(B28*$B$8,0)</f>
        <v/>
      </c>
      <c r="G28" s="128">
        <f>ROUND(B28*$B$9,0)</f>
        <v/>
      </c>
      <c r="H28" s="128">
        <f>ROUND(B28*$B$10,0)</f>
        <v/>
      </c>
      <c r="I28" s="128">
        <f>ROUND(B28*$B$11,0)</f>
        <v/>
      </c>
      <c r="J28" s="128">
        <f>ROUND($L$5+$L$6*A28+$L$7*A28^2,0)</f>
        <v/>
      </c>
      <c r="M28" s="128">
        <f>ROUND($O$5+$O$6*A28+$O$7*A28^2,0)</f>
        <v/>
      </c>
    </row>
    <row r="29" ht="15" customHeight="1" s="116">
      <c r="A29" s="128" t="n">
        <v>10</v>
      </c>
      <c r="B29" s="128">
        <f>ROUND($B$5+$B$6*A29+$B$7*A29^2,0)</f>
        <v/>
      </c>
      <c r="C29" s="128">
        <f>ROUND(F29/$B$12,0)</f>
        <v/>
      </c>
      <c r="D29" s="128">
        <f>ROUND($B$13+$B$14*A29,0)</f>
        <v/>
      </c>
      <c r="E29" s="128">
        <f>ROUND($B$15+$B$16*A29,0)</f>
        <v/>
      </c>
      <c r="F29" s="128">
        <f>ROUND(B29*$B$8,0)</f>
        <v/>
      </c>
      <c r="G29" s="128">
        <f>ROUND(B29*$B$9,0)</f>
        <v/>
      </c>
      <c r="H29" s="128">
        <f>ROUND(B29*$B$10,0)</f>
        <v/>
      </c>
      <c r="I29" s="128">
        <f>ROUND(B29*$B$11,0)</f>
        <v/>
      </c>
      <c r="J29" s="128">
        <f>ROUND($L$5+$L$6*A29+$L$7*A29^2,0)</f>
        <v/>
      </c>
      <c r="M29" s="128">
        <f>ROUND($O$5+$O$6*A29+$O$7*A29^2,0)</f>
        <v/>
      </c>
    </row>
    <row r="30" ht="15" customHeight="1" s="116">
      <c r="A30" s="128" t="n">
        <v>11</v>
      </c>
      <c r="B30" s="128">
        <f>ROUND($B$5+$B$6*A30+$B$7*A30^2,0)</f>
        <v/>
      </c>
      <c r="C30" s="128">
        <f>ROUND(F30/$B$12,0)</f>
        <v/>
      </c>
      <c r="D30" s="128">
        <f>ROUND($B$13+$B$14*A30,0)</f>
        <v/>
      </c>
      <c r="E30" s="128">
        <f>ROUND($B$15+$B$16*A30,0)</f>
        <v/>
      </c>
      <c r="F30" s="128">
        <f>ROUND(B30*$B$8,0)</f>
        <v/>
      </c>
      <c r="G30" s="128">
        <f>ROUND(B30*$B$9,0)</f>
        <v/>
      </c>
      <c r="H30" s="128">
        <f>ROUND(B30*$B$10,0)</f>
        <v/>
      </c>
      <c r="I30" s="128">
        <f>ROUND(B30*$B$11,0)</f>
        <v/>
      </c>
      <c r="J30" s="128">
        <f>ROUND($L$5+$L$6*A30+$L$7*A30^2,0)</f>
        <v/>
      </c>
      <c r="M30" s="128">
        <f>ROUND($O$5+$O$6*A30+$O$7*A30^2,0)</f>
        <v/>
      </c>
    </row>
    <row r="31" ht="15" customHeight="1" s="116">
      <c r="A31" s="128" t="n">
        <v>12</v>
      </c>
      <c r="B31" s="128">
        <f>ROUND($B$5+$B$6*A31+$B$7*A31^2,0)</f>
        <v/>
      </c>
      <c r="C31" s="128">
        <f>ROUND(F31/$B$12,0)</f>
        <v/>
      </c>
      <c r="D31" s="128">
        <f>ROUND($B$13+$B$14*A31,0)</f>
        <v/>
      </c>
      <c r="E31" s="128">
        <f>ROUND($B$15+$B$16*A31,0)</f>
        <v/>
      </c>
      <c r="F31" s="128">
        <f>ROUND(B31*$B$8,0)</f>
        <v/>
      </c>
      <c r="G31" s="128">
        <f>ROUND(B31*$B$9,0)</f>
        <v/>
      </c>
      <c r="H31" s="128">
        <f>ROUND(B31*$B$10,0)</f>
        <v/>
      </c>
      <c r="I31" s="128">
        <f>ROUND(B31*$B$11,0)</f>
        <v/>
      </c>
      <c r="J31" s="128">
        <f>ROUND($L$5+$L$6*A31+$L$7*A31^2,0)</f>
        <v/>
      </c>
      <c r="M31" s="128">
        <f>ROUND($O$5+$O$6*A31+$O$7*A31^2,0)</f>
        <v/>
      </c>
    </row>
    <row r="32" ht="15" customHeight="1" s="116">
      <c r="A32" s="128" t="n">
        <v>13</v>
      </c>
      <c r="B32" s="128">
        <f>ROUND($B$5+$B$6*A32+$B$7*A32^2,0)</f>
        <v/>
      </c>
      <c r="C32" s="128">
        <f>ROUND(F32/$B$12,0)</f>
        <v/>
      </c>
      <c r="D32" s="128">
        <f>ROUND($B$13+$B$14*A32,0)</f>
        <v/>
      </c>
      <c r="E32" s="128">
        <f>ROUND($B$15+$B$16*A32,0)</f>
        <v/>
      </c>
      <c r="F32" s="128">
        <f>ROUND(B32*$B$8,0)</f>
        <v/>
      </c>
      <c r="G32" s="128">
        <f>ROUND(B32*$B$9,0)</f>
        <v/>
      </c>
      <c r="H32" s="128">
        <f>ROUND(B32*$B$10,0)</f>
        <v/>
      </c>
      <c r="I32" s="128">
        <f>ROUND(B32*$B$11,0)</f>
        <v/>
      </c>
      <c r="J32" s="128">
        <f>ROUND($L$5+$L$6*A32+$L$7*A32^2,0)</f>
        <v/>
      </c>
      <c r="M32" s="128">
        <f>ROUND($O$5+$O$6*A32+$O$7*A32^2,0)</f>
        <v/>
      </c>
    </row>
    <row r="33" ht="15" customHeight="1" s="116">
      <c r="A33" s="128" t="n">
        <v>14</v>
      </c>
      <c r="B33" s="128">
        <f>ROUND($B$5+$B$6*A33+$B$7*A33^2,0)</f>
        <v/>
      </c>
      <c r="C33" s="128">
        <f>ROUND(F33/$B$12,0)</f>
        <v/>
      </c>
      <c r="D33" s="128">
        <f>ROUND($B$13+$B$14*A33,0)</f>
        <v/>
      </c>
      <c r="E33" s="128">
        <f>ROUND($B$15+$B$16*A33,0)</f>
        <v/>
      </c>
      <c r="F33" s="128">
        <f>ROUND(B33*$B$8,0)</f>
        <v/>
      </c>
      <c r="G33" s="128">
        <f>ROUND(B33*$B$9,0)</f>
        <v/>
      </c>
      <c r="H33" s="128">
        <f>ROUND(B33*$B$10,0)</f>
        <v/>
      </c>
      <c r="I33" s="128">
        <f>ROUND(B33*$B$11,0)</f>
        <v/>
      </c>
      <c r="J33" s="128">
        <f>ROUND($L$5+$L$6*A33+$L$7*A33^2,0)</f>
        <v/>
      </c>
      <c r="M33" s="128">
        <f>ROUND($O$5+$O$6*A33+$O$7*A33^2,0)</f>
        <v/>
      </c>
    </row>
    <row r="34" ht="15" customHeight="1" s="116">
      <c r="A34" s="128" t="n">
        <v>15</v>
      </c>
      <c r="B34" s="128">
        <f>ROUND($B$5+$B$6*A34+$B$7*A34^2,0)</f>
        <v/>
      </c>
      <c r="C34" s="128">
        <f>ROUND(F34/$B$12,0)</f>
        <v/>
      </c>
      <c r="D34" s="128">
        <f>ROUND($B$13+$B$14*A34,0)</f>
        <v/>
      </c>
      <c r="E34" s="128">
        <f>ROUND($B$15+$B$16*A34,0)</f>
        <v/>
      </c>
      <c r="F34" s="128">
        <f>ROUND(B34*$B$8,0)</f>
        <v/>
      </c>
      <c r="G34" s="128">
        <f>ROUND(B34*$B$9,0)</f>
        <v/>
      </c>
      <c r="H34" s="128">
        <f>ROUND(B34*$B$10,0)</f>
        <v/>
      </c>
      <c r="I34" s="128">
        <f>ROUND(B34*$B$11,0)</f>
        <v/>
      </c>
      <c r="J34" s="128">
        <f>ROUND($L$5+$L$6*A34+$L$7*A34^2,0)</f>
        <v/>
      </c>
      <c r="M34" s="128">
        <f>ROUND($O$5+$O$6*A34+$O$7*A34^2,0)</f>
        <v/>
      </c>
    </row>
    <row r="35" ht="15" customHeight="1" s="116">
      <c r="A35" s="128" t="n">
        <v>16</v>
      </c>
      <c r="B35" s="128">
        <f>ROUND($B$5+$B$6*A35+$B$7*A35^2,0)</f>
        <v/>
      </c>
      <c r="C35" s="128">
        <f>ROUND(F35/$B$12,0)</f>
        <v/>
      </c>
      <c r="D35" s="128">
        <f>ROUND($B$13+$B$14*A35,0)</f>
        <v/>
      </c>
      <c r="E35" s="128">
        <f>ROUND($B$15+$B$16*A35,0)</f>
        <v/>
      </c>
      <c r="F35" s="128">
        <f>ROUND(B35*$B$8,0)</f>
        <v/>
      </c>
      <c r="G35" s="128">
        <f>ROUND(B35*$B$9,0)</f>
        <v/>
      </c>
      <c r="H35" s="128">
        <f>ROUND(B35*$B$10,0)</f>
        <v/>
      </c>
      <c r="I35" s="128">
        <f>ROUND(B35*$B$11,0)</f>
        <v/>
      </c>
      <c r="J35" s="128">
        <f>ROUND($L$5+$L$6*A35+$L$7*A35^2,0)</f>
        <v/>
      </c>
      <c r="M35" s="128">
        <f>ROUND($O$5+$O$6*A35+$O$7*A35^2,0)</f>
        <v/>
      </c>
    </row>
    <row r="36" ht="15" customHeight="1" s="116">
      <c r="A36" s="128" t="n">
        <v>17</v>
      </c>
      <c r="B36" s="128">
        <f>ROUND($B$5+$B$6*A36+$B$7*A36^2,0)</f>
        <v/>
      </c>
      <c r="C36" s="128">
        <f>ROUND(F36/$B$12,0)</f>
        <v/>
      </c>
      <c r="D36" s="128">
        <f>ROUND($B$13+$B$14*A36,0)</f>
        <v/>
      </c>
      <c r="E36" s="128">
        <f>ROUND($B$15+$B$16*A36,0)</f>
        <v/>
      </c>
      <c r="F36" s="128">
        <f>ROUND(B36*$B$8,0)</f>
        <v/>
      </c>
      <c r="G36" s="128">
        <f>ROUND(B36*$B$9,0)</f>
        <v/>
      </c>
      <c r="H36" s="128">
        <f>ROUND(B36*$B$10,0)</f>
        <v/>
      </c>
      <c r="I36" s="128">
        <f>ROUND(B36*$B$11,0)</f>
        <v/>
      </c>
      <c r="J36" s="128">
        <f>ROUND($L$5+$L$6*A36+$L$7*A36^2,0)</f>
        <v/>
      </c>
      <c r="M36" s="128">
        <f>ROUND($O$5+$O$6*A36+$O$7*A36^2,0)</f>
        <v/>
      </c>
    </row>
    <row r="37" ht="15" customHeight="1" s="116">
      <c r="A37" s="128" t="n">
        <v>18</v>
      </c>
      <c r="B37" s="128">
        <f>ROUND($B$5+$B$6*A37+$B$7*A37^2,0)</f>
        <v/>
      </c>
      <c r="C37" s="128">
        <f>ROUND(F37/$B$12,0)</f>
        <v/>
      </c>
      <c r="D37" s="128">
        <f>ROUND($B$13+$B$14*A37,0)</f>
        <v/>
      </c>
      <c r="E37" s="128">
        <f>ROUND($B$15+$B$16*A37,0)</f>
        <v/>
      </c>
      <c r="F37" s="128">
        <f>ROUND(B37*$B$8,0)</f>
        <v/>
      </c>
      <c r="G37" s="128">
        <f>ROUND(B37*$B$9,0)</f>
        <v/>
      </c>
      <c r="H37" s="128">
        <f>ROUND(B37*$B$10,0)</f>
        <v/>
      </c>
      <c r="I37" s="128">
        <f>ROUND(B37*$B$11,0)</f>
        <v/>
      </c>
      <c r="J37" s="128">
        <f>ROUND($L$5+$L$6*A37+$L$7*A37^2,0)</f>
        <v/>
      </c>
      <c r="M37" s="128">
        <f>ROUND($O$5+$O$6*A37+$O$7*A37^2,0)</f>
        <v/>
      </c>
    </row>
    <row r="38" ht="15" customHeight="1" s="116">
      <c r="A38" s="128" t="n">
        <v>19</v>
      </c>
      <c r="B38" s="128">
        <f>ROUND($B$5+$B$6*A38+$B$7*A38^2,0)</f>
        <v/>
      </c>
      <c r="C38" s="128">
        <f>ROUND(F38/$B$12,0)</f>
        <v/>
      </c>
      <c r="D38" s="128">
        <f>ROUND($B$13+$B$14*A38,0)</f>
        <v/>
      </c>
      <c r="E38" s="128">
        <f>ROUND($B$15+$B$16*A38,0)</f>
        <v/>
      </c>
      <c r="F38" s="128">
        <f>ROUND(B38*$B$8,0)</f>
        <v/>
      </c>
      <c r="G38" s="128">
        <f>ROUND(B38*$B$9,0)</f>
        <v/>
      </c>
      <c r="H38" s="128">
        <f>ROUND(B38*$B$10,0)</f>
        <v/>
      </c>
      <c r="I38" s="128">
        <f>ROUND(B38*$B$11,0)</f>
        <v/>
      </c>
      <c r="J38" s="128">
        <f>ROUND($L$5+$L$6*A38+$L$7*A38^2,0)</f>
        <v/>
      </c>
      <c r="M38" s="128">
        <f>ROUND($O$5+$O$6*A38+$O$7*A38^2,0)</f>
        <v/>
      </c>
    </row>
    <row r="39" ht="15" customHeight="1" s="116">
      <c r="A39" s="128" t="n">
        <v>20</v>
      </c>
      <c r="B39" s="128">
        <f>ROUND($B$5+$B$6*A39+$B$7*A39^2,0)</f>
        <v/>
      </c>
      <c r="C39" s="128">
        <f>ROUND(F39/$B$12,0)</f>
        <v/>
      </c>
      <c r="D39" s="128">
        <f>ROUND($B$13+$B$14*A39,0)</f>
        <v/>
      </c>
      <c r="E39" s="128">
        <f>ROUND($B$15+$B$16*A39,0)</f>
        <v/>
      </c>
      <c r="F39" s="128">
        <f>ROUND(B39*$B$8,0)</f>
        <v/>
      </c>
      <c r="G39" s="128">
        <f>ROUND(B39*$B$9,0)</f>
        <v/>
      </c>
      <c r="H39" s="128">
        <f>ROUND(B39*$B$10,0)</f>
        <v/>
      </c>
      <c r="I39" s="128">
        <f>ROUND(B39*$B$11,0)</f>
        <v/>
      </c>
      <c r="J39" s="128">
        <f>ROUND($L$5+$L$6*A39+$L$7*A39^2,0)</f>
        <v/>
      </c>
      <c r="M39" s="128">
        <f>ROUND($O$5+$O$6*A39+$O$7*A39^2,0)</f>
        <v/>
      </c>
    </row>
    <row r="40" ht="15" customHeight="1" s="116">
      <c r="A40" s="128" t="n">
        <v>21</v>
      </c>
      <c r="B40" s="128">
        <f>ROUND($B$5+$B$6*A40+$B$7*A40^2,0)</f>
        <v/>
      </c>
      <c r="C40" s="128">
        <f>ROUND(F40/$B$12,0)</f>
        <v/>
      </c>
      <c r="D40" s="128">
        <f>ROUND($B$13+$B$14*A40,0)</f>
        <v/>
      </c>
      <c r="E40" s="128">
        <f>ROUND($B$15+$B$16*A40,0)</f>
        <v/>
      </c>
      <c r="F40" s="128">
        <f>ROUND(B40*$B$8,0)</f>
        <v/>
      </c>
      <c r="G40" s="128">
        <f>ROUND(B40*$B$9,0)</f>
        <v/>
      </c>
      <c r="H40" s="128">
        <f>ROUND(B40*$B$10,0)</f>
        <v/>
      </c>
      <c r="I40" s="128">
        <f>ROUND(B40*$B$11,0)</f>
        <v/>
      </c>
      <c r="J40" s="128">
        <f>ROUND($L$5+$L$6*A40+$L$7*A40^2,0)</f>
        <v/>
      </c>
      <c r="M40" s="128">
        <f>ROUND($O$5+$O$6*A40+$O$7*A40^2,0)</f>
        <v/>
      </c>
    </row>
    <row r="41" ht="15" customHeight="1" s="116">
      <c r="A41" s="128" t="n">
        <v>22</v>
      </c>
      <c r="B41" s="128">
        <f>ROUND($B$5+$B$6*A41+$B$7*A41^2,0)</f>
        <v/>
      </c>
      <c r="C41" s="128">
        <f>ROUND(F41/$B$12,0)</f>
        <v/>
      </c>
      <c r="D41" s="128">
        <f>ROUND($B$13+$B$14*A41,0)</f>
        <v/>
      </c>
      <c r="E41" s="128">
        <f>ROUND($B$15+$B$16*A41,0)</f>
        <v/>
      </c>
      <c r="F41" s="128">
        <f>ROUND(B41*$B$8,0)</f>
        <v/>
      </c>
      <c r="G41" s="128">
        <f>ROUND(B41*$B$9,0)</f>
        <v/>
      </c>
      <c r="H41" s="128">
        <f>ROUND(B41*$B$10,0)</f>
        <v/>
      </c>
      <c r="I41" s="128">
        <f>ROUND(B41*$B$11,0)</f>
        <v/>
      </c>
      <c r="J41" s="128">
        <f>ROUND($L$5+$L$6*A41+$L$7*A41^2,0)</f>
        <v/>
      </c>
      <c r="M41" s="128">
        <f>ROUND($O$5+$O$6*A41+$O$7*A41^2,0)</f>
        <v/>
      </c>
    </row>
    <row r="42" ht="15" customHeight="1" s="116">
      <c r="A42" s="128" t="n">
        <v>23</v>
      </c>
      <c r="B42" s="128">
        <f>ROUND($B$5+$B$6*A42+$B$7*A42^2,0)</f>
        <v/>
      </c>
      <c r="C42" s="128">
        <f>ROUND(F42/$B$12,0)</f>
        <v/>
      </c>
      <c r="D42" s="128">
        <f>ROUND($B$13+$B$14*A42,0)</f>
        <v/>
      </c>
      <c r="E42" s="128">
        <f>ROUND($B$15+$B$16*A42,0)</f>
        <v/>
      </c>
      <c r="F42" s="128">
        <f>ROUND(B42*$B$8,0)</f>
        <v/>
      </c>
      <c r="G42" s="128">
        <f>ROUND(B42*$B$9,0)</f>
        <v/>
      </c>
      <c r="H42" s="128">
        <f>ROUND(B42*$B$10,0)</f>
        <v/>
      </c>
      <c r="I42" s="128">
        <f>ROUND(B42*$B$11,0)</f>
        <v/>
      </c>
      <c r="J42" s="128">
        <f>ROUND($L$5+$L$6*A42+$L$7*A42^2,0)</f>
        <v/>
      </c>
      <c r="M42" s="128">
        <f>ROUND($O$5+$O$6*A42+$O$7*A42^2,0)</f>
        <v/>
      </c>
    </row>
    <row r="43" ht="15" customHeight="1" s="116">
      <c r="A43" s="128" t="n">
        <v>24</v>
      </c>
      <c r="B43" s="128">
        <f>ROUND($B$5+$B$6*A43+$B$7*A43^2,0)</f>
        <v/>
      </c>
      <c r="C43" s="128">
        <f>ROUND(F43/$B$12,0)</f>
        <v/>
      </c>
      <c r="D43" s="128">
        <f>ROUND($B$13+$B$14*A43,0)</f>
        <v/>
      </c>
      <c r="E43" s="128">
        <f>ROUND($B$15+$B$16*A43,0)</f>
        <v/>
      </c>
      <c r="F43" s="128">
        <f>ROUND(B43*$B$8,0)</f>
        <v/>
      </c>
      <c r="G43" s="128">
        <f>ROUND(B43*$B$9,0)</f>
        <v/>
      </c>
      <c r="H43" s="128">
        <f>ROUND(B43*$B$10,0)</f>
        <v/>
      </c>
      <c r="I43" s="128">
        <f>ROUND(B43*$B$11,0)</f>
        <v/>
      </c>
      <c r="J43" s="128">
        <f>ROUND($L$5+$L$6*A43+$L$7*A43^2,0)</f>
        <v/>
      </c>
      <c r="M43" s="128">
        <f>ROUND($O$5+$O$6*A43+$O$7*A43^2,0)</f>
        <v/>
      </c>
    </row>
    <row r="44" ht="15" customHeight="1" s="116">
      <c r="A44" s="128" t="n">
        <v>25</v>
      </c>
      <c r="B44" s="128">
        <f>ROUND($B$5+$B$6*A44+$B$7*A44^2,0)</f>
        <v/>
      </c>
      <c r="C44" s="128">
        <f>ROUND(F44/$B$12,0)</f>
        <v/>
      </c>
      <c r="D44" s="128">
        <f>ROUND($B$13+$B$14*A44,0)</f>
        <v/>
      </c>
      <c r="E44" s="128">
        <f>ROUND($B$15+$B$16*A44,0)</f>
        <v/>
      </c>
      <c r="F44" s="128">
        <f>ROUND(B44*$B$8,0)</f>
        <v/>
      </c>
      <c r="G44" s="128">
        <f>ROUND(B44*$B$9,0)</f>
        <v/>
      </c>
      <c r="H44" s="128">
        <f>ROUND(B44*$B$10,0)</f>
        <v/>
      </c>
      <c r="I44" s="128">
        <f>ROUND(B44*$B$11,0)</f>
        <v/>
      </c>
      <c r="J44" s="128">
        <f>ROUND($L$5+$L$6*A44+$L$7*A44^2,0)</f>
        <v/>
      </c>
      <c r="M44" s="128">
        <f>ROUND($O$5+$O$6*A44+$O$7*A44^2,0)</f>
        <v/>
      </c>
    </row>
    <row r="45" ht="15" customHeight="1" s="116">
      <c r="A45" s="128" t="n">
        <v>26</v>
      </c>
      <c r="B45" s="128">
        <f>ROUND($B$5+$B$6*A45+$B$7*A45^2,0)</f>
        <v/>
      </c>
      <c r="C45" s="128">
        <f>ROUND(F45/$B$12,0)</f>
        <v/>
      </c>
      <c r="D45" s="128">
        <f>ROUND($B$13+$B$14*A45,0)</f>
        <v/>
      </c>
      <c r="E45" s="128">
        <f>ROUND($B$15+$B$16*A45,0)</f>
        <v/>
      </c>
      <c r="F45" s="128">
        <f>ROUND(B45*$B$8,0)</f>
        <v/>
      </c>
      <c r="G45" s="128">
        <f>ROUND(B45*$B$9,0)</f>
        <v/>
      </c>
      <c r="H45" s="128">
        <f>ROUND(B45*$B$10,0)</f>
        <v/>
      </c>
      <c r="I45" s="128">
        <f>ROUND(B45*$B$11,0)</f>
        <v/>
      </c>
      <c r="J45" s="128">
        <f>ROUND($L$5+$L$6*A45+$L$7*A45^2,0)</f>
        <v/>
      </c>
      <c r="M45" s="128">
        <f>ROUND($O$5+$O$6*A45+$O$7*A45^2,0)</f>
        <v/>
      </c>
    </row>
    <row r="46" ht="15" customHeight="1" s="116">
      <c r="A46" s="128" t="n">
        <v>27</v>
      </c>
      <c r="B46" s="128">
        <f>ROUND($B$5+$B$6*A46+$B$7*A46^2,0)</f>
        <v/>
      </c>
      <c r="C46" s="128">
        <f>ROUND(F46/$B$12,0)</f>
        <v/>
      </c>
      <c r="D46" s="128">
        <f>ROUND($B$13+$B$14*A46,0)</f>
        <v/>
      </c>
      <c r="E46" s="128">
        <f>ROUND($B$15+$B$16*A46,0)</f>
        <v/>
      </c>
      <c r="F46" s="128">
        <f>ROUND(B46*$B$8,0)</f>
        <v/>
      </c>
      <c r="G46" s="128">
        <f>ROUND(B46*$B$9,0)</f>
        <v/>
      </c>
      <c r="H46" s="128">
        <f>ROUND(B46*$B$10,0)</f>
        <v/>
      </c>
      <c r="I46" s="128">
        <f>ROUND(B46*$B$11,0)</f>
        <v/>
      </c>
      <c r="J46" s="128">
        <f>ROUND($L$5+$L$6*A46+$L$7*A46^2,0)</f>
        <v/>
      </c>
      <c r="M46" s="128">
        <f>ROUND($O$5+$O$6*A46+$O$7*A46^2,0)</f>
        <v/>
      </c>
    </row>
    <row r="47" ht="15" customHeight="1" s="116">
      <c r="A47" s="128" t="n">
        <v>28</v>
      </c>
      <c r="B47" s="128">
        <f>ROUND($B$5+$B$6*A47+$B$7*A47^2,0)</f>
        <v/>
      </c>
      <c r="C47" s="128">
        <f>ROUND(F47/$B$12,0)</f>
        <v/>
      </c>
      <c r="D47" s="128">
        <f>ROUND($B$13+$B$14*A47,0)</f>
        <v/>
      </c>
      <c r="E47" s="128">
        <f>ROUND($B$15+$B$16*A47,0)</f>
        <v/>
      </c>
      <c r="F47" s="128">
        <f>ROUND(B47*$B$8,0)</f>
        <v/>
      </c>
      <c r="G47" s="128">
        <f>ROUND(B47*$B$9,0)</f>
        <v/>
      </c>
      <c r="H47" s="128">
        <f>ROUND(B47*$B$10,0)</f>
        <v/>
      </c>
      <c r="I47" s="128">
        <f>ROUND(B47*$B$11,0)</f>
        <v/>
      </c>
      <c r="J47" s="128">
        <f>ROUND($L$5+$L$6*A47+$L$7*A47^2,0)</f>
        <v/>
      </c>
      <c r="M47" s="128">
        <f>ROUND($O$5+$O$6*A47+$O$7*A47^2,0)</f>
        <v/>
      </c>
    </row>
    <row r="48" ht="15" customHeight="1" s="116">
      <c r="A48" s="128" t="n">
        <v>29</v>
      </c>
      <c r="B48" s="128">
        <f>ROUND($B$5+$B$6*A48+$B$7*A48^2,0)</f>
        <v/>
      </c>
      <c r="C48" s="128">
        <f>ROUND(F48/$B$12,0)</f>
        <v/>
      </c>
      <c r="D48" s="128">
        <f>ROUND($B$13+$B$14*A48,0)</f>
        <v/>
      </c>
      <c r="E48" s="128">
        <f>ROUND($B$15+$B$16*A48,0)</f>
        <v/>
      </c>
      <c r="F48" s="128">
        <f>ROUND(B48*$B$8,0)</f>
        <v/>
      </c>
      <c r="G48" s="128">
        <f>ROUND(B48*$B$9,0)</f>
        <v/>
      </c>
      <c r="H48" s="128">
        <f>ROUND(B48*$B$10,0)</f>
        <v/>
      </c>
      <c r="I48" s="128">
        <f>ROUND(B48*$B$11,0)</f>
        <v/>
      </c>
      <c r="J48" s="128">
        <f>ROUND($L$5+$L$6*A48+$L$7*A48^2,0)</f>
        <v/>
      </c>
      <c r="M48" s="128">
        <f>ROUND($O$5+$O$6*A48+$O$7*A48^2,0)</f>
        <v/>
      </c>
    </row>
    <row r="49" ht="15" customHeight="1" s="116">
      <c r="A49" s="128" t="n">
        <v>30</v>
      </c>
      <c r="B49" s="128">
        <f>ROUND($B$5+$B$6*A49+$B$7*A49^2,0)</f>
        <v/>
      </c>
      <c r="C49" s="128">
        <f>ROUND(F49/$B$12,0)</f>
        <v/>
      </c>
      <c r="D49" s="128">
        <f>ROUND($B$13+$B$14*A49,0)</f>
        <v/>
      </c>
      <c r="E49" s="128">
        <f>ROUND($B$15+$B$16*A49,0)</f>
        <v/>
      </c>
      <c r="F49" s="128">
        <f>ROUND(B49*$B$8,0)</f>
        <v/>
      </c>
      <c r="G49" s="128">
        <f>ROUND(B49*$B$9,0)</f>
        <v/>
      </c>
      <c r="H49" s="128">
        <f>ROUND(B49*$B$10,0)</f>
        <v/>
      </c>
      <c r="I49" s="128">
        <f>ROUND(B49*$B$11,0)</f>
        <v/>
      </c>
      <c r="J49" s="128">
        <f>ROUND($L$5+$L$6*A49+$L$7*A49^2,0)</f>
        <v/>
      </c>
      <c r="M49" s="128">
        <f>ROUND($O$5+$O$6*A49+$O$7*A49^2,0)</f>
        <v/>
      </c>
    </row>
    <row r="50" ht="15" customHeight="1" s="116">
      <c r="A50" s="128" t="n">
        <v>31</v>
      </c>
      <c r="B50" s="128">
        <f>ROUND($B$5+$B$6*A50+$B$7*A50^2,0)</f>
        <v/>
      </c>
      <c r="C50" s="128">
        <f>ROUND(F50/$B$12,0)</f>
        <v/>
      </c>
      <c r="D50" s="128">
        <f>ROUND($B$13+$B$14*A50,0)</f>
        <v/>
      </c>
      <c r="E50" s="128">
        <f>ROUND($B$15+$B$16*A50,0)</f>
        <v/>
      </c>
      <c r="F50" s="128">
        <f>ROUND(B50*$B$8,0)</f>
        <v/>
      </c>
      <c r="G50" s="128">
        <f>ROUND(B50*$B$9,0)</f>
        <v/>
      </c>
      <c r="H50" s="128">
        <f>ROUND(B50*$B$10,0)</f>
        <v/>
      </c>
      <c r="I50" s="128">
        <f>ROUND(B50*$B$11,0)</f>
        <v/>
      </c>
      <c r="J50" s="128">
        <f>ROUND($L$5+$L$6*A50+$L$7*A50^2,0)</f>
        <v/>
      </c>
      <c r="M50" s="128">
        <f>ROUND($O$5+$O$6*A50+$O$7*A50^2,0)</f>
        <v/>
      </c>
    </row>
    <row r="51" ht="15" customHeight="1" s="116">
      <c r="A51" s="128" t="n">
        <v>32</v>
      </c>
      <c r="B51" s="128">
        <f>ROUND($B$5+$B$6*A51+$B$7*A51^2,0)</f>
        <v/>
      </c>
      <c r="C51" s="128">
        <f>ROUND(F51/$B$12,0)</f>
        <v/>
      </c>
      <c r="D51" s="128">
        <f>ROUND($B$13+$B$14*A51,0)</f>
        <v/>
      </c>
      <c r="E51" s="128">
        <f>ROUND($B$15+$B$16*A51,0)</f>
        <v/>
      </c>
      <c r="F51" s="128">
        <f>ROUND(B51*$B$8,0)</f>
        <v/>
      </c>
      <c r="G51" s="128">
        <f>ROUND(B51*$B$9,0)</f>
        <v/>
      </c>
      <c r="H51" s="128">
        <f>ROUND(B51*$B$10,0)</f>
        <v/>
      </c>
      <c r="I51" s="128">
        <f>ROUND(B51*$B$11,0)</f>
        <v/>
      </c>
      <c r="J51" s="128">
        <f>ROUND($L$5+$L$6*A51+$L$7*A51^2,0)</f>
        <v/>
      </c>
      <c r="M51" s="128">
        <f>ROUND($O$5+$O$6*A51+$O$7*A51^2,0)</f>
        <v/>
      </c>
    </row>
    <row r="52" ht="15" customHeight="1" s="116">
      <c r="A52" s="128" t="n">
        <v>33</v>
      </c>
      <c r="B52" s="128">
        <f>ROUND($B$5+$B$6*A52+$B$7*A52^2,0)</f>
        <v/>
      </c>
      <c r="C52" s="128">
        <f>ROUND(F52/$B$12,0)</f>
        <v/>
      </c>
      <c r="D52" s="128">
        <f>ROUND($B$13+$B$14*A52,0)</f>
        <v/>
      </c>
      <c r="E52" s="128">
        <f>ROUND($B$15+$B$16*A52,0)</f>
        <v/>
      </c>
      <c r="F52" s="128">
        <f>ROUND(B52*$B$8,0)</f>
        <v/>
      </c>
      <c r="G52" s="128">
        <f>ROUND(B52*$B$9,0)</f>
        <v/>
      </c>
      <c r="H52" s="128">
        <f>ROUND(B52*$B$10,0)</f>
        <v/>
      </c>
      <c r="I52" s="128">
        <f>ROUND(B52*$B$11,0)</f>
        <v/>
      </c>
      <c r="J52" s="128">
        <f>ROUND($L$5+$L$6*A52+$L$7*A52^2,0)</f>
        <v/>
      </c>
      <c r="M52" s="128">
        <f>ROUND($O$5+$O$6*A52+$O$7*A52^2,0)</f>
        <v/>
      </c>
    </row>
    <row r="53" ht="15" customHeight="1" s="116">
      <c r="A53" s="128" t="n">
        <v>34</v>
      </c>
      <c r="B53" s="128">
        <f>ROUND($B$5+$B$6*A53+$B$7*A53^2,0)</f>
        <v/>
      </c>
      <c r="C53" s="128">
        <f>ROUND(F53/$B$12,0)</f>
        <v/>
      </c>
      <c r="D53" s="128">
        <f>ROUND($B$13+$B$14*A53,0)</f>
        <v/>
      </c>
      <c r="E53" s="128">
        <f>ROUND($B$15+$B$16*A53,0)</f>
        <v/>
      </c>
      <c r="F53" s="128">
        <f>ROUND(B53*$B$8,0)</f>
        <v/>
      </c>
      <c r="G53" s="128">
        <f>ROUND(B53*$B$9,0)</f>
        <v/>
      </c>
      <c r="H53" s="128">
        <f>ROUND(B53*$B$10,0)</f>
        <v/>
      </c>
      <c r="I53" s="128">
        <f>ROUND(B53*$B$11,0)</f>
        <v/>
      </c>
      <c r="J53" s="128">
        <f>ROUND($L$5+$L$6*A53+$L$7*A53^2,0)</f>
        <v/>
      </c>
      <c r="M53" s="128">
        <f>ROUND($O$5+$O$6*A53+$O$7*A53^2,0)</f>
        <v/>
      </c>
    </row>
    <row r="54" ht="15" customHeight="1" s="116">
      <c r="A54" s="128" t="n">
        <v>35</v>
      </c>
      <c r="B54" s="128">
        <f>ROUND($B$5+$B$6*A54+$B$7*A54^2,0)</f>
        <v/>
      </c>
      <c r="C54" s="128">
        <f>ROUND(F54/$B$12,0)</f>
        <v/>
      </c>
      <c r="D54" s="128">
        <f>ROUND($B$13+$B$14*A54,0)</f>
        <v/>
      </c>
      <c r="E54" s="128">
        <f>ROUND($B$15+$B$16*A54,0)</f>
        <v/>
      </c>
      <c r="F54" s="128">
        <f>ROUND(B54*$B$8,0)</f>
        <v/>
      </c>
      <c r="G54" s="128">
        <f>ROUND(B54*$B$9,0)</f>
        <v/>
      </c>
      <c r="H54" s="128">
        <f>ROUND(B54*$B$10,0)</f>
        <v/>
      </c>
      <c r="I54" s="128">
        <f>ROUND(B54*$B$11,0)</f>
        <v/>
      </c>
      <c r="J54" s="128">
        <f>ROUND($L$5+$L$6*A54+$L$7*A54^2,0)</f>
        <v/>
      </c>
      <c r="M54" s="128">
        <f>ROUND($O$5+$O$6*A54+$O$7*A54^2,0)</f>
        <v/>
      </c>
    </row>
    <row r="55" ht="15" customHeight="1" s="116">
      <c r="A55" s="128" t="n">
        <v>36</v>
      </c>
      <c r="B55" s="128">
        <f>ROUND($B$5+$B$6*A55+$B$7*A55^2,0)</f>
        <v/>
      </c>
      <c r="C55" s="128">
        <f>ROUND(F55/$B$12,0)</f>
        <v/>
      </c>
      <c r="D55" s="128">
        <f>ROUND($B$13+$B$14*A55,0)</f>
        <v/>
      </c>
      <c r="E55" s="128">
        <f>ROUND($B$15+$B$16*A55,0)</f>
        <v/>
      </c>
      <c r="F55" s="128">
        <f>ROUND(B55*$B$8,0)</f>
        <v/>
      </c>
      <c r="G55" s="128">
        <f>ROUND(B55*$B$9,0)</f>
        <v/>
      </c>
      <c r="H55" s="128">
        <f>ROUND(B55*$B$10,0)</f>
        <v/>
      </c>
      <c r="I55" s="128">
        <f>ROUND(B55*$B$11,0)</f>
        <v/>
      </c>
      <c r="J55" s="128">
        <f>ROUND($L$5+$L$6*A55+$L$7*A55^2,0)</f>
        <v/>
      </c>
      <c r="M55" s="128">
        <f>ROUND($O$5+$O$6*A55+$O$7*A55^2,0)</f>
        <v/>
      </c>
    </row>
    <row r="56" ht="15" customHeight="1" s="116">
      <c r="A56" s="128" t="n">
        <v>37</v>
      </c>
      <c r="B56" s="128">
        <f>ROUND($B$5+$B$6*A56+$B$7*A56^2,0)</f>
        <v/>
      </c>
      <c r="C56" s="128">
        <f>ROUND(F56/$B$12,0)</f>
        <v/>
      </c>
      <c r="D56" s="128">
        <f>ROUND($B$13+$B$14*A56,0)</f>
        <v/>
      </c>
      <c r="E56" s="128">
        <f>ROUND($B$15+$B$16*A56,0)</f>
        <v/>
      </c>
      <c r="F56" s="128">
        <f>ROUND(B56*$B$8,0)</f>
        <v/>
      </c>
      <c r="G56" s="128">
        <f>ROUND(B56*$B$9,0)</f>
        <v/>
      </c>
      <c r="H56" s="128">
        <f>ROUND(B56*$B$10,0)</f>
        <v/>
      </c>
      <c r="I56" s="128">
        <f>ROUND(B56*$B$11,0)</f>
        <v/>
      </c>
      <c r="J56" s="128">
        <f>ROUND($L$5+$L$6*A56+$L$7*A56^2,0)</f>
        <v/>
      </c>
      <c r="M56" s="128">
        <f>ROUND($O$5+$O$6*A56+$O$7*A56^2,0)</f>
        <v/>
      </c>
    </row>
    <row r="57" ht="15" customHeight="1" s="116">
      <c r="A57" s="128" t="n">
        <v>38</v>
      </c>
      <c r="B57" s="128">
        <f>ROUND($B$5+$B$6*A57+$B$7*A57^2,0)</f>
        <v/>
      </c>
      <c r="C57" s="128">
        <f>ROUND(F57/$B$12,0)</f>
        <v/>
      </c>
      <c r="D57" s="128">
        <f>ROUND($B$13+$B$14*A57,0)</f>
        <v/>
      </c>
      <c r="E57" s="128">
        <f>ROUND($B$15+$B$16*A57,0)</f>
        <v/>
      </c>
      <c r="F57" s="128">
        <f>ROUND(B57*$B$8,0)</f>
        <v/>
      </c>
      <c r="G57" s="128">
        <f>ROUND(B57*$B$9,0)</f>
        <v/>
      </c>
      <c r="H57" s="128">
        <f>ROUND(B57*$B$10,0)</f>
        <v/>
      </c>
      <c r="I57" s="128">
        <f>ROUND(B57*$B$11,0)</f>
        <v/>
      </c>
      <c r="J57" s="128">
        <f>ROUND($L$5+$L$6*A57+$L$7*A57^2,0)</f>
        <v/>
      </c>
      <c r="M57" s="128">
        <f>ROUND($O$5+$O$6*A57+$O$7*A57^2,0)</f>
        <v/>
      </c>
    </row>
    <row r="58" ht="15" customHeight="1" s="116">
      <c r="A58" s="128" t="n">
        <v>39</v>
      </c>
      <c r="B58" s="128">
        <f>ROUND($B$5+$B$6*A58+$B$7*A58^2,0)</f>
        <v/>
      </c>
      <c r="C58" s="128">
        <f>ROUND(F58/$B$12,0)</f>
        <v/>
      </c>
      <c r="D58" s="128">
        <f>ROUND($B$13+$B$14*A58,0)</f>
        <v/>
      </c>
      <c r="E58" s="128">
        <f>ROUND($B$15+$B$16*A58,0)</f>
        <v/>
      </c>
      <c r="F58" s="128">
        <f>ROUND(B58*$B$8,0)</f>
        <v/>
      </c>
      <c r="G58" s="128">
        <f>ROUND(B58*$B$9,0)</f>
        <v/>
      </c>
      <c r="H58" s="128">
        <f>ROUND(B58*$B$10,0)</f>
        <v/>
      </c>
      <c r="I58" s="128">
        <f>ROUND(B58*$B$11,0)</f>
        <v/>
      </c>
      <c r="J58" s="128">
        <f>ROUND($L$5+$L$6*A58+$L$7*A58^2,0)</f>
        <v/>
      </c>
      <c r="M58" s="128">
        <f>ROUND($O$5+$O$6*A58+$O$7*A58^2,0)</f>
        <v/>
      </c>
    </row>
    <row r="59" ht="15" customHeight="1" s="116">
      <c r="A59" s="128" t="n">
        <v>40</v>
      </c>
      <c r="B59" s="128">
        <f>ROUND($B$5+$B$6*A59+$B$7*A59^2,0)</f>
        <v/>
      </c>
      <c r="C59" s="128">
        <f>ROUND(F59/$B$12,0)</f>
        <v/>
      </c>
      <c r="D59" s="128">
        <f>ROUND($B$13+$B$14*A59,0)</f>
        <v/>
      </c>
      <c r="E59" s="128">
        <f>ROUND($B$15+$B$16*A59,0)</f>
        <v/>
      </c>
      <c r="F59" s="128">
        <f>ROUND(B59*$B$8,0)</f>
        <v/>
      </c>
      <c r="G59" s="128">
        <f>ROUND(B59*$B$9,0)</f>
        <v/>
      </c>
      <c r="H59" s="128">
        <f>ROUND(B59*$B$10,0)</f>
        <v/>
      </c>
      <c r="I59" s="128">
        <f>ROUND(B59*$B$11,0)</f>
        <v/>
      </c>
      <c r="J59" s="128">
        <f>ROUND($L$5+$L$6*A59+$L$7*A59^2,0)</f>
        <v/>
      </c>
      <c r="M59" s="128">
        <f>ROUND($O$5+$O$6*A59+$O$7*A59^2,0)</f>
        <v/>
      </c>
    </row>
    <row r="60" ht="15" customHeight="1" s="116">
      <c r="A60" s="128" t="n">
        <v>41</v>
      </c>
      <c r="B60" s="128">
        <f>ROUND($B$5+$B$6*A60+$B$7*A60^2,0)</f>
        <v/>
      </c>
      <c r="C60" s="128">
        <f>ROUND(F60/$B$12,0)</f>
        <v/>
      </c>
      <c r="D60" s="128">
        <f>ROUND($B$13+$B$14*A60,0)</f>
        <v/>
      </c>
      <c r="E60" s="128">
        <f>ROUND($B$15+$B$16*A60,0)</f>
        <v/>
      </c>
      <c r="F60" s="128">
        <f>ROUND(B60*$B$8,0)</f>
        <v/>
      </c>
      <c r="G60" s="128">
        <f>ROUND(B60*$B$9,0)</f>
        <v/>
      </c>
      <c r="H60" s="128">
        <f>ROUND(B60*$B$10,0)</f>
        <v/>
      </c>
      <c r="I60" s="128">
        <f>ROUND(B60*$B$11,0)</f>
        <v/>
      </c>
      <c r="J60" s="128">
        <f>ROUND($L$5+$L$6*A60+$L$7*A60^2,0)</f>
        <v/>
      </c>
      <c r="M60" s="128">
        <f>ROUND($O$5+$O$6*A60+$O$7*A60^2,0)</f>
        <v/>
      </c>
    </row>
    <row r="61" ht="15" customHeight="1" s="116">
      <c r="A61" s="128" t="n">
        <v>42</v>
      </c>
      <c r="B61" s="128">
        <f>ROUND($B$5+$B$6*A61+$B$7*A61^2,0)</f>
        <v/>
      </c>
      <c r="C61" s="128">
        <f>ROUND(F61/$B$12,0)</f>
        <v/>
      </c>
      <c r="D61" s="128">
        <f>ROUND($B$13+$B$14*A61,0)</f>
        <v/>
      </c>
      <c r="E61" s="128">
        <f>ROUND($B$15+$B$16*A61,0)</f>
        <v/>
      </c>
      <c r="F61" s="128">
        <f>ROUND(B61*$B$8,0)</f>
        <v/>
      </c>
      <c r="G61" s="128">
        <f>ROUND(B61*$B$9,0)</f>
        <v/>
      </c>
      <c r="H61" s="128">
        <f>ROUND(B61*$B$10,0)</f>
        <v/>
      </c>
      <c r="I61" s="128">
        <f>ROUND(B61*$B$11,0)</f>
        <v/>
      </c>
      <c r="J61" s="128">
        <f>ROUND($L$5+$L$6*A61+$L$7*A61^2,0)</f>
        <v/>
      </c>
      <c r="M61" s="128">
        <f>ROUND($O$5+$O$6*A61+$O$7*A61^2,0)</f>
        <v/>
      </c>
    </row>
    <row r="62" ht="15" customHeight="1" s="116">
      <c r="A62" s="128" t="n">
        <v>43</v>
      </c>
      <c r="B62" s="128">
        <f>ROUND($B$5+$B$6*A62+$B$7*A62^2,0)</f>
        <v/>
      </c>
      <c r="C62" s="128">
        <f>ROUND(F62/$B$12,0)</f>
        <v/>
      </c>
      <c r="D62" s="128">
        <f>ROUND($B$13+$B$14*A62,0)</f>
        <v/>
      </c>
      <c r="E62" s="128">
        <f>ROUND($B$15+$B$16*A62,0)</f>
        <v/>
      </c>
      <c r="F62" s="128">
        <f>ROUND(B62*$B$8,0)</f>
        <v/>
      </c>
      <c r="G62" s="128">
        <f>ROUND(B62*$B$9,0)</f>
        <v/>
      </c>
      <c r="H62" s="128">
        <f>ROUND(B62*$B$10,0)</f>
        <v/>
      </c>
      <c r="I62" s="128">
        <f>ROUND(B62*$B$11,0)</f>
        <v/>
      </c>
      <c r="J62" s="128">
        <f>ROUND($L$5+$L$6*A62+$L$7*A62^2,0)</f>
        <v/>
      </c>
      <c r="M62" s="128">
        <f>ROUND($O$5+$O$6*A62+$O$7*A62^2,0)</f>
        <v/>
      </c>
    </row>
    <row r="63" ht="15" customHeight="1" s="116">
      <c r="A63" s="128" t="n">
        <v>44</v>
      </c>
      <c r="B63" s="128">
        <f>ROUND($B$5+$B$6*A63+$B$7*A63^2,0)</f>
        <v/>
      </c>
      <c r="C63" s="128">
        <f>ROUND(F63/$B$12,0)</f>
        <v/>
      </c>
      <c r="D63" s="128">
        <f>ROUND($B$13+$B$14*A63,0)</f>
        <v/>
      </c>
      <c r="E63" s="128">
        <f>ROUND($B$15+$B$16*A63,0)</f>
        <v/>
      </c>
      <c r="F63" s="128">
        <f>ROUND(B63*$B$8,0)</f>
        <v/>
      </c>
      <c r="G63" s="128">
        <f>ROUND(B63*$B$9,0)</f>
        <v/>
      </c>
      <c r="H63" s="128">
        <f>ROUND(B63*$B$10,0)</f>
        <v/>
      </c>
      <c r="I63" s="128">
        <f>ROUND(B63*$B$11,0)</f>
        <v/>
      </c>
      <c r="J63" s="128">
        <f>ROUND($L$5+$L$6*A63+$L$7*A63^2,0)</f>
        <v/>
      </c>
      <c r="M63" s="128">
        <f>ROUND($O$5+$O$6*A63+$O$7*A63^2,0)</f>
        <v/>
      </c>
    </row>
    <row r="64" ht="15" customHeight="1" s="116">
      <c r="A64" s="128" t="n">
        <v>45</v>
      </c>
      <c r="B64" s="128">
        <f>ROUND($B$5+$B$6*A64+$B$7*A64^2,0)</f>
        <v/>
      </c>
      <c r="C64" s="128">
        <f>ROUND(F64/$B$12,0)</f>
        <v/>
      </c>
      <c r="D64" s="128">
        <f>ROUND($B$13+$B$14*A64,0)</f>
        <v/>
      </c>
      <c r="E64" s="128">
        <f>ROUND($B$15+$B$16*A64,0)</f>
        <v/>
      </c>
      <c r="F64" s="128">
        <f>ROUND(B64*$B$8,0)</f>
        <v/>
      </c>
      <c r="G64" s="128">
        <f>ROUND(B64*$B$9,0)</f>
        <v/>
      </c>
      <c r="H64" s="128">
        <f>ROUND(B64*$B$10,0)</f>
        <v/>
      </c>
      <c r="I64" s="128">
        <f>ROUND(B64*$B$11,0)</f>
        <v/>
      </c>
      <c r="J64" s="128">
        <f>ROUND($L$5+$L$6*A64+$L$7*A64^2,0)</f>
        <v/>
      </c>
      <c r="M64" s="128">
        <f>ROUND($O$5+$O$6*A64+$O$7*A64^2,0)</f>
        <v/>
      </c>
    </row>
    <row r="65" ht="15" customHeight="1" s="116">
      <c r="A65" s="128" t="n">
        <v>46</v>
      </c>
      <c r="B65" s="128">
        <f>ROUND($B$5+$B$6*A65+$B$7*A65^2,0)</f>
        <v/>
      </c>
      <c r="C65" s="128">
        <f>ROUND(F65/$B$12,0)</f>
        <v/>
      </c>
      <c r="D65" s="128">
        <f>ROUND($B$13+$B$14*A65,0)</f>
        <v/>
      </c>
      <c r="E65" s="128">
        <f>ROUND($B$15+$B$16*A65,0)</f>
        <v/>
      </c>
      <c r="F65" s="128">
        <f>ROUND(B65*$B$8,0)</f>
        <v/>
      </c>
      <c r="G65" s="128">
        <f>ROUND(B65*$B$9,0)</f>
        <v/>
      </c>
      <c r="H65" s="128">
        <f>ROUND(B65*$B$10,0)</f>
        <v/>
      </c>
      <c r="I65" s="128">
        <f>ROUND(B65*$B$11,0)</f>
        <v/>
      </c>
      <c r="J65" s="128">
        <f>ROUND($L$5+$L$6*A65+$L$7*A65^2,0)</f>
        <v/>
      </c>
      <c r="M65" s="128">
        <f>ROUND($O$5+$O$6*A65+$O$7*A65^2,0)</f>
        <v/>
      </c>
    </row>
    <row r="66" ht="15" customHeight="1" s="116">
      <c r="A66" s="128" t="n">
        <v>47</v>
      </c>
      <c r="B66" s="128">
        <f>ROUND($B$5+$B$6*A66+$B$7*A66^2,0)</f>
        <v/>
      </c>
      <c r="C66" s="128">
        <f>ROUND(F66/$B$12,0)</f>
        <v/>
      </c>
      <c r="D66" s="128">
        <f>ROUND($B$13+$B$14*A66,0)</f>
        <v/>
      </c>
      <c r="E66" s="128">
        <f>ROUND($B$15+$B$16*A66,0)</f>
        <v/>
      </c>
      <c r="F66" s="128">
        <f>ROUND(B66*$B$8,0)</f>
        <v/>
      </c>
      <c r="G66" s="128">
        <f>ROUND(B66*$B$9,0)</f>
        <v/>
      </c>
      <c r="H66" s="128">
        <f>ROUND(B66*$B$10,0)</f>
        <v/>
      </c>
      <c r="I66" s="128">
        <f>ROUND(B66*$B$11,0)</f>
        <v/>
      </c>
      <c r="J66" s="128">
        <f>ROUND($L$5+$L$6*A66+$L$7*A66^2,0)</f>
        <v/>
      </c>
      <c r="M66" s="128">
        <f>ROUND($O$5+$O$6*A66+$O$7*A66^2,0)</f>
        <v/>
      </c>
    </row>
    <row r="67" ht="15" customHeight="1" s="116">
      <c r="A67" s="128" t="n">
        <v>48</v>
      </c>
      <c r="B67" s="128">
        <f>ROUND($B$5+$B$6*A67+$B$7*A67^2,0)</f>
        <v/>
      </c>
      <c r="C67" s="128">
        <f>ROUND(F67/$B$12,0)</f>
        <v/>
      </c>
      <c r="D67" s="128">
        <f>ROUND($B$13+$B$14*A67,0)</f>
        <v/>
      </c>
      <c r="E67" s="128">
        <f>ROUND($B$15+$B$16*A67,0)</f>
        <v/>
      </c>
      <c r="F67" s="128">
        <f>ROUND(B67*$B$8,0)</f>
        <v/>
      </c>
      <c r="G67" s="128">
        <f>ROUND(B67*$B$9,0)</f>
        <v/>
      </c>
      <c r="H67" s="128">
        <f>ROUND(B67*$B$10,0)</f>
        <v/>
      </c>
      <c r="I67" s="128">
        <f>ROUND(B67*$B$11,0)</f>
        <v/>
      </c>
      <c r="J67" s="128">
        <f>ROUND($L$5+$L$6*A67+$L$7*A67^2,0)</f>
        <v/>
      </c>
      <c r="M67" s="128">
        <f>ROUND($O$5+$O$6*A67+$O$7*A67^2,0)</f>
        <v/>
      </c>
    </row>
    <row r="68" ht="15" customHeight="1" s="116">
      <c r="A68" s="128" t="n">
        <v>49</v>
      </c>
      <c r="B68" s="128">
        <f>ROUND($B$5+$B$6*A68+$B$7*A68^2,0)</f>
        <v/>
      </c>
      <c r="C68" s="128">
        <f>ROUND(F68/$B$12,0)</f>
        <v/>
      </c>
      <c r="D68" s="128">
        <f>ROUND($B$13+$B$14*A68,0)</f>
        <v/>
      </c>
      <c r="E68" s="128">
        <f>ROUND($B$15+$B$16*A68,0)</f>
        <v/>
      </c>
      <c r="F68" s="128">
        <f>ROUND(B68*$B$8,0)</f>
        <v/>
      </c>
      <c r="G68" s="128">
        <f>ROUND(B68*$B$9,0)</f>
        <v/>
      </c>
      <c r="H68" s="128">
        <f>ROUND(B68*$B$10,0)</f>
        <v/>
      </c>
      <c r="I68" s="128">
        <f>ROUND(B68*$B$11,0)</f>
        <v/>
      </c>
      <c r="J68" s="128">
        <f>ROUND($L$5+$L$6*A68+$L$7*A68^2,0)</f>
        <v/>
      </c>
      <c r="M68" s="128">
        <f>ROUND($O$5+$O$6*A68+$O$7*A68^2,0)</f>
        <v/>
      </c>
    </row>
    <row r="69" ht="15" customHeight="1" s="116">
      <c r="A69" s="128" t="n">
        <v>50</v>
      </c>
      <c r="B69" s="128">
        <f>ROUND($B$5+$B$6*A69+$B$7*A69^2,0)</f>
        <v/>
      </c>
      <c r="C69" s="128">
        <f>ROUND(F69/$B$12,0)</f>
        <v/>
      </c>
      <c r="D69" s="128">
        <f>ROUND($B$13+$B$14*A69,0)</f>
        <v/>
      </c>
      <c r="E69" s="128">
        <f>ROUND($B$15+$B$16*A69,0)</f>
        <v/>
      </c>
      <c r="F69" s="128">
        <f>ROUND(B69*$B$8,0)</f>
        <v/>
      </c>
      <c r="G69" s="128">
        <f>ROUND(B69*$B$9,0)</f>
        <v/>
      </c>
      <c r="H69" s="128">
        <f>ROUND(B69*$B$10,0)</f>
        <v/>
      </c>
      <c r="I69" s="128">
        <f>ROUND(B69*$B$11,0)</f>
        <v/>
      </c>
      <c r="J69" s="128">
        <f>ROUND($L$5+$L$6*A69+$L$7*A69^2,0)</f>
        <v/>
      </c>
      <c r="M69" s="128">
        <f>ROUND($O$5+$O$6*A69+$O$7*A69^2,0)</f>
        <v/>
      </c>
    </row>
    <row r="70" ht="15" customHeight="1" s="116">
      <c r="A70" s="128" t="n">
        <v>51</v>
      </c>
      <c r="B70" s="128">
        <f>ROUND($B$5+$B$6*A70+$B$7*A70^2,0)</f>
        <v/>
      </c>
      <c r="C70" s="128">
        <f>ROUND(F70/$B$12,0)</f>
        <v/>
      </c>
      <c r="D70" s="128">
        <f>ROUND($B$13+$B$14*A70,0)</f>
        <v/>
      </c>
      <c r="E70" s="128">
        <f>ROUND($B$15+$B$16*A70,0)</f>
        <v/>
      </c>
      <c r="F70" s="128">
        <f>ROUND(B70*$B$8,0)</f>
        <v/>
      </c>
      <c r="G70" s="128">
        <f>ROUND(B70*$B$9,0)</f>
        <v/>
      </c>
      <c r="H70" s="128">
        <f>ROUND(B70*$B$10,0)</f>
        <v/>
      </c>
      <c r="I70" s="128">
        <f>ROUND(B70*$B$11,0)</f>
        <v/>
      </c>
      <c r="J70" s="128">
        <f>ROUND($L$5+$L$6*A70+$L$7*A70^2,0)</f>
        <v/>
      </c>
      <c r="M70" s="128">
        <f>ROUND($O$5+$O$6*A70+$O$7*A70^2,0)</f>
        <v/>
      </c>
    </row>
    <row r="71" ht="15" customHeight="1" s="116">
      <c r="A71" s="128" t="n">
        <v>52</v>
      </c>
      <c r="B71" s="128">
        <f>ROUND($B$5+$B$6*A71+$B$7*A71^2,0)</f>
        <v/>
      </c>
      <c r="C71" s="128">
        <f>ROUND(F71/$B$12,0)</f>
        <v/>
      </c>
      <c r="D71" s="128">
        <f>ROUND($B$13+$B$14*A71,0)</f>
        <v/>
      </c>
      <c r="E71" s="128">
        <f>ROUND($B$15+$B$16*A71,0)</f>
        <v/>
      </c>
      <c r="F71" s="128">
        <f>ROUND(B71*$B$8,0)</f>
        <v/>
      </c>
      <c r="G71" s="128">
        <f>ROUND(B71*$B$9,0)</f>
        <v/>
      </c>
      <c r="H71" s="128">
        <f>ROUND(B71*$B$10,0)</f>
        <v/>
      </c>
      <c r="I71" s="128">
        <f>ROUND(B71*$B$11,0)</f>
        <v/>
      </c>
      <c r="J71" s="128">
        <f>ROUND($L$5+$L$6*A71+$L$7*A71^2,0)</f>
        <v/>
      </c>
      <c r="M71" s="128">
        <f>ROUND($O$5+$O$6*A71+$O$7*A71^2,0)</f>
        <v/>
      </c>
    </row>
    <row r="72" ht="15" customHeight="1" s="116">
      <c r="A72" s="128" t="n">
        <v>53</v>
      </c>
      <c r="B72" s="128">
        <f>ROUND($B$5+$B$6*A72+$B$7*A72^2,0)</f>
        <v/>
      </c>
      <c r="C72" s="128">
        <f>ROUND(F72/$B$12,0)</f>
        <v/>
      </c>
      <c r="D72" s="128">
        <f>ROUND($B$13+$B$14*A72,0)</f>
        <v/>
      </c>
      <c r="E72" s="128">
        <f>ROUND($B$15+$B$16*A72,0)</f>
        <v/>
      </c>
      <c r="F72" s="128">
        <f>ROUND(B72*$B$8,0)</f>
        <v/>
      </c>
      <c r="G72" s="128">
        <f>ROUND(B72*$B$9,0)</f>
        <v/>
      </c>
      <c r="H72" s="128">
        <f>ROUND(B72*$B$10,0)</f>
        <v/>
      </c>
      <c r="I72" s="128">
        <f>ROUND(B72*$B$11,0)</f>
        <v/>
      </c>
      <c r="J72" s="128">
        <f>ROUND($L$5+$L$6*A72+$L$7*A72^2,0)</f>
        <v/>
      </c>
      <c r="M72" s="128">
        <f>ROUND($O$5+$O$6*A72+$O$7*A72^2,0)</f>
        <v/>
      </c>
    </row>
    <row r="73" ht="15" customHeight="1" s="116">
      <c r="A73" s="128" t="n">
        <v>54</v>
      </c>
      <c r="B73" s="128">
        <f>ROUND($B$5+$B$6*A73+$B$7*A73^2,0)</f>
        <v/>
      </c>
      <c r="C73" s="128">
        <f>ROUND(F73/$B$12,0)</f>
        <v/>
      </c>
      <c r="D73" s="128">
        <f>ROUND($B$13+$B$14*A73,0)</f>
        <v/>
      </c>
      <c r="E73" s="128">
        <f>ROUND($B$15+$B$16*A73,0)</f>
        <v/>
      </c>
      <c r="F73" s="128">
        <f>ROUND(B73*$B$8,0)</f>
        <v/>
      </c>
      <c r="G73" s="128">
        <f>ROUND(B73*$B$9,0)</f>
        <v/>
      </c>
      <c r="H73" s="128">
        <f>ROUND(B73*$B$10,0)</f>
        <v/>
      </c>
      <c r="I73" s="128">
        <f>ROUND(B73*$B$11,0)</f>
        <v/>
      </c>
      <c r="J73" s="128">
        <f>ROUND($L$5+$L$6*A73+$L$7*A73^2,0)</f>
        <v/>
      </c>
      <c r="M73" s="128">
        <f>ROUND($O$5+$O$6*A73+$O$7*A73^2,0)</f>
        <v/>
      </c>
    </row>
    <row r="74" ht="15" customHeight="1" s="116">
      <c r="A74" s="128" t="n">
        <v>55</v>
      </c>
      <c r="B74" s="128">
        <f>ROUND($B$5+$B$6*A74+$B$7*A74^2,0)</f>
        <v/>
      </c>
      <c r="C74" s="128">
        <f>ROUND(F74/$B$12,0)</f>
        <v/>
      </c>
      <c r="D74" s="128">
        <f>ROUND($B$13+$B$14*A74,0)</f>
        <v/>
      </c>
      <c r="E74" s="128">
        <f>ROUND($B$15+$B$16*A74,0)</f>
        <v/>
      </c>
      <c r="F74" s="128">
        <f>ROUND(B74*$B$8,0)</f>
        <v/>
      </c>
      <c r="G74" s="128">
        <f>ROUND(B74*$B$9,0)</f>
        <v/>
      </c>
      <c r="H74" s="128">
        <f>ROUND(B74*$B$10,0)</f>
        <v/>
      </c>
      <c r="I74" s="128">
        <f>ROUND(B74*$B$11,0)</f>
        <v/>
      </c>
      <c r="J74" s="128">
        <f>ROUND($L$5+$L$6*A74+$L$7*A74^2,0)</f>
        <v/>
      </c>
      <c r="M74" s="128">
        <f>ROUND($O$5+$O$6*A74+$O$7*A74^2,0)</f>
        <v/>
      </c>
    </row>
    <row r="75" ht="15" customHeight="1" s="116">
      <c r="A75" s="128" t="n">
        <v>56</v>
      </c>
      <c r="B75" s="128">
        <f>ROUND($B$5+$B$6*A75+$B$7*A75^2,0)</f>
        <v/>
      </c>
      <c r="C75" s="128">
        <f>ROUND(F75/$B$12,0)</f>
        <v/>
      </c>
      <c r="D75" s="128">
        <f>ROUND($B$13+$B$14*A75,0)</f>
        <v/>
      </c>
      <c r="E75" s="128">
        <f>ROUND($B$15+$B$16*A75,0)</f>
        <v/>
      </c>
      <c r="F75" s="128">
        <f>ROUND(B75*$B$8,0)</f>
        <v/>
      </c>
      <c r="G75" s="128">
        <f>ROUND(B75*$B$9,0)</f>
        <v/>
      </c>
      <c r="H75" s="128">
        <f>ROUND(B75*$B$10,0)</f>
        <v/>
      </c>
      <c r="I75" s="128">
        <f>ROUND(B75*$B$11,0)</f>
        <v/>
      </c>
      <c r="J75" s="128">
        <f>ROUND($L$5+$L$6*A75+$L$7*A75^2,0)</f>
        <v/>
      </c>
      <c r="M75" s="128">
        <f>ROUND($O$5+$O$6*A75+$O$7*A75^2,0)</f>
        <v/>
      </c>
    </row>
    <row r="76" ht="15" customHeight="1" s="116">
      <c r="A76" s="128" t="n">
        <v>57</v>
      </c>
      <c r="B76" s="128">
        <f>ROUND($B$5+$B$6*A76+$B$7*A76^2,0)</f>
        <v/>
      </c>
      <c r="C76" s="128">
        <f>ROUND(F76/$B$12,0)</f>
        <v/>
      </c>
      <c r="D76" s="128">
        <f>ROUND($B$13+$B$14*A76,0)</f>
        <v/>
      </c>
      <c r="E76" s="128">
        <f>ROUND($B$15+$B$16*A76,0)</f>
        <v/>
      </c>
      <c r="F76" s="128">
        <f>ROUND(B76*$B$8,0)</f>
        <v/>
      </c>
      <c r="G76" s="128">
        <f>ROUND(B76*$B$9,0)</f>
        <v/>
      </c>
      <c r="H76" s="128">
        <f>ROUND(B76*$B$10,0)</f>
        <v/>
      </c>
      <c r="I76" s="128">
        <f>ROUND(B76*$B$11,0)</f>
        <v/>
      </c>
      <c r="J76" s="128">
        <f>ROUND($L$5+$L$6*A76+$L$7*A76^2,0)</f>
        <v/>
      </c>
      <c r="M76" s="128">
        <f>ROUND($O$5+$O$6*A76+$O$7*A76^2,0)</f>
        <v/>
      </c>
    </row>
    <row r="77" ht="15" customHeight="1" s="116">
      <c r="A77" s="128" t="n">
        <v>58</v>
      </c>
      <c r="B77" s="128">
        <f>ROUND($B$5+$B$6*A77+$B$7*A77^2,0)</f>
        <v/>
      </c>
      <c r="C77" s="128">
        <f>ROUND(F77/$B$12,0)</f>
        <v/>
      </c>
      <c r="D77" s="128">
        <f>ROUND($B$13+$B$14*A77,0)</f>
        <v/>
      </c>
      <c r="E77" s="128">
        <f>ROUND($B$15+$B$16*A77,0)</f>
        <v/>
      </c>
      <c r="F77" s="128">
        <f>ROUND(B77*$B$8,0)</f>
        <v/>
      </c>
      <c r="G77" s="128">
        <f>ROUND(B77*$B$9,0)</f>
        <v/>
      </c>
      <c r="H77" s="128">
        <f>ROUND(B77*$B$10,0)</f>
        <v/>
      </c>
      <c r="I77" s="128">
        <f>ROUND(B77*$B$11,0)</f>
        <v/>
      </c>
      <c r="J77" s="128">
        <f>ROUND($L$5+$L$6*A77+$L$7*A77^2,0)</f>
        <v/>
      </c>
      <c r="M77" s="128">
        <f>ROUND($O$5+$O$6*A77+$O$7*A77^2,0)</f>
        <v/>
      </c>
    </row>
    <row r="78" ht="15" customHeight="1" s="116">
      <c r="A78" s="128" t="n">
        <v>59</v>
      </c>
      <c r="B78" s="128">
        <f>ROUND($B$5+$B$6*A78+$B$7*A78^2,0)</f>
        <v/>
      </c>
      <c r="C78" s="128">
        <f>ROUND(F78/$B$12,0)</f>
        <v/>
      </c>
      <c r="D78" s="128">
        <f>ROUND($B$13+$B$14*A78,0)</f>
        <v/>
      </c>
      <c r="E78" s="128">
        <f>ROUND($B$15+$B$16*A78,0)</f>
        <v/>
      </c>
      <c r="F78" s="128">
        <f>ROUND(B78*$B$8,0)</f>
        <v/>
      </c>
      <c r="G78" s="128">
        <f>ROUND(B78*$B$9,0)</f>
        <v/>
      </c>
      <c r="H78" s="128">
        <f>ROUND(B78*$B$10,0)</f>
        <v/>
      </c>
      <c r="I78" s="128">
        <f>ROUND(B78*$B$11,0)</f>
        <v/>
      </c>
      <c r="J78" s="128">
        <f>ROUND($L$5+$L$6*A78+$L$7*A78^2,0)</f>
        <v/>
      </c>
      <c r="M78" s="128">
        <f>ROUND($O$5+$O$6*A78+$O$7*A78^2,0)</f>
        <v/>
      </c>
    </row>
    <row r="79" ht="15" customHeight="1" s="116">
      <c r="A79" s="128" t="n">
        <v>60</v>
      </c>
      <c r="B79" s="128">
        <f>ROUND($B$5+$B$6*A79+$B$7*A79^2,0)</f>
        <v/>
      </c>
      <c r="C79" s="128">
        <f>ROUND(F79/$B$12,0)</f>
        <v/>
      </c>
      <c r="D79" s="128">
        <f>ROUND($B$13+$B$14*A79,0)</f>
        <v/>
      </c>
      <c r="E79" s="128">
        <f>ROUND($B$15+$B$16*A79,0)</f>
        <v/>
      </c>
      <c r="F79" s="128">
        <f>ROUND(B79*$B$8,0)</f>
        <v/>
      </c>
      <c r="G79" s="128">
        <f>ROUND(B79*$B$9,0)</f>
        <v/>
      </c>
      <c r="H79" s="128">
        <f>ROUND(B79*$B$10,0)</f>
        <v/>
      </c>
      <c r="I79" s="128">
        <f>ROUND(B79*$B$11,0)</f>
        <v/>
      </c>
      <c r="J79" s="128">
        <f>ROUND($L$5+$L$6*A79+$L$7*A79^2,0)</f>
        <v/>
      </c>
      <c r="M79" s="128">
        <f>ROUND($O$5+$O$6*A79+$O$7*A79^2,0)</f>
        <v/>
      </c>
    </row>
    <row r="80" ht="15" customHeight="1" s="116">
      <c r="A80" s="128" t="n">
        <v>61</v>
      </c>
      <c r="B80" s="128">
        <f>ROUND($B$5+$B$6*A80+$B$7*A80^2,0)</f>
        <v/>
      </c>
      <c r="C80" s="128">
        <f>ROUND(F80/$B$12,0)</f>
        <v/>
      </c>
      <c r="D80" s="128">
        <f>ROUND($B$13+$B$14*A80,0)</f>
        <v/>
      </c>
      <c r="E80" s="128">
        <f>ROUND($B$15+$B$16*A80,0)</f>
        <v/>
      </c>
      <c r="F80" s="128">
        <f>ROUND(B80*$B$8,0)</f>
        <v/>
      </c>
      <c r="G80" s="128">
        <f>ROUND(B80*$B$9,0)</f>
        <v/>
      </c>
      <c r="H80" s="128">
        <f>ROUND(B80*$B$10,0)</f>
        <v/>
      </c>
      <c r="I80" s="128">
        <f>ROUND(B80*$B$11,0)</f>
        <v/>
      </c>
      <c r="J80" s="128">
        <f>ROUND($L$5+$L$6*A80+$L$7*A80^2,0)</f>
        <v/>
      </c>
      <c r="M80" s="128">
        <f>ROUND($O$5+$O$6*A80+$O$7*A80^2,0)</f>
        <v/>
      </c>
    </row>
    <row r="81" ht="15" customHeight="1" s="116">
      <c r="A81" s="128" t="n">
        <v>62</v>
      </c>
      <c r="B81" s="128">
        <f>ROUND($B$5+$B$6*A81+$B$7*A81^2,0)</f>
        <v/>
      </c>
      <c r="C81" s="128">
        <f>ROUND(F81/$B$12,0)</f>
        <v/>
      </c>
      <c r="D81" s="128">
        <f>ROUND($B$13+$B$14*A81,0)</f>
        <v/>
      </c>
      <c r="E81" s="128">
        <f>ROUND($B$15+$B$16*A81,0)</f>
        <v/>
      </c>
      <c r="F81" s="128">
        <f>ROUND(B81*$B$8,0)</f>
        <v/>
      </c>
      <c r="G81" s="128">
        <f>ROUND(B81*$B$9,0)</f>
        <v/>
      </c>
      <c r="H81" s="128">
        <f>ROUND(B81*$B$10,0)</f>
        <v/>
      </c>
      <c r="I81" s="128">
        <f>ROUND(B81*$B$11,0)</f>
        <v/>
      </c>
      <c r="J81" s="128">
        <f>ROUND($L$5+$L$6*A81+$L$7*A81^2,0)</f>
        <v/>
      </c>
      <c r="M81" s="128">
        <f>ROUND($O$5+$O$6*A81+$O$7*A81^2,0)</f>
        <v/>
      </c>
    </row>
    <row r="82" ht="15" customHeight="1" s="116">
      <c r="A82" s="128" t="n">
        <v>63</v>
      </c>
      <c r="B82" s="128">
        <f>ROUND($B$5+$B$6*A82+$B$7*A82^2,0)</f>
        <v/>
      </c>
      <c r="C82" s="128">
        <f>ROUND(F82/$B$12,0)</f>
        <v/>
      </c>
      <c r="D82" s="128">
        <f>ROUND($B$13+$B$14*A82,0)</f>
        <v/>
      </c>
      <c r="E82" s="128">
        <f>ROUND($B$15+$B$16*A82,0)</f>
        <v/>
      </c>
      <c r="F82" s="128">
        <f>ROUND(B82*$B$8,0)</f>
        <v/>
      </c>
      <c r="G82" s="128">
        <f>ROUND(B82*$B$9,0)</f>
        <v/>
      </c>
      <c r="H82" s="128">
        <f>ROUND(B82*$B$10,0)</f>
        <v/>
      </c>
      <c r="I82" s="128">
        <f>ROUND(B82*$B$11,0)</f>
        <v/>
      </c>
      <c r="J82" s="128">
        <f>ROUND($L$5+$L$6*A82+$L$7*A82^2,0)</f>
        <v/>
      </c>
      <c r="M82" s="128">
        <f>ROUND($O$5+$O$6*A82+$O$7*A82^2,0)</f>
        <v/>
      </c>
    </row>
    <row r="83" ht="15" customHeight="1" s="116">
      <c r="A83" s="128" t="n">
        <v>64</v>
      </c>
      <c r="B83" s="128">
        <f>ROUND($B$5+$B$6*A83+$B$7*A83^2,0)</f>
        <v/>
      </c>
      <c r="C83" s="128">
        <f>ROUND(F83/$B$12,0)</f>
        <v/>
      </c>
      <c r="D83" s="128">
        <f>ROUND($B$13+$B$14*A83,0)</f>
        <v/>
      </c>
      <c r="E83" s="128">
        <f>ROUND($B$15+$B$16*A83,0)</f>
        <v/>
      </c>
      <c r="F83" s="128">
        <f>ROUND(B83*$B$8,0)</f>
        <v/>
      </c>
      <c r="G83" s="128">
        <f>ROUND(B83*$B$9,0)</f>
        <v/>
      </c>
      <c r="H83" s="128">
        <f>ROUND(B83*$B$10,0)</f>
        <v/>
      </c>
      <c r="I83" s="128">
        <f>ROUND(B83*$B$11,0)</f>
        <v/>
      </c>
      <c r="J83" s="128">
        <f>ROUND($L$5+$L$6*A83+$L$7*A83^2,0)</f>
        <v/>
      </c>
      <c r="M83" s="128">
        <f>ROUND($O$5+$O$6*A83+$O$7*A83^2,0)</f>
        <v/>
      </c>
    </row>
    <row r="84" ht="15" customHeight="1" s="116">
      <c r="A84" s="128" t="n">
        <v>65</v>
      </c>
      <c r="B84" s="128">
        <f>ROUND($B$5+$B$6*A84+$B$7*A84^2,0)</f>
        <v/>
      </c>
      <c r="C84" s="128">
        <f>ROUND(F84/$B$12,0)</f>
        <v/>
      </c>
      <c r="D84" s="128">
        <f>ROUND($B$13+$B$14*A84,0)</f>
        <v/>
      </c>
      <c r="E84" s="128">
        <f>ROUND($B$15+$B$16*A84,0)</f>
        <v/>
      </c>
      <c r="F84" s="128">
        <f>ROUND(B84*$B$8,0)</f>
        <v/>
      </c>
      <c r="G84" s="128">
        <f>ROUND(B84*$B$9,0)</f>
        <v/>
      </c>
      <c r="H84" s="128">
        <f>ROUND(B84*$B$10,0)</f>
        <v/>
      </c>
      <c r="I84" s="128">
        <f>ROUND(B84*$B$11,0)</f>
        <v/>
      </c>
      <c r="J84" s="128">
        <f>ROUND($L$5+$L$6*A84+$L$7*A84^2,0)</f>
        <v/>
      </c>
      <c r="M84" s="128">
        <f>ROUND($O$5+$O$6*A84+$O$7*A84^2,0)</f>
        <v/>
      </c>
    </row>
    <row r="85" ht="15" customHeight="1" s="116">
      <c r="A85" s="128" t="n">
        <v>66</v>
      </c>
      <c r="B85" s="128">
        <f>ROUND($B$5+$B$6*A85+$B$7*A85^2,0)</f>
        <v/>
      </c>
      <c r="C85" s="128">
        <f>ROUND(F85/$B$12,0)</f>
        <v/>
      </c>
      <c r="D85" s="128">
        <f>ROUND($B$13+$B$14*A85,0)</f>
        <v/>
      </c>
      <c r="E85" s="128">
        <f>ROUND($B$15+$B$16*A85,0)</f>
        <v/>
      </c>
      <c r="F85" s="128">
        <f>ROUND(B85*$B$8,0)</f>
        <v/>
      </c>
      <c r="G85" s="128">
        <f>ROUND(B85*$B$9,0)</f>
        <v/>
      </c>
      <c r="H85" s="128">
        <f>ROUND(B85*$B$10,0)</f>
        <v/>
      </c>
      <c r="I85" s="128">
        <f>ROUND(B85*$B$11,0)</f>
        <v/>
      </c>
      <c r="J85" s="128">
        <f>ROUND($L$5+$L$6*A85+$L$7*A85^2,0)</f>
        <v/>
      </c>
      <c r="M85" s="128">
        <f>ROUND($O$5+$O$6*A85+$O$7*A85^2,0)</f>
        <v/>
      </c>
    </row>
    <row r="86" ht="15" customHeight="1" s="116">
      <c r="A86" s="128" t="n">
        <v>67</v>
      </c>
      <c r="B86" s="128">
        <f>ROUND($B$5+$B$6*A86+$B$7*A86^2,0)</f>
        <v/>
      </c>
      <c r="C86" s="128">
        <f>ROUND(F86/$B$12,0)</f>
        <v/>
      </c>
      <c r="D86" s="128">
        <f>ROUND($B$13+$B$14*A86,0)</f>
        <v/>
      </c>
      <c r="E86" s="128">
        <f>ROUND($B$15+$B$16*A86,0)</f>
        <v/>
      </c>
      <c r="F86" s="128">
        <f>ROUND(B86*$B$8,0)</f>
        <v/>
      </c>
      <c r="G86" s="128">
        <f>ROUND(B86*$B$9,0)</f>
        <v/>
      </c>
      <c r="H86" s="128">
        <f>ROUND(B86*$B$10,0)</f>
        <v/>
      </c>
      <c r="I86" s="128">
        <f>ROUND(B86*$B$11,0)</f>
        <v/>
      </c>
      <c r="J86" s="128">
        <f>ROUND($L$5+$L$6*A86+$L$7*A86^2,0)</f>
        <v/>
      </c>
      <c r="M86" s="128">
        <f>ROUND($O$5+$O$6*A86+$O$7*A86^2,0)</f>
        <v/>
      </c>
    </row>
    <row r="87" ht="15" customHeight="1" s="116">
      <c r="A87" s="128" t="n">
        <v>68</v>
      </c>
      <c r="B87" s="128">
        <f>ROUND($B$5+$B$6*A87+$B$7*A87^2,0)</f>
        <v/>
      </c>
      <c r="C87" s="128">
        <f>ROUND(F87/$B$12,0)</f>
        <v/>
      </c>
      <c r="D87" s="128">
        <f>ROUND($B$13+$B$14*A87,0)</f>
        <v/>
      </c>
      <c r="E87" s="128">
        <f>ROUND($B$15+$B$16*A87,0)</f>
        <v/>
      </c>
      <c r="F87" s="128">
        <f>ROUND(B87*$B$8,0)</f>
        <v/>
      </c>
      <c r="G87" s="128">
        <f>ROUND(B87*$B$9,0)</f>
        <v/>
      </c>
      <c r="H87" s="128">
        <f>ROUND(B87*$B$10,0)</f>
        <v/>
      </c>
      <c r="I87" s="128">
        <f>ROUND(B87*$B$11,0)</f>
        <v/>
      </c>
      <c r="J87" s="128">
        <f>ROUND($L$5+$L$6*A87+$L$7*A87^2,0)</f>
        <v/>
      </c>
      <c r="M87" s="128">
        <f>ROUND($O$5+$O$6*A87+$O$7*A87^2,0)</f>
        <v/>
      </c>
    </row>
    <row r="88" ht="15" customHeight="1" s="116">
      <c r="A88" s="128" t="n">
        <v>69</v>
      </c>
      <c r="B88" s="128">
        <f>ROUND($B$5+$B$6*A88+$B$7*A88^2,0)</f>
        <v/>
      </c>
      <c r="C88" s="128">
        <f>ROUND(F88/$B$12,0)</f>
        <v/>
      </c>
      <c r="D88" s="128">
        <f>ROUND($B$13+$B$14*A88,0)</f>
        <v/>
      </c>
      <c r="E88" s="128">
        <f>ROUND($B$15+$B$16*A88,0)</f>
        <v/>
      </c>
      <c r="F88" s="128">
        <f>ROUND(B88*$B$8,0)</f>
        <v/>
      </c>
      <c r="G88" s="128">
        <f>ROUND(B88*$B$9,0)</f>
        <v/>
      </c>
      <c r="H88" s="128">
        <f>ROUND(B88*$B$10,0)</f>
        <v/>
      </c>
      <c r="I88" s="128">
        <f>ROUND(B88*$B$11,0)</f>
        <v/>
      </c>
      <c r="J88" s="128">
        <f>ROUND($L$5+$L$6*A88+$L$7*A88^2,0)</f>
        <v/>
      </c>
      <c r="M88" s="128">
        <f>ROUND($O$5+$O$6*A88+$O$7*A88^2,0)</f>
        <v/>
      </c>
    </row>
    <row r="89" ht="15" customHeight="1" s="116">
      <c r="A89" s="128" t="n">
        <v>70</v>
      </c>
      <c r="B89" s="128">
        <f>ROUND($B$5+$B$6*A89+$B$7*A89^2,0)</f>
        <v/>
      </c>
      <c r="C89" s="128">
        <f>ROUND(F89/$B$12,0)</f>
        <v/>
      </c>
      <c r="D89" s="128">
        <f>ROUND($B$13+$B$14*A89,0)</f>
        <v/>
      </c>
      <c r="E89" s="128">
        <f>ROUND($B$15+$B$16*A89,0)</f>
        <v/>
      </c>
      <c r="F89" s="128">
        <f>ROUND(B89*$B$8,0)</f>
        <v/>
      </c>
      <c r="G89" s="128">
        <f>ROUND(B89*$B$9,0)</f>
        <v/>
      </c>
      <c r="H89" s="128">
        <f>ROUND(B89*$B$10,0)</f>
        <v/>
      </c>
      <c r="I89" s="128">
        <f>ROUND(B89*$B$11,0)</f>
        <v/>
      </c>
      <c r="J89" s="128">
        <f>ROUND($L$5+$L$6*A89+$L$7*A89^2,0)</f>
        <v/>
      </c>
      <c r="M89" s="128">
        <f>ROUND($O$5+$O$6*A89+$O$7*A89^2,0)</f>
        <v/>
      </c>
    </row>
    <row r="90" ht="15" customHeight="1" s="116">
      <c r="A90" s="128" t="n">
        <v>71</v>
      </c>
      <c r="B90" s="128">
        <f>ROUND($B$5+$B$6*A90+$B$7*A90^2,0)</f>
        <v/>
      </c>
      <c r="C90" s="128">
        <f>ROUND(F90/$B$12,0)</f>
        <v/>
      </c>
      <c r="D90" s="128">
        <f>ROUND($B$13+$B$14*A90,0)</f>
        <v/>
      </c>
      <c r="E90" s="128">
        <f>ROUND($B$15+$B$16*A90,0)</f>
        <v/>
      </c>
      <c r="F90" s="128">
        <f>ROUND(B90*$B$8,0)</f>
        <v/>
      </c>
      <c r="G90" s="128">
        <f>ROUND(B90*$B$9,0)</f>
        <v/>
      </c>
      <c r="H90" s="128">
        <f>ROUND(B90*$B$10,0)</f>
        <v/>
      </c>
      <c r="I90" s="128">
        <f>ROUND(B90*$B$11,0)</f>
        <v/>
      </c>
      <c r="J90" s="128">
        <f>ROUND($L$5+$L$6*A90+$L$7*A90^2,0)</f>
        <v/>
      </c>
      <c r="M90" s="128">
        <f>ROUND($O$5+$O$6*A90+$O$7*A90^2,0)</f>
        <v/>
      </c>
    </row>
    <row r="91" ht="15" customHeight="1" s="116">
      <c r="A91" s="128" t="n">
        <v>72</v>
      </c>
      <c r="B91" s="128">
        <f>ROUND($B$5+$B$6*A91+$B$7*A91^2,0)</f>
        <v/>
      </c>
      <c r="C91" s="128">
        <f>ROUND(F91/$B$12,0)</f>
        <v/>
      </c>
      <c r="D91" s="128">
        <f>ROUND($B$13+$B$14*A91,0)</f>
        <v/>
      </c>
      <c r="E91" s="128">
        <f>ROUND($B$15+$B$16*A91,0)</f>
        <v/>
      </c>
      <c r="F91" s="128">
        <f>ROUND(B91*$B$8,0)</f>
        <v/>
      </c>
      <c r="G91" s="128">
        <f>ROUND(B91*$B$9,0)</f>
        <v/>
      </c>
      <c r="H91" s="128">
        <f>ROUND(B91*$B$10,0)</f>
        <v/>
      </c>
      <c r="I91" s="128">
        <f>ROUND(B91*$B$11,0)</f>
        <v/>
      </c>
      <c r="J91" s="128">
        <f>ROUND($L$5+$L$6*A91+$L$7*A91^2,0)</f>
        <v/>
      </c>
      <c r="M91" s="128">
        <f>ROUND($O$5+$O$6*A91+$O$7*A91^2,0)</f>
        <v/>
      </c>
    </row>
    <row r="92" ht="15" customHeight="1" s="116">
      <c r="A92" s="128" t="n">
        <v>73</v>
      </c>
      <c r="B92" s="128">
        <f>ROUND($B$5+$B$6*A92+$B$7*A92^2,0)</f>
        <v/>
      </c>
      <c r="C92" s="128">
        <f>ROUND(F92/$B$12,0)</f>
        <v/>
      </c>
      <c r="D92" s="128">
        <f>ROUND($B$13+$B$14*A92,0)</f>
        <v/>
      </c>
      <c r="E92" s="128">
        <f>ROUND($B$15+$B$16*A92,0)</f>
        <v/>
      </c>
      <c r="F92" s="128">
        <f>ROUND(B92*$B$8,0)</f>
        <v/>
      </c>
      <c r="G92" s="128">
        <f>ROUND(B92*$B$9,0)</f>
        <v/>
      </c>
      <c r="H92" s="128">
        <f>ROUND(B92*$B$10,0)</f>
        <v/>
      </c>
      <c r="I92" s="128">
        <f>ROUND(B92*$B$11,0)</f>
        <v/>
      </c>
      <c r="J92" s="128">
        <f>ROUND($L$5+$L$6*A92+$L$7*A92^2,0)</f>
        <v/>
      </c>
      <c r="M92" s="128">
        <f>ROUND($O$5+$O$6*A92+$O$7*A92^2,0)</f>
        <v/>
      </c>
    </row>
    <row r="93" ht="15" customHeight="1" s="116">
      <c r="A93" s="128" t="n">
        <v>74</v>
      </c>
      <c r="B93" s="128">
        <f>ROUND($B$5+$B$6*A93+$B$7*A93^2,0)</f>
        <v/>
      </c>
      <c r="C93" s="128">
        <f>ROUND(F93/$B$12,0)</f>
        <v/>
      </c>
      <c r="D93" s="128">
        <f>ROUND($B$13+$B$14*A93,0)</f>
        <v/>
      </c>
      <c r="E93" s="128">
        <f>ROUND($B$15+$B$16*A93,0)</f>
        <v/>
      </c>
      <c r="F93" s="128">
        <f>ROUND(B93*$B$8,0)</f>
        <v/>
      </c>
      <c r="G93" s="128">
        <f>ROUND(B93*$B$9,0)</f>
        <v/>
      </c>
      <c r="H93" s="128">
        <f>ROUND(B93*$B$10,0)</f>
        <v/>
      </c>
      <c r="I93" s="128">
        <f>ROUND(B93*$B$11,0)</f>
        <v/>
      </c>
      <c r="J93" s="128">
        <f>ROUND($L$5+$L$6*A93+$L$7*A93^2,0)</f>
        <v/>
      </c>
      <c r="M93" s="128">
        <f>ROUND($O$5+$O$6*A93+$O$7*A93^2,0)</f>
        <v/>
      </c>
    </row>
    <row r="94" ht="15" customHeight="1" s="116">
      <c r="A94" s="128" t="n">
        <v>75</v>
      </c>
      <c r="B94" s="128">
        <f>ROUND($B$5+$B$6*A94+$B$7*A94^2,0)</f>
        <v/>
      </c>
      <c r="C94" s="128">
        <f>ROUND(F94/$B$12,0)</f>
        <v/>
      </c>
      <c r="D94" s="128">
        <f>ROUND($B$13+$B$14*A94,0)</f>
        <v/>
      </c>
      <c r="E94" s="128">
        <f>ROUND($B$15+$B$16*A94,0)</f>
        <v/>
      </c>
      <c r="F94" s="128">
        <f>ROUND(B94*$B$8,0)</f>
        <v/>
      </c>
      <c r="G94" s="128">
        <f>ROUND(B94*$B$9,0)</f>
        <v/>
      </c>
      <c r="H94" s="128">
        <f>ROUND(B94*$B$10,0)</f>
        <v/>
      </c>
      <c r="I94" s="128">
        <f>ROUND(B94*$B$11,0)</f>
        <v/>
      </c>
      <c r="J94" s="128">
        <f>ROUND($L$5+$L$6*A94+$L$7*A94^2,0)</f>
        <v/>
      </c>
      <c r="M94" s="128">
        <f>ROUND($O$5+$O$6*A94+$O$7*A94^2,0)</f>
        <v/>
      </c>
    </row>
    <row r="97" ht="17.25" customHeight="1" s="116">
      <c r="A97" s="117" t="inlineStr">
        <is>
          <t>Modificador de Atributo (regra universal)</t>
        </is>
      </c>
    </row>
    <row r="98" ht="15" customHeight="1" s="116">
      <c r="A98" s="129" t="inlineStr">
        <is>
          <t>Modificador = FLOOR((Atributo-10)/2). Atributo 10 = modificador 0 (bate com a Curva Mestra padrao).</t>
        </is>
      </c>
    </row>
    <row r="99" ht="15" customHeight="1" s="116">
      <c r="A99" s="130" t="inlineStr">
        <is>
          <t>- FOR (Forca): soma no Bonus de Ataque corpo-a-corpo (Espada, Adaga, Machado, Maca, Manopla).</t>
        </is>
      </c>
    </row>
    <row r="100" ht="15" customHeight="1" s="116">
      <c r="A100" s="130" t="inlineStr">
        <is>
          <t>- DES (Destreza): soma no Bonus de Ataque a distancia (Arco) e em rolagens de Fuga.</t>
        </is>
      </c>
    </row>
    <row r="101" ht="15" customHeight="1" s="116">
      <c r="A101" s="130" t="inlineStr">
        <is>
          <t>- CON (Constituicao): soma HP extra = Modificador de CON x Nivel do personagem.</t>
        </is>
      </c>
    </row>
    <row r="102" ht="15" customHeight="1" s="116">
      <c r="A102" s="130" t="inlineStr">
        <is>
          <t>- INT (Inteligencia): soma no dano de Habilidades/Magia (ver aba Magia e Habilidades).</t>
        </is>
      </c>
    </row>
    <row r="103" ht="15" customHeight="1" s="116">
      <c r="A103" s="130" t="inlineStr">
        <is>
          <t>- SAB (Sabedoria): soma em rolagens de Percepcao (ler perigo antes de um combate).</t>
        </is>
      </c>
    </row>
    <row r="104" ht="15" customHeight="1" s="116">
      <c r="A104" s="130" t="inlineStr">
        <is>
          <t>- CAR (Carisma): reduz preco de compra em lojas em 2% por ponto de modificador.</t>
        </is>
      </c>
    </row>
    <row r="105" ht="15" customHeight="1" s="116">
      <c r="A105" s="124" t="inlineStr">
        <is>
          <t>Atributo</t>
        </is>
      </c>
      <c r="B105" s="124" t="inlineStr">
        <is>
          <t>Modificador</t>
        </is>
      </c>
    </row>
    <row r="106" ht="15" customHeight="1" s="116">
      <c r="A106" s="131" t="n">
        <v>1</v>
      </c>
      <c r="B106" s="128">
        <f>INT((A106-10)/2)</f>
        <v/>
      </c>
    </row>
    <row r="107" ht="15" customHeight="1" s="116">
      <c r="A107" s="131" t="n">
        <v>2</v>
      </c>
      <c r="B107" s="128">
        <f>INT((A107-10)/2)</f>
        <v/>
      </c>
    </row>
    <row r="108" ht="15" customHeight="1" s="116">
      <c r="A108" s="131" t="n">
        <v>3</v>
      </c>
      <c r="B108" s="128">
        <f>INT((A108-10)/2)</f>
        <v/>
      </c>
    </row>
    <row r="109" ht="15" customHeight="1" s="116">
      <c r="A109" s="131" t="n">
        <v>4</v>
      </c>
      <c r="B109" s="128">
        <f>INT((A109-10)/2)</f>
        <v/>
      </c>
    </row>
    <row r="110" ht="15" customHeight="1" s="116">
      <c r="A110" s="131" t="n">
        <v>5</v>
      </c>
      <c r="B110" s="128">
        <f>INT((A110-10)/2)</f>
        <v/>
      </c>
    </row>
    <row r="111" ht="15" customHeight="1" s="116">
      <c r="A111" s="131" t="n">
        <v>6</v>
      </c>
      <c r="B111" s="128">
        <f>INT((A111-10)/2)</f>
        <v/>
      </c>
    </row>
    <row r="112" ht="15" customHeight="1" s="116">
      <c r="A112" s="131" t="n">
        <v>7</v>
      </c>
      <c r="B112" s="128">
        <f>INT((A112-10)/2)</f>
        <v/>
      </c>
    </row>
    <row r="113" ht="15" customHeight="1" s="116">
      <c r="A113" s="131" t="n">
        <v>8</v>
      </c>
      <c r="B113" s="128">
        <f>INT((A113-10)/2)</f>
        <v/>
      </c>
    </row>
    <row r="114" ht="15" customHeight="1" s="116">
      <c r="A114" s="131" t="n">
        <v>9</v>
      </c>
      <c r="B114" s="128">
        <f>INT((A114-10)/2)</f>
        <v/>
      </c>
    </row>
    <row r="115" ht="15" customHeight="1" s="116">
      <c r="A115" s="131" t="n">
        <v>10</v>
      </c>
      <c r="B115" s="128">
        <f>INT((A115-10)/2)</f>
        <v/>
      </c>
    </row>
    <row r="116" ht="15" customHeight="1" s="116">
      <c r="A116" s="131" t="n">
        <v>11</v>
      </c>
      <c r="B116" s="128">
        <f>INT((A116-10)/2)</f>
        <v/>
      </c>
    </row>
    <row r="117" ht="15" customHeight="1" s="116">
      <c r="A117" s="131" t="n">
        <v>12</v>
      </c>
      <c r="B117" s="128">
        <f>INT((A117-10)/2)</f>
        <v/>
      </c>
    </row>
    <row r="118" ht="15" customHeight="1" s="116">
      <c r="A118" s="131" t="n">
        <v>13</v>
      </c>
      <c r="B118" s="128">
        <f>INT((A118-10)/2)</f>
        <v/>
      </c>
    </row>
    <row r="119" ht="15" customHeight="1" s="116">
      <c r="A119" s="131" t="n">
        <v>14</v>
      </c>
      <c r="B119" s="128">
        <f>INT((A119-10)/2)</f>
        <v/>
      </c>
    </row>
    <row r="120" ht="15" customHeight="1" s="116">
      <c r="A120" s="131" t="n">
        <v>15</v>
      </c>
      <c r="B120" s="128">
        <f>INT((A120-10)/2)</f>
        <v/>
      </c>
    </row>
    <row r="121" ht="15" customHeight="1" s="116">
      <c r="A121" s="131" t="n">
        <v>16</v>
      </c>
      <c r="B121" s="128">
        <f>INT((A121-10)/2)</f>
        <v/>
      </c>
    </row>
    <row r="122" ht="15" customHeight="1" s="116">
      <c r="A122" s="131" t="n">
        <v>17</v>
      </c>
      <c r="B122" s="128">
        <f>INT((A122-10)/2)</f>
        <v/>
      </c>
    </row>
    <row r="123" ht="15" customHeight="1" s="116">
      <c r="A123" s="131" t="n">
        <v>18</v>
      </c>
      <c r="B123" s="128">
        <f>INT((A123-10)/2)</f>
        <v/>
      </c>
    </row>
    <row r="124" ht="15" customHeight="1" s="116">
      <c r="A124" s="131" t="n">
        <v>19</v>
      </c>
      <c r="B124" s="128">
        <f>INT((A124-10)/2)</f>
        <v/>
      </c>
    </row>
    <row r="125" ht="15" customHeight="1" s="116">
      <c r="A125" s="131" t="n">
        <v>20</v>
      </c>
      <c r="B125" s="128">
        <f>INT((A125-10)/2)</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L2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115" min="1" max="1"/>
    <col width="20" customWidth="1" style="115" min="2" max="2"/>
    <col width="10" customWidth="1" style="115" min="3" max="5"/>
    <col width="12" customWidth="1" style="115" min="6" max="6"/>
    <col width="14" customWidth="1" style="115" min="7" max="8"/>
    <col width="16" customWidth="1" style="115" min="9" max="9"/>
    <col width="42" customWidth="1" style="115" min="10" max="10"/>
    <col width="45" customWidth="1" style="115" min="11" max="12"/>
  </cols>
  <sheetData>
    <row r="1" ht="17.25" customHeight="1" s="116">
      <c r="A1" s="117" t="inlineStr">
        <is>
          <t>Tabela de Tiers de Equipamento</t>
        </is>
      </c>
    </row>
    <row r="2" ht="15" customHeight="1" s="116">
      <c r="A2" s="123" t="inlineStr">
        <is>
          <t>Dano calculado automaticamente a partir da Curva Mestra, no nivel medio do tier.</t>
        </is>
      </c>
    </row>
    <row r="4" ht="15" customHeight="1" s="116">
      <c r="A4" s="115" t="inlineStr">
        <is>
          <t>Multiplicador Raro</t>
        </is>
      </c>
      <c r="B4" s="126" t="n">
        <v>1.15</v>
      </c>
    </row>
    <row r="5" ht="15" customHeight="1" s="116">
      <c r="A5" s="115" t="inlineStr">
        <is>
          <t>Multiplicador Lendario</t>
        </is>
      </c>
      <c r="B5" s="126" t="n">
        <v>1.3</v>
      </c>
    </row>
    <row r="8" ht="15" customHeight="1" s="116">
      <c r="A8" s="124" t="inlineStr">
        <is>
          <t>#</t>
        </is>
      </c>
      <c r="B8" s="124" t="inlineStr">
        <is>
          <t>Tier</t>
        </is>
      </c>
      <c r="C8" s="124" t="inlineStr">
        <is>
          <t>Nivel Min</t>
        </is>
      </c>
      <c r="D8" s="124" t="inlineStr">
        <is>
          <t>Nivel Max</t>
        </is>
      </c>
      <c r="E8" s="124" t="inlineStr">
        <is>
          <t>Nivel Ref.</t>
        </is>
      </c>
      <c r="F8" s="124" t="inlineStr">
        <is>
          <t>Cor (hex)</t>
        </is>
      </c>
      <c r="G8" s="124" t="inlineStr">
        <is>
          <t>Dano Comum</t>
        </is>
      </c>
      <c r="H8" s="124" t="inlineStr">
        <is>
          <t>Dano Raro</t>
        </is>
      </c>
      <c r="I8" s="124" t="inlineStr">
        <is>
          <t>Dano Lendario</t>
        </is>
      </c>
      <c r="J8" s="124" t="inlineStr">
        <is>
          <t>Local de Obtenção</t>
        </is>
      </c>
      <c r="K8" s="124" t="inlineStr">
        <is>
          <t>Historia do Material</t>
        </is>
      </c>
      <c r="L8" s="132" t="inlineStr">
        <is>
          <t>Habilidade Lendaria (so na versao Lendario)</t>
        </is>
      </c>
    </row>
    <row r="9" ht="23.25" customHeight="1" s="116">
      <c r="A9" s="128" t="n">
        <v>1</v>
      </c>
      <c r="B9" s="133" t="inlineStr">
        <is>
          <t>Sucata Enferrujada</t>
        </is>
      </c>
      <c r="C9" s="131" t="n">
        <v>1</v>
      </c>
      <c r="D9" s="131" t="n">
        <v>5</v>
      </c>
      <c r="E9" s="128">
        <f>ROUND((C9+D9)/2,0)</f>
        <v/>
      </c>
      <c r="F9" s="134" t="inlineStr">
        <is>
          <t>#8B4A2B</t>
        </is>
      </c>
      <c r="G9" s="135">
        <f>ROUND(INDEX('Curva Mestra'!$C$20:$C$94,MATCH(E9,'Curva Mestra'!$A$20:$A$94,0)),0)</f>
        <v/>
      </c>
      <c r="H9" s="128">
        <f>ROUND(G9*$B$4,0)</f>
        <v/>
      </c>
      <c r="I9" s="128">
        <f>ROUND(G9*$B$5,0)</f>
        <v/>
      </c>
      <c r="J9" s="136" t="inlineStr">
        <is>
          <t>Estrada dos Bandidos (loot de bandidos) — encontrado livremente, sem requisito</t>
        </is>
      </c>
      <c r="K9" s="137" t="inlineStr">
        <is>
          <t>Ferro velho demais ate pra derreter de novo - mas ainda corta, e e o que se tem.</t>
        </is>
      </c>
      <c r="L9" s="138" t="inlineStr">
        <is>
          <t>Sem propriedade especial - resistente o bastante pra nao quebrar facil.</t>
        </is>
      </c>
    </row>
    <row r="10" ht="15" customHeight="1" s="116">
      <c r="A10" s="128" t="n">
        <v>2</v>
      </c>
      <c r="B10" s="133" t="inlineStr">
        <is>
          <t>Bronze</t>
        </is>
      </c>
      <c r="C10" s="131" t="n">
        <v>6</v>
      </c>
      <c r="D10" s="131" t="n">
        <v>10</v>
      </c>
      <c r="E10" s="128">
        <f>ROUND((C10+D10)/2,0)</f>
        <v/>
      </c>
      <c r="F10" s="139" t="inlineStr">
        <is>
          <t>#B5651D</t>
        </is>
      </c>
      <c r="G10" s="135">
        <f>ROUND(INDEX('Curva Mestra'!$C$20:$C$94,MATCH(E10,'Curva Mestra'!$A$20:$A$94,0)),0)</f>
        <v/>
      </c>
      <c r="H10" s="128">
        <f>ROUND(G10*$B$4,0)</f>
        <v/>
      </c>
      <c r="I10" s="128">
        <f>ROUND(G10*$B$5,0)</f>
        <v/>
      </c>
      <c r="J10" s="136" t="inlineStr">
        <is>
          <t>Mina de Bronze (Valória)</t>
        </is>
      </c>
      <c r="K10" s="137" t="inlineStr">
        <is>
          <t>As primeiras minas da regiao. Ninguem lembra quem cavou primeiro - so quem nunca saiu.</t>
        </is>
      </c>
      <c r="L10" s="138" t="inlineStr">
        <is>
          <t>Reduz o custo de descanso na estalagem em 10%.</t>
        </is>
      </c>
    </row>
    <row r="11" ht="15" customHeight="1" s="116">
      <c r="A11" s="128" t="n">
        <v>3</v>
      </c>
      <c r="B11" s="133" t="inlineStr">
        <is>
          <t>Ferro</t>
        </is>
      </c>
      <c r="C11" s="131" t="n">
        <v>11</v>
      </c>
      <c r="D11" s="131" t="n">
        <v>15</v>
      </c>
      <c r="E11" s="128">
        <f>ROUND((C11+D11)/2,0)</f>
        <v/>
      </c>
      <c r="F11" s="140" t="inlineStr">
        <is>
          <t>#6E7378</t>
        </is>
      </c>
      <c r="G11" s="135">
        <f>ROUND(INDEX('Curva Mestra'!$C$20:$C$94,MATCH(E11,'Curva Mestra'!$A$20:$A$94,0)),0)</f>
        <v/>
      </c>
      <c r="H11" s="128">
        <f>ROUND(G11*$B$4,0)</f>
        <v/>
      </c>
      <c r="I11" s="128">
        <f>ROUND(G11*$B$5,0)</f>
        <v/>
      </c>
      <c r="J11" s="136" t="inlineStr">
        <is>
          <t>Ruínas da Antiga Forja (Cinzenta) — requer forja construída (primeiro marco de crafting)</t>
        </is>
      </c>
      <c r="K11" s="137" t="inlineStr">
        <is>
          <t>Forjado as pressas quando bandidos deixaram de ser o unico perigo na estrada.</t>
        </is>
      </c>
      <c r="L11" s="138" t="inlineStr">
        <is>
          <t>+1 de Ataque adicional (fabricacao confiavel).</t>
        </is>
      </c>
    </row>
    <row r="12" ht="23.25" customHeight="1" s="116">
      <c r="A12" s="128" t="n">
        <v>4</v>
      </c>
      <c r="B12" s="133" t="inlineStr">
        <is>
          <t>Prata</t>
        </is>
      </c>
      <c r="C12" s="131" t="n">
        <v>16</v>
      </c>
      <c r="D12" s="131" t="n">
        <v>20</v>
      </c>
      <c r="E12" s="128">
        <f>ROUND((C12+D12)/2,0)</f>
        <v/>
      </c>
      <c r="F12" s="141" t="inlineStr">
        <is>
          <t>#C7C7CC</t>
        </is>
      </c>
      <c r="G12" s="135">
        <f>ROUND(INDEX('Curva Mestra'!$C$20:$C$94,MATCH(E12,'Curva Mestra'!$A$20:$A$94,0)),0)</f>
        <v/>
      </c>
      <c r="H12" s="128">
        <f>ROUND(G12*$B$4,0)</f>
        <v/>
      </c>
      <c r="I12" s="128">
        <f>ROUND(G12*$B$5,0)</f>
        <v/>
      </c>
      <c r="J12" s="136" t="inlineStr">
        <is>
          <t>Criptas de Prata (Cinzenta) — minerado em meio a mortos-vivos (bônus vs. undead)</t>
        </is>
      </c>
      <c r="K12" s="137" t="inlineStr">
        <is>
          <t>Prateado o bastante pra brilhar na escuridao das criptas - o que atrai tanto quanto afasta.</t>
        </is>
      </c>
      <c r="L12" s="138" t="inlineStr">
        <is>
          <t>+50% de dano contra mortos-vivos.</t>
        </is>
      </c>
    </row>
    <row r="13" ht="15" customHeight="1" s="116">
      <c r="A13" s="128" t="n">
        <v>5</v>
      </c>
      <c r="B13" s="133" t="inlineStr">
        <is>
          <t>Aco Elfico</t>
        </is>
      </c>
      <c r="C13" s="131" t="n">
        <v>21</v>
      </c>
      <c r="D13" s="131" t="n">
        <v>25</v>
      </c>
      <c r="E13" s="128">
        <f>ROUND((C13+D13)/2,0)</f>
        <v/>
      </c>
      <c r="F13" s="142" t="inlineStr">
        <is>
          <t>#7A8B4A</t>
        </is>
      </c>
      <c r="G13" s="135">
        <f>ROUND(INDEX('Curva Mestra'!$C$20:$C$94,MATCH(E13,'Curva Mestra'!$A$20:$A$94,0)),0)</f>
        <v/>
      </c>
      <c r="H13" s="128">
        <f>ROUND(G13*$B$4,0)</f>
        <v/>
      </c>
      <c r="I13" s="128">
        <f>ROUND(G13*$B$5,0)</f>
        <v/>
      </c>
      <c r="J13" s="136" t="inlineStr">
        <is>
          <t>Ruínas Élficas (Ecoril) — comércio com ruínas élficas ou saque de elite específico</t>
        </is>
      </c>
      <c r="K13" s="137" t="inlineStr">
        <is>
          <t>Dobrado, nao martelado. Os elfos nunca explicaram a diferenca a ninguem de fora.</t>
        </is>
      </c>
      <c r="L13" s="138" t="inlineStr">
        <is>
          <t>Ignora 2 pontos de Defesa de inimigos com armadura pesada.</t>
        </is>
      </c>
    </row>
    <row r="14" ht="15" customHeight="1" s="116">
      <c r="A14" s="128" t="n">
        <v>6</v>
      </c>
      <c r="B14" s="133" t="inlineStr">
        <is>
          <t>Mecanismo Anao</t>
        </is>
      </c>
      <c r="C14" s="131" t="n">
        <v>26</v>
      </c>
      <c r="D14" s="131" t="n">
        <v>30</v>
      </c>
      <c r="E14" s="128">
        <f>ROUND((C14+D14)/2,0)</f>
        <v/>
      </c>
      <c r="F14" s="143" t="inlineStr">
        <is>
          <t>#C08A3E</t>
        </is>
      </c>
      <c r="G14" s="135">
        <f>ROUND(INDEX('Curva Mestra'!$C$20:$C$94,MATCH(E14,'Curva Mestra'!$A$20:$A$94,0)),0)</f>
        <v/>
      </c>
      <c r="H14" s="128">
        <f>ROUND(G14*$B$4,0)</f>
        <v/>
      </c>
      <c r="I14" s="128">
        <f>ROUND(G14*$B$5,0)</f>
        <v/>
      </c>
      <c r="J14" s="136" t="inlineStr">
        <is>
          <t>Câmara Mecânica Anã (Ecoril) — dungeon anã com puzzle mecânico</t>
        </is>
      </c>
      <c r="K14" s="137" t="inlineStr">
        <is>
          <t>Engrenagem sobre engrenagem - os anoes pararam de contar quantas pecas um machado precisa.</t>
        </is>
      </c>
      <c r="L14" s="138" t="inlineStr">
        <is>
          <t>1x por combate, repete um ataque que errou.</t>
        </is>
      </c>
    </row>
    <row r="15" ht="15" customHeight="1" s="116">
      <c r="A15" s="128" t="n">
        <v>7</v>
      </c>
      <c r="B15" s="133" t="inlineStr">
        <is>
          <t>Vidro Vulcanico</t>
        </is>
      </c>
      <c r="C15" s="131" t="n">
        <v>31</v>
      </c>
      <c r="D15" s="131" t="n">
        <v>35</v>
      </c>
      <c r="E15" s="128">
        <f>ROUND((C15+D15)/2,0)</f>
        <v/>
      </c>
      <c r="F15" s="144" t="inlineStr">
        <is>
          <t>#4FA89B</t>
        </is>
      </c>
      <c r="G15" s="135">
        <f>ROUND(INDEX('Curva Mestra'!$C$20:$C$94,MATCH(E15,'Curva Mestra'!$A$20:$A$94,0)),0)</f>
        <v/>
      </c>
      <c r="H15" s="128">
        <f>ROUND(G15*$B$4,0)</f>
        <v/>
      </c>
      <c r="I15" s="128">
        <f>ROUND(G15*$B$5,0)</f>
        <v/>
      </c>
      <c r="J15" s="136" t="inlineStr">
        <is>
          <t>Fenda Vulcânica Ativa (Rocha Alta) — mineral raro perto de fendas vulcânicas ativas</t>
        </is>
      </c>
      <c r="K15" s="137" t="inlineStr">
        <is>
          <t>Formado onde a rocha derretida encontrou o ar frio demais rapido demais. Corta como promessa quebrada.</t>
        </is>
      </c>
      <c r="L15" s="138" t="inlineStr">
        <is>
          <t>Ataques tem 10% de chance de causar Queimadura (2 de dano/turno por 2 turnos).</t>
        </is>
      </c>
    </row>
    <row r="16" ht="23.25" customHeight="1" s="116">
      <c r="A16" s="128" t="n">
        <v>8</v>
      </c>
      <c r="B16" s="133" t="inlineStr">
        <is>
          <t>Ferro Orquico</t>
        </is>
      </c>
      <c r="C16" s="131" t="n">
        <v>36</v>
      </c>
      <c r="D16" s="131" t="n">
        <v>40</v>
      </c>
      <c r="E16" s="128">
        <f>ROUND((C16+D16)/2,0)</f>
        <v/>
      </c>
      <c r="F16" s="145" t="inlineStr">
        <is>
          <t>#4B5320</t>
        </is>
      </c>
      <c r="G16" s="135">
        <f>ROUND(INDEX('Curva Mestra'!$C$20:$C$94,MATCH(E16,'Curva Mestra'!$A$20:$A$94,0)),0)</f>
        <v/>
      </c>
      <c r="H16" s="128">
        <f>ROUND(G16*$B$4,0)</f>
        <v/>
      </c>
      <c r="I16" s="128">
        <f>ROUND(G16*$B$5,0)</f>
        <v/>
      </c>
      <c r="J16" s="136" t="inlineStr">
        <is>
          <t>Acampamento Orc (Rocha Alta) — só dropa do chefe do bando (não se compra/mina)</t>
        </is>
      </c>
      <c r="K16" s="137" t="inlineStr">
        <is>
          <t>Nao se mina - se toma. Cada peca ja teve dono antes de ser sua.</t>
        </is>
      </c>
      <c r="L16" s="138" t="inlineStr">
        <is>
          <t>+2 de dano contra alvos Elite ou Boss.</t>
        </is>
      </c>
    </row>
    <row r="17" ht="15" customHeight="1" s="116">
      <c r="A17" s="128" t="n">
        <v>9</v>
      </c>
      <c r="B17" s="133" t="inlineStr">
        <is>
          <t>Mithril</t>
        </is>
      </c>
      <c r="C17" s="131" t="n">
        <v>41</v>
      </c>
      <c r="D17" s="131" t="n">
        <v>45</v>
      </c>
      <c r="E17" s="128">
        <f>ROUND((C17+D17)/2,0)</f>
        <v/>
      </c>
      <c r="F17" s="146" t="inlineStr">
        <is>
          <t>#6FA8DC</t>
        </is>
      </c>
      <c r="G17" s="135">
        <f>ROUND(INDEX('Curva Mestra'!$C$20:$C$94,MATCH(E17,'Curva Mestra'!$A$20:$A$94,0)),0)</f>
        <v/>
      </c>
      <c r="H17" s="128">
        <f>ROUND(G17*$B$4,0)</f>
        <v/>
      </c>
      <c r="I17" s="128">
        <f>ROUND(G17*$B$5,0)</f>
        <v/>
      </c>
      <c r="J17" s="136" t="inlineStr">
        <is>
          <t>Cavernas Profundas de Mithril (Abismar) — guardadas por elemental</t>
        </is>
      </c>
      <c r="K17" s="137" t="inlineStr">
        <is>
          <t>Leve como se nao devesse existir. Ninguem sabe dizer se e metal ou memoria de metal.</t>
        </is>
      </c>
      <c r="L17" s="138" t="inlineStr">
        <is>
          <t>Reduz em 1 o custo de Mana de habilidades, se equipado por um conjurador.</t>
        </is>
      </c>
    </row>
    <row r="18" ht="15" customHeight="1" s="116">
      <c r="A18" s="128" t="n">
        <v>10</v>
      </c>
      <c r="B18" s="133" t="inlineStr">
        <is>
          <t>Ebano</t>
        </is>
      </c>
      <c r="C18" s="131" t="n">
        <v>46</v>
      </c>
      <c r="D18" s="131" t="n">
        <v>50</v>
      </c>
      <c r="E18" s="128">
        <f>ROUND((C18+D18)/2,0)</f>
        <v/>
      </c>
      <c r="F18" s="147" t="inlineStr">
        <is>
          <t>#2E2A3D</t>
        </is>
      </c>
      <c r="G18" s="135">
        <f>ROUND(INDEX('Curva Mestra'!$C$20:$C$94,MATCH(E18,'Curva Mestra'!$A$20:$A$94,0)),0)</f>
        <v/>
      </c>
      <c r="H18" s="128">
        <f>ROUND(G18*$B$4,0)</f>
        <v/>
      </c>
      <c r="I18" s="128">
        <f>ROUND(G18*$B$5,0)</f>
        <v/>
      </c>
      <c r="J18" s="136" t="inlineStr">
        <is>
          <t>Fenda Vulcânica Morta (Abismar)</t>
        </is>
      </c>
      <c r="K18" s="137" t="inlineStr">
        <is>
          <t>Do outro lado da mesma fenda que deu o vidro - so que fria, morta, silenciosa.</t>
        </is>
      </c>
      <c r="L18" s="138" t="inlineStr">
        <is>
          <t>Ataques a noite ou no escuro causam +15% de dano.</t>
        </is>
      </c>
    </row>
    <row r="19" ht="15" customHeight="1" s="116">
      <c r="A19" s="128" t="n">
        <v>11</v>
      </c>
      <c r="B19" s="133" t="inlineStr">
        <is>
          <t>Adamantina</t>
        </is>
      </c>
      <c r="C19" s="131" t="n">
        <v>51</v>
      </c>
      <c r="D19" s="131" t="n">
        <v>56</v>
      </c>
      <c r="E19" s="128">
        <f>ROUND((C19+D19)/2,0)</f>
        <v/>
      </c>
      <c r="F19" s="148" t="inlineStr">
        <is>
          <t>#6E0E23</t>
        </is>
      </c>
      <c r="G19" s="135">
        <f>ROUND(INDEX('Curva Mestra'!$C$20:$C$94,MATCH(E19,'Curva Mestra'!$A$20:$A$94,0)),0)</f>
        <v/>
      </c>
      <c r="H19" s="128">
        <f>ROUND(G19*$B$4,0)</f>
        <v/>
      </c>
      <c r="I19" s="128">
        <f>ROUND(G19*$B$5,0)</f>
        <v/>
      </c>
      <c r="J19" s="136" t="inlineStr">
        <is>
          <t>Covil do Titã (Alto Bastião) — só dropa de bosses de tier</t>
        </is>
      </c>
      <c r="K19" s="137" t="inlineStr">
        <is>
          <t>Nao se encontra. Se herda de quem perdeu a luta pra guardar.</t>
        </is>
      </c>
      <c r="L19" s="138" t="inlineStr">
        <is>
          <t>Ignora a primeira reducao de dano por Defesa em cada combate.</t>
        </is>
      </c>
    </row>
    <row r="20" ht="15" customHeight="1" s="116">
      <c r="A20" s="128" t="n">
        <v>12</v>
      </c>
      <c r="B20" s="133" t="inlineStr">
        <is>
          <t>Osso de Dragao</t>
        </is>
      </c>
      <c r="C20" s="131" t="n">
        <v>57</v>
      </c>
      <c r="D20" s="131" t="n">
        <v>62</v>
      </c>
      <c r="E20" s="128">
        <f>ROUND((C20+D20)/2,0)</f>
        <v/>
      </c>
      <c r="F20" s="149" t="inlineStr">
        <is>
          <t>#E8DCC4</t>
        </is>
      </c>
      <c r="G20" s="135">
        <f>ROUND(INDEX('Curva Mestra'!$C$20:$C$94,MATCH(E20,'Curva Mestra'!$A$20:$A$94,0)),0)</f>
        <v/>
      </c>
      <c r="H20" s="128">
        <f>ROUND(G20*$B$4,0)</f>
        <v/>
      </c>
      <c r="I20" s="128">
        <f>ROUND(G20*$B$5,0)</f>
        <v/>
      </c>
      <c r="J20" s="136" t="inlineStr">
        <is>
          <t>Covil do Dragão Ancião (Alto Bastião) — exige abater um dragão</t>
        </is>
      </c>
      <c r="K20" s="137" t="inlineStr">
        <is>
          <t>Ainda quente ao toque, anos depois da ultima respiracao do dono.</t>
        </is>
      </c>
      <c r="L20" s="138" t="inlineStr">
        <is>
          <t>+3 de dano contra Dragoes e criaturas Cosmicas.</t>
        </is>
      </c>
    </row>
    <row r="21" ht="23.25" customHeight="1" s="116">
      <c r="A21" s="128" t="n">
        <v>13</v>
      </c>
      <c r="B21" s="133" t="inlineStr">
        <is>
          <t>Pacto Daedrico</t>
        </is>
      </c>
      <c r="C21" s="131" t="n">
        <v>63</v>
      </c>
      <c r="D21" s="131" t="n">
        <v>69</v>
      </c>
      <c r="E21" s="128">
        <f>ROUND((C21+D21)/2,0)</f>
        <v/>
      </c>
      <c r="F21" s="150" t="inlineStr">
        <is>
          <t>#1A1A1A</t>
        </is>
      </c>
      <c r="G21" s="135">
        <f>ROUND(INDEX('Curva Mestra'!$C$20:$C$94,MATCH(E21,'Curva Mestra'!$A$20:$A$94,0)),0)</f>
        <v/>
      </c>
      <c r="H21" s="128">
        <f>ROUND(G21*$B$4,0)</f>
        <v/>
      </c>
      <c r="I21" s="128">
        <f>ROUND(G21*$B$5,0)</f>
        <v/>
      </c>
      <c r="J21" s="136" t="inlineStr">
        <is>
          <t>Círculo Ritualístico Daédrico (O Limiar) — ritual com essência de boss (risco/custo pro personagem)</t>
        </is>
      </c>
      <c r="K21" s="137" t="inlineStr">
        <is>
          <t>O preco ja foi pago antes de a arma sair da forja. So nao por voce - ainda.</t>
        </is>
      </c>
      <c r="L21" s="138" t="inlineStr">
        <is>
          <t>+25% de dano, mas causa 1 de dano ao proprio portador a cada combate.</t>
        </is>
      </c>
    </row>
    <row r="22" ht="15" customHeight="1" s="116">
      <c r="A22" s="128" t="n">
        <v>14</v>
      </c>
      <c r="B22" s="133" t="inlineStr">
        <is>
          <t>Estelar / Cosmico</t>
        </is>
      </c>
      <c r="C22" s="131" t="n">
        <v>70</v>
      </c>
      <c r="D22" s="131" t="n">
        <v>75</v>
      </c>
      <c r="E22" s="128">
        <f>ROUND((C22+D22)/2,0)</f>
        <v/>
      </c>
      <c r="F22" s="151" t="inlineStr">
        <is>
          <t>#8E44AD</t>
        </is>
      </c>
      <c r="G22" s="135">
        <f>ROUND(INDEX('Curva Mestra'!$C$20:$C$94,MATCH(E22,'Curva Mestra'!$A$20:$A$94,0)),0)</f>
        <v/>
      </c>
      <c r="H22" s="128">
        <f>ROUND(G22*$B$4,0)</f>
        <v/>
      </c>
      <c r="I22" s="128">
        <f>ROUND(G22*$B$5,0)</f>
        <v/>
      </c>
      <c r="J22" s="136" t="inlineStr">
        <is>
          <t>Portal Estelar (O Limiar) — só loot de entidades</t>
        </is>
      </c>
      <c r="K22" s="137" t="inlineStr">
        <is>
          <t>Nao veio deste mundo, e talvez esteja tentando voltar pra casa atraves de voce.</t>
        </is>
      </c>
      <c r="L22" s="138" t="inlineStr">
        <is>
          <t>Ignora completamente a Defesa do alvo, uma vez por combate.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A2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95" customWidth="1" style="115" min="1" max="1"/>
  </cols>
  <sheetData>
    <row r="1" ht="17.25" customHeight="1" s="116">
      <c r="A1" s="117" t="inlineStr">
        <is>
          <t>Como Usar Esta Planilha</t>
        </is>
      </c>
    </row>
    <row r="2" ht="15" customHeight="1" s="116">
      <c r="A2" s="152" t="n"/>
    </row>
    <row r="3" ht="15" customHeight="1" s="116">
      <c r="A3" s="152" t="inlineStr">
        <is>
          <t>1. Curva Mestra - e o motor de tudo. Define quanto HP um personagem/monstro tem em</t>
        </is>
      </c>
    </row>
    <row r="4" ht="15" customHeight="1" s="116">
      <c r="A4" s="152" t="inlineStr">
        <is>
          <t xml:space="preserve">   cada nivel, e qual o dano de arma padrao esperado. Se algo parecer fraco ou forte</t>
        </is>
      </c>
    </row>
    <row r="5" ht="15" customHeight="1" s="116">
      <c r="A5" s="152" t="inlineStr">
        <is>
          <t xml:space="preserve">   demais durante o jogo real, ajuste os parametros em azul no topo dessa aba - todos</t>
        </is>
      </c>
    </row>
    <row r="6" ht="15" customHeight="1" s="116">
      <c r="A6" s="152" t="inlineStr">
        <is>
          <t xml:space="preserve">   os 75 niveis recalculam sozinhos.</t>
        </is>
      </c>
    </row>
    <row r="7" ht="15" customHeight="1" s="116">
      <c r="A7" s="152" t="n"/>
    </row>
    <row r="8" ht="15" customHeight="1" s="116">
      <c r="A8" s="152" t="inlineStr">
        <is>
          <t>2. Tiers - cada um dos 14 tiers de equipamento busca automaticamente o dano correspondente</t>
        </is>
      </c>
    </row>
    <row r="9" ht="15" customHeight="1" s="116">
      <c r="A9" s="152" t="inlineStr">
        <is>
          <t xml:space="preserve">   ao seu nivel medio na Curva Mestra. Raro e Lendario sao multiplicadores sobre o dano</t>
        </is>
      </c>
    </row>
    <row r="10" ht="15" customHeight="1" s="116">
      <c r="A10" s="152" t="inlineStr">
        <is>
          <t xml:space="preserve">   comum (ajustaveis em B4 e B5 no topo da aba Tiers).</t>
        </is>
      </c>
    </row>
    <row r="11" ht="15" customHeight="1" s="116">
      <c r="A11" s="152" t="n"/>
    </row>
    <row r="12" ht="15" customHeight="1" s="116">
      <c r="A12" s="152" t="inlineStr">
        <is>
          <t>3. Cores - a coluna Cor (hex) ja esta pintada com a cor real de cada tier. Use esse</t>
        </is>
      </c>
    </row>
    <row r="13" ht="15" customHeight="1" s="116">
      <c r="A13" s="152" t="inlineStr">
        <is>
          <t xml:space="preserve">   hex direto no design das cartas/HUD dos itens.</t>
        </is>
      </c>
    </row>
    <row r="14" ht="15" customHeight="1" s="116">
      <c r="A14" s="152" t="n"/>
    </row>
    <row r="15" ht="15" customHeight="1" s="116">
      <c r="A15" s="152" t="inlineStr">
        <is>
          <t>4. Convencao de cores do texto:</t>
        </is>
      </c>
    </row>
    <row r="16" ht="15" customHeight="1" s="116">
      <c r="A16" s="152" t="inlineStr">
        <is>
          <t xml:space="preserve">   - Azul = numero que voce pode/deve ajustar (parametro)</t>
        </is>
      </c>
    </row>
    <row r="17" ht="15" customHeight="1" s="116">
      <c r="A17" s="152" t="inlineStr">
        <is>
          <t xml:space="preserve">   - Preto = formula calculada automaticamente</t>
        </is>
      </c>
    </row>
    <row r="18" ht="15" customHeight="1" s="116">
      <c r="A18" s="152" t="inlineStr">
        <is>
          <t xml:space="preserve">   - Verde = formula que busca valor em outra aba</t>
        </is>
      </c>
    </row>
    <row r="19" ht="15" customHeight="1" s="116">
      <c r="A19" s="152" t="n"/>
    </row>
    <row r="20" ht="15" customHeight="1" s="116">
      <c r="A20" s="152" t="inlineStr">
        <is>
          <t>5. Estado atual do projeto: 470 monstros, 600 materiais, 93 artefatos, 227 missoes, 53 locais, 35 NPCs, 17 titulos, 14 tiers completos.</t>
        </is>
      </c>
    </row>
    <row r="21" ht="15" customHeight="1" s="116">
      <c r="A21" s="152" t="inlineStr">
        <is>
          <t xml:space="preserve">   Consulte a aba Dashboard de Progresso pra ver o status de cada Tier no Ciclo de Mundo.</t>
        </is>
      </c>
    </row>
    <row r="22" ht="15" customHeight="1" s="116">
      <c r="A22" s="152" t="inlineStr">
        <is>
          <t xml:space="preserve">   Consulte Indice Geral pra pendencias registradas (o que ainda falta fazer).</t>
        </is>
      </c>
    </row>
    <row r="23" ht="15" customHeight="1" s="116">
      <c r="A23" s="152" t="inlineStr">
        <is>
          <t xml:space="preserve">   seu amigo chegar.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M322"/>
  <sheetViews>
    <sheetView showFormulas="0" showGridLines="0" showRowColHeaders="1" showZeros="1" rightToLeft="0" tabSelected="0" showOutlineSymbols="1" defaultGridColor="1"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15" min="1" max="1"/>
    <col width="10" customWidth="1" style="115" min="2" max="2"/>
    <col width="30" customWidth="1" style="115" min="3" max="3"/>
    <col width="14" customWidth="1" style="115" min="4" max="4"/>
    <col width="45" customWidth="1" style="115" min="5" max="5"/>
    <col width="14" customWidth="1" style="115" min="6" max="7"/>
    <col width="10" customWidth="1" style="115" min="8" max="8"/>
    <col width="11" customWidth="1" style="115" min="9" max="10"/>
    <col width="13" customWidth="1" style="115" min="11" max="11"/>
    <col width="15" customWidth="1" style="115" min="12" max="13"/>
  </cols>
  <sheetData>
    <row r="1" ht="17.25" customHeight="1" s="116">
      <c r="A1" s="117" t="inlineStr">
        <is>
          <t>Catalogo Completo de Armas</t>
        </is>
      </c>
    </row>
    <row r="2" ht="15" customHeight="1" s="116">
      <c r="A2" s="123" t="inlineStr">
        <is>
          <t>Dano puxado automaticamente da aba Tiers. Ajuste os modificadores em azul abaixo.</t>
        </is>
      </c>
    </row>
    <row r="4" ht="15" customHeight="1" s="116">
      <c r="A4" s="124" t="inlineStr">
        <is>
          <t>Tipo de Arma</t>
        </is>
      </c>
      <c r="B4" s="124" t="inlineStr">
        <is>
          <t>Multiplicador</t>
        </is>
      </c>
      <c r="C4" s="124" t="inlineStr">
        <is>
          <t>Ataques por Turno</t>
        </is>
      </c>
      <c r="D4" s="124" t="inlineStr">
        <is>
          <t>Nota</t>
        </is>
      </c>
      <c r="E4" s="124" t="inlineStr">
        <is>
          <t>Pode 2 Maos?</t>
        </is>
      </c>
      <c r="F4" s="124" t="inlineStr">
        <is>
          <t>Bonus Dano (2 maos)</t>
        </is>
      </c>
    </row>
    <row r="5" ht="15" customHeight="1" s="116">
      <c r="A5" s="125" t="inlineStr">
        <is>
          <t>Adaga</t>
        </is>
      </c>
      <c r="B5" s="126" t="n">
        <v>0.8</v>
      </c>
      <c r="C5" s="126" t="n">
        <v>1</v>
      </c>
      <c r="D5" s="123" t="inlineStr">
        <is>
          <t>Ver Regras e Fórmulas Seção 8: 25% chance de golpe extra a 50% do dano ao acertar (não é multiplicação fixa)</t>
        </is>
      </c>
      <c r="E5" s="126" t="inlineStr">
        <is>
          <t>Nao</t>
        </is>
      </c>
      <c r="F5" s="126" t="n">
        <v>1</v>
      </c>
    </row>
    <row r="6" ht="15" customHeight="1" s="116">
      <c r="A6" s="125" t="inlineStr">
        <is>
          <t>Espada</t>
        </is>
      </c>
      <c r="B6" s="126" t="n">
        <v>1</v>
      </c>
      <c r="C6" s="126" t="n">
        <v>1</v>
      </c>
      <c r="D6" s="123" t="inlineStr">
        <is>
          <t>Equilibrada - referencia do sistema</t>
        </is>
      </c>
      <c r="E6" s="126" t="inlineStr">
        <is>
          <t>Sim (opcional)</t>
        </is>
      </c>
      <c r="F6" s="126" t="n">
        <v>1.2</v>
      </c>
    </row>
    <row r="7" ht="15" customHeight="1" s="116">
      <c r="A7" s="125" t="inlineStr">
        <is>
          <t>Machado</t>
        </is>
      </c>
      <c r="B7" s="126" t="n">
        <v>1.2</v>
      </c>
      <c r="C7" s="126" t="n">
        <v>1</v>
      </c>
      <c r="D7" s="123" t="inlineStr">
        <is>
          <t>Maior dano bruto do sistema — sem penalidade de ataque</t>
        </is>
      </c>
      <c r="E7" s="126" t="inlineStr">
        <is>
          <t>Sim (opcional)</t>
        </is>
      </c>
      <c r="F7" s="126" t="n">
        <v>1.25</v>
      </c>
    </row>
    <row r="8" ht="15" customHeight="1" s="116">
      <c r="A8" s="125" t="inlineStr">
        <is>
          <t>Maca</t>
        </is>
      </c>
      <c r="B8" s="126" t="n">
        <v>1.1</v>
      </c>
      <c r="C8" s="126" t="n">
        <v>1</v>
      </c>
      <c r="D8" s="123" t="inlineStr">
        <is>
          <t>Impacto/controle — afinidade com Ignora Defesa só em Variações específicas com esse efeito</t>
        </is>
      </c>
      <c r="E8" s="126" t="inlineStr">
        <is>
          <t>Sim (opcional)</t>
        </is>
      </c>
      <c r="F8" s="126" t="n">
        <v>1.2</v>
      </c>
    </row>
    <row r="9" ht="15" customHeight="1" s="116">
      <c r="A9" s="125" t="inlineStr">
        <is>
          <t>Arco</t>
        </is>
      </c>
      <c r="B9" s="126" t="n">
        <v>0.9</v>
      </c>
      <c r="C9" s="126" t="n">
        <v>1</v>
      </c>
      <c r="D9" s="123" t="inlineStr">
        <is>
          <t>Ataca a distancia, seguranca</t>
        </is>
      </c>
      <c r="E9" s="126" t="inlineStr">
        <is>
          <t>Sempre (obrigatorio)</t>
        </is>
      </c>
      <c r="F9" s="126" t="n">
        <v>1</v>
      </c>
    </row>
    <row r="10" ht="15" customHeight="1" s="116">
      <c r="A10" s="125" t="inlineStr">
        <is>
          <t>Manopla</t>
        </is>
      </c>
      <c r="B10" s="126" t="n">
        <v>0.85</v>
      </c>
      <c r="C10" s="126" t="n">
        <v>1</v>
      </c>
      <c r="D10" s="123" t="inlineStr">
        <is>
          <t>Sem golpe adicional — identidade é Atordoamento (20% de chance ao acertar)</t>
        </is>
      </c>
      <c r="E10" s="126" t="inlineStr">
        <is>
          <t>Nao</t>
        </is>
      </c>
      <c r="F10" s="126" t="n">
        <v>1</v>
      </c>
    </row>
    <row r="11" ht="15" customHeight="1" s="116">
      <c r="A11" s="125" t="inlineStr">
        <is>
          <t>Cetro</t>
        </is>
      </c>
      <c r="B11" s="126" t="n">
        <v>0.7</v>
      </c>
      <c r="C11" s="126" t="n">
        <v>1</v>
      </c>
      <c r="D11" s="123" t="inlineStr">
        <is>
          <t>Soma no dano magico, se houver magia no sistema</t>
        </is>
      </c>
      <c r="E11" s="126" t="inlineStr">
        <is>
          <t>Nao</t>
        </is>
      </c>
      <c r="F11" s="126" t="n">
        <v>1</v>
      </c>
    </row>
    <row r="13" ht="15" customHeight="1" s="116">
      <c r="A13" s="123" t="n"/>
    </row>
    <row r="14" ht="15" customHeight="1" s="116">
      <c r="A14" s="124" t="inlineStr">
        <is>
          <t>Tier</t>
        </is>
      </c>
      <c r="B14" s="124" t="inlineStr">
        <is>
          <t>Tipo</t>
        </is>
      </c>
      <c r="C14" s="124" t="inlineStr">
        <is>
          <t>Variação (nome completo)</t>
        </is>
      </c>
      <c r="D14" s="124" t="inlineStr">
        <is>
          <t>Efeito Especial</t>
        </is>
      </c>
      <c r="E14" s="124" t="inlineStr">
        <is>
          <t>Lore</t>
        </is>
      </c>
      <c r="F14" s="124" t="inlineStr">
        <is>
          <t>Dano Base Comum</t>
        </is>
      </c>
      <c r="G14" s="124" t="inlineStr">
        <is>
          <t>Dano Base Raro</t>
        </is>
      </c>
      <c r="H14" s="124" t="inlineStr">
        <is>
          <t>Mod. Tipo</t>
        </is>
      </c>
      <c r="I14" s="124" t="inlineStr">
        <is>
          <t>Dano Comum</t>
        </is>
      </c>
      <c r="J14" s="124" t="inlineStr">
        <is>
          <t>Dano Raro</t>
        </is>
      </c>
      <c r="K14" s="124" t="inlineStr">
        <is>
          <t>Mod. Variação</t>
        </is>
      </c>
      <c r="L14" s="118" t="inlineStr">
        <is>
          <t>Preço Venda Comum</t>
        </is>
      </c>
      <c r="M14" s="118" t="inlineStr">
        <is>
          <t>Preço Venda Raro</t>
        </is>
      </c>
    </row>
    <row r="15" ht="15" customHeight="1" s="116">
      <c r="A15" s="128" t="inlineStr">
        <is>
          <t>Sucata Enferrujada</t>
        </is>
      </c>
      <c r="B15" s="128" t="inlineStr">
        <is>
          <t>Espada</t>
        </is>
      </c>
      <c r="C15" s="128" t="inlineStr">
        <is>
          <t>Espada de Sucata Enferrujada</t>
        </is>
      </c>
      <c r="D15" s="135" t="n"/>
      <c r="E15" s="128" t="inlineStr">
        <is>
          <t>Lâmina de sucata amarrada com arame — corta, mas reclama a cada golpe.</t>
        </is>
      </c>
      <c r="F15" s="128">
        <f>INDEX(Tiers!$G$9:$G$22,MATCH($A15,Tiers!$B$9:$B$22,0))</f>
        <v/>
      </c>
      <c r="G15" s="128">
        <f>INDEX(Tiers!$H$9:$H$22,MATCH($A15,Tiers!$B$9:$B$22,0))</f>
        <v/>
      </c>
      <c r="H15" s="128">
        <f>INDEX($B$5:$B$11,MATCH($B15,$A$5:$A$11,0))</f>
        <v/>
      </c>
      <c r="I15" s="153">
        <f>ROUND(F15*H15*K15,0)</f>
        <v/>
      </c>
      <c r="J15" s="153">
        <f>ROUND(G15*H15*K15,0)</f>
        <v/>
      </c>
      <c r="K15" s="154" t="n">
        <v>1</v>
      </c>
      <c r="L15" s="115">
        <f>ROUND(I15*8,0)</f>
        <v/>
      </c>
      <c r="M15" s="115">
        <f>ROUND(J15*10,0)</f>
        <v/>
      </c>
    </row>
    <row r="16" ht="15" customHeight="1" s="116">
      <c r="A16" s="128" t="inlineStr">
        <is>
          <t>Sucata Enferrujada</t>
        </is>
      </c>
      <c r="B16" s="128" t="inlineStr">
        <is>
          <t>Espada</t>
        </is>
      </c>
      <c r="C16" s="128" t="inlineStr">
        <is>
          <t>Espada Trincada</t>
        </is>
      </c>
      <c r="D16" s="135" t="n"/>
      <c r="E16" s="128" t="inlineStr">
        <is>
          <t>Rachada perto do cabo; ainda serve, ninguém sabe até quando.</t>
        </is>
      </c>
      <c r="F16" s="128">
        <f>INDEX(Tiers!$G$9:$G$22,MATCH($A16,Tiers!$B$9:$B$22,0))</f>
        <v/>
      </c>
      <c r="G16" s="128">
        <f>INDEX(Tiers!$H$9:$H$22,MATCH($A16,Tiers!$B$9:$B$22,0))</f>
        <v/>
      </c>
      <c r="H16" s="128">
        <f>INDEX($B$5:$B$11,MATCH($B16,$A$5:$A$11,0))</f>
        <v/>
      </c>
      <c r="I16" s="153">
        <f>ROUND(F16*H16*K16,0)</f>
        <v/>
      </c>
      <c r="J16" s="153">
        <f>ROUND(G16*H16*K16,0)</f>
        <v/>
      </c>
      <c r="K16" s="154" t="n">
        <v>1</v>
      </c>
      <c r="L16" s="115">
        <f>ROUND(I16*8,0)</f>
        <v/>
      </c>
      <c r="M16" s="115">
        <f>ROUND(J16*10,0)</f>
        <v/>
      </c>
    </row>
    <row r="17" ht="15" customHeight="1" s="116">
      <c r="A17" s="128" t="inlineStr">
        <is>
          <t>Sucata Enferrujada</t>
        </is>
      </c>
      <c r="B17" s="128" t="inlineStr">
        <is>
          <t>Espada</t>
        </is>
      </c>
      <c r="C17" s="128" t="inlineStr">
        <is>
          <t>Espada Serrilhada</t>
        </is>
      </c>
      <c r="D17" s="135" t="inlineStr">
        <is>
          <t>Sangramento</t>
        </is>
      </c>
      <c r="E17" s="128" t="inlineStr">
        <is>
          <t>Dentes de serra improvisados — não corta limpo, mas não deixa esquecer.</t>
        </is>
      </c>
      <c r="F17" s="128">
        <f>INDEX(Tiers!$G$9:$G$22,MATCH($A17,Tiers!$B$9:$B$22,0))</f>
        <v/>
      </c>
      <c r="G17" s="128">
        <f>INDEX(Tiers!$H$9:$H$22,MATCH($A17,Tiers!$B$9:$B$22,0))</f>
        <v/>
      </c>
      <c r="H17" s="128">
        <f>INDEX($B$5:$B$11,MATCH($B17,$A$5:$A$11,0))</f>
        <v/>
      </c>
      <c r="I17" s="153">
        <f>ROUND(F17*H17*K17,0)</f>
        <v/>
      </c>
      <c r="J17" s="153">
        <f>ROUND(G17*H17*K17,0)</f>
        <v/>
      </c>
      <c r="K17" s="154" t="n">
        <v>0.95</v>
      </c>
      <c r="L17" s="115">
        <f>ROUND(I17*8,0)</f>
        <v/>
      </c>
      <c r="M17" s="115">
        <f>ROUND(J17*10,0)</f>
        <v/>
      </c>
    </row>
    <row r="18" ht="15" customHeight="1" s="116">
      <c r="A18" s="128" t="inlineStr">
        <is>
          <t>Sucata Enferrujada</t>
        </is>
      </c>
      <c r="B18" s="128" t="inlineStr">
        <is>
          <t>Espada</t>
        </is>
      </c>
      <c r="C18" s="128" t="inlineStr">
        <is>
          <t>Espada de Poda Afiada</t>
        </is>
      </c>
      <c r="D18" s="135" t="n"/>
      <c r="E18" s="128" t="inlineStr">
        <is>
          <t>Ferramenta de colheita virada arma — mata com o que sobrou da lavoura.</t>
        </is>
      </c>
      <c r="F18" s="128">
        <f>INDEX(Tiers!$G$9:$G$22,MATCH($A18,Tiers!$B$9:$B$22,0))</f>
        <v/>
      </c>
      <c r="G18" s="128">
        <f>INDEX(Tiers!$H$9:$H$22,MATCH($A18,Tiers!$B$9:$B$22,0))</f>
        <v/>
      </c>
      <c r="H18" s="128">
        <f>INDEX($B$5:$B$11,MATCH($B18,$A$5:$A$11,0))</f>
        <v/>
      </c>
      <c r="I18" s="153">
        <f>ROUND(F18*H18*K18,0)</f>
        <v/>
      </c>
      <c r="J18" s="153">
        <f>ROUND(G18*H18*K18,0)</f>
        <v/>
      </c>
      <c r="K18" s="154" t="n">
        <v>1</v>
      </c>
      <c r="L18" s="115">
        <f>ROUND(I18*8,0)</f>
        <v/>
      </c>
      <c r="M18" s="115">
        <f>ROUND(J18*10,0)</f>
        <v/>
      </c>
    </row>
    <row r="19" ht="15" customHeight="1" s="116">
      <c r="A19" s="128" t="inlineStr">
        <is>
          <t>Sucata Enferrujada</t>
        </is>
      </c>
      <c r="B19" s="128" t="inlineStr">
        <is>
          <t>Machado</t>
        </is>
      </c>
      <c r="C19" s="128" t="inlineStr">
        <is>
          <t>Machado de Sucata</t>
        </is>
      </c>
      <c r="D19" s="135" t="n"/>
      <c r="E19" s="128" t="inlineStr">
        <is>
          <t>Cabeça de metal retorcido presa num cabo qualquer — pesa o bastante pra doer.</t>
        </is>
      </c>
      <c r="F19" s="128">
        <f>INDEX(Tiers!$G$9:$G$22,MATCH($A19,Tiers!$B$9:$B$22,0))</f>
        <v/>
      </c>
      <c r="G19" s="128">
        <f>INDEX(Tiers!$H$9:$H$22,MATCH($A19,Tiers!$B$9:$B$22,0))</f>
        <v/>
      </c>
      <c r="H19" s="128">
        <f>INDEX($B$5:$B$11,MATCH($B19,$A$5:$A$11,0))</f>
        <v/>
      </c>
      <c r="I19" s="153">
        <f>ROUND(F19*H19*K19,0)</f>
        <v/>
      </c>
      <c r="J19" s="153">
        <f>ROUND(G19*H19*K19,0)</f>
        <v/>
      </c>
      <c r="K19" s="154" t="n">
        <v>1</v>
      </c>
      <c r="L19" s="115">
        <f>ROUND(I19*8,0)</f>
        <v/>
      </c>
      <c r="M19" s="115">
        <f>ROUND(J19*10,0)</f>
        <v/>
      </c>
    </row>
    <row r="20" ht="15" customHeight="1" s="116">
      <c r="A20" s="128" t="inlineStr">
        <is>
          <t>Sucata Enferrujada</t>
        </is>
      </c>
      <c r="B20" s="128" t="inlineStr">
        <is>
          <t>Machado</t>
        </is>
      </c>
      <c r="C20" s="128" t="inlineStr">
        <is>
          <t>Machado Cego</t>
        </is>
      </c>
      <c r="D20" s="135" t="inlineStr">
        <is>
          <t>Ignora Defesa</t>
        </is>
      </c>
      <c r="E20" s="128" t="inlineStr">
        <is>
          <t>Já não corta, só esmaga — e isso já basta.</t>
        </is>
      </c>
      <c r="F20" s="128">
        <f>INDEX(Tiers!$G$9:$G$22,MATCH($A20,Tiers!$B$9:$B$22,0))</f>
        <v/>
      </c>
      <c r="G20" s="128">
        <f>INDEX(Tiers!$H$9:$H$22,MATCH($A20,Tiers!$B$9:$B$22,0))</f>
        <v/>
      </c>
      <c r="H20" s="128">
        <f>INDEX($B$5:$B$11,MATCH($B20,$A$5:$A$11,0))</f>
        <v/>
      </c>
      <c r="I20" s="153">
        <f>ROUND(F20*H20*K20,0)</f>
        <v/>
      </c>
      <c r="J20" s="153">
        <f>ROUND(G20*H20*K20,0)</f>
        <v/>
      </c>
      <c r="K20" s="154" t="n">
        <v>0.96</v>
      </c>
      <c r="L20" s="115">
        <f>ROUND(I20*8,0)</f>
        <v/>
      </c>
      <c r="M20" s="115">
        <f>ROUND(J20*10,0)</f>
        <v/>
      </c>
    </row>
    <row r="21" ht="15" customHeight="1" s="116">
      <c r="A21" s="128" t="inlineStr">
        <is>
          <t>Sucata Enferrujada</t>
        </is>
      </c>
      <c r="B21" s="128" t="inlineStr">
        <is>
          <t>Machado</t>
        </is>
      </c>
      <c r="C21" s="128" t="inlineStr">
        <is>
          <t>Machado de Lenhador Reforçado</t>
        </is>
      </c>
      <c r="D21" s="135" t="n"/>
      <c r="E21" s="128" t="inlineStr">
        <is>
          <t>Feito pra árvore, adaptado pra carne.</t>
        </is>
      </c>
      <c r="F21" s="128">
        <f>INDEX(Tiers!$G$9:$G$22,MATCH($A21,Tiers!$B$9:$B$22,0))</f>
        <v/>
      </c>
      <c r="G21" s="128">
        <f>INDEX(Tiers!$H$9:$H$22,MATCH($A21,Tiers!$B$9:$B$22,0))</f>
        <v/>
      </c>
      <c r="H21" s="128">
        <f>INDEX($B$5:$B$11,MATCH($B21,$A$5:$A$11,0))</f>
        <v/>
      </c>
      <c r="I21" s="153">
        <f>ROUND(F21*H21*K21,0)</f>
        <v/>
      </c>
      <c r="J21" s="153">
        <f>ROUND(G21*H21*K21,0)</f>
        <v/>
      </c>
      <c r="K21" s="154" t="n">
        <v>1.05</v>
      </c>
      <c r="L21" s="115">
        <f>ROUND(I21*8,0)</f>
        <v/>
      </c>
      <c r="M21" s="115">
        <f>ROUND(J21*10,0)</f>
        <v/>
      </c>
    </row>
    <row r="22" ht="15" customHeight="1" s="116">
      <c r="A22" s="128" t="inlineStr">
        <is>
          <t>Sucata Enferrujada</t>
        </is>
      </c>
      <c r="B22" s="128" t="inlineStr">
        <is>
          <t>Machado</t>
        </is>
      </c>
      <c r="C22" s="128" t="inlineStr">
        <is>
          <t>Machado Duplo Improvisado</t>
        </is>
      </c>
      <c r="D22" s="135" t="n"/>
      <c r="E22" s="128" t="inlineStr">
        <is>
          <t>Duas lâminas de sucata soldadas — desequilibrado, mas assusta.</t>
        </is>
      </c>
      <c r="F22" s="128">
        <f>INDEX(Tiers!$G$9:$G$22,MATCH($A22,Tiers!$B$9:$B$22,0))</f>
        <v/>
      </c>
      <c r="G22" s="128">
        <f>INDEX(Tiers!$H$9:$H$22,MATCH($A22,Tiers!$B$9:$B$22,0))</f>
        <v/>
      </c>
      <c r="H22" s="128">
        <f>INDEX($B$5:$B$11,MATCH($B22,$A$5:$A$11,0))</f>
        <v/>
      </c>
      <c r="I22" s="153">
        <f>ROUND(F22*H22*K22,0)</f>
        <v/>
      </c>
      <c r="J22" s="153">
        <f>ROUND(G22*H22*K22,0)</f>
        <v/>
      </c>
      <c r="K22" s="154" t="n">
        <v>1.05</v>
      </c>
      <c r="L22" s="115">
        <f>ROUND(I22*8,0)</f>
        <v/>
      </c>
      <c r="M22" s="115">
        <f>ROUND(J22*10,0)</f>
        <v/>
      </c>
    </row>
    <row r="23" ht="15" customHeight="1" s="116">
      <c r="A23" s="128" t="inlineStr">
        <is>
          <t>Sucata Enferrujada</t>
        </is>
      </c>
      <c r="B23" s="128" t="inlineStr">
        <is>
          <t>Arco</t>
        </is>
      </c>
      <c r="C23" s="128" t="inlineStr">
        <is>
          <t>Arco de Sucata</t>
        </is>
      </c>
      <c r="D23" s="135" t="n"/>
      <c r="E23" s="128" t="inlineStr">
        <is>
          <t>Vergas de metal fino dobradas até quase quebrar.</t>
        </is>
      </c>
      <c r="F23" s="128">
        <f>INDEX(Tiers!$G$9:$G$22,MATCH($A23,Tiers!$B$9:$B$22,0))</f>
        <v/>
      </c>
      <c r="G23" s="128">
        <f>INDEX(Tiers!$H$9:$H$22,MATCH($A23,Tiers!$B$9:$B$22,0))</f>
        <v/>
      </c>
      <c r="H23" s="128">
        <f>INDEX($B$5:$B$11,MATCH($B23,$A$5:$A$11,0))</f>
        <v/>
      </c>
      <c r="I23" s="153">
        <f>ROUND(F23*H23*K23,0)</f>
        <v/>
      </c>
      <c r="J23" s="153">
        <f>ROUND(G23*H23*K23,0)</f>
        <v/>
      </c>
      <c r="K23" s="154" t="n">
        <v>1</v>
      </c>
      <c r="L23" s="115">
        <f>ROUND(I23*8,0)</f>
        <v/>
      </c>
      <c r="M23" s="115">
        <f>ROUND(J23*10,0)</f>
        <v/>
      </c>
    </row>
    <row r="24" ht="15" customHeight="1" s="116">
      <c r="A24" s="128" t="inlineStr">
        <is>
          <t>Sucata Enferrujada</t>
        </is>
      </c>
      <c r="B24" s="128" t="inlineStr">
        <is>
          <t>Arco</t>
        </is>
      </c>
      <c r="C24" s="128" t="inlineStr">
        <is>
          <t>Arco de Corda Puída</t>
        </is>
      </c>
      <c r="D24" s="135" t="n"/>
      <c r="E24" s="128" t="inlineStr">
        <is>
          <t>A corda já rompeu duas vezes — sempre foi remendada a tempo.</t>
        </is>
      </c>
      <c r="F24" s="128">
        <f>INDEX(Tiers!$G$9:$G$22,MATCH($A24,Tiers!$B$9:$B$22,0))</f>
        <v/>
      </c>
      <c r="G24" s="128">
        <f>INDEX(Tiers!$H$9:$H$22,MATCH($A24,Tiers!$B$9:$B$22,0))</f>
        <v/>
      </c>
      <c r="H24" s="128">
        <f>INDEX($B$5:$B$11,MATCH($B24,$A$5:$A$11,0))</f>
        <v/>
      </c>
      <c r="I24" s="153">
        <f>ROUND(F24*H24*K24,0)</f>
        <v/>
      </c>
      <c r="J24" s="153">
        <f>ROUND(G24*H24*K24,0)</f>
        <v/>
      </c>
      <c r="K24" s="154" t="n">
        <v>1</v>
      </c>
      <c r="L24" s="115">
        <f>ROUND(I24*8,0)</f>
        <v/>
      </c>
      <c r="M24" s="115">
        <f>ROUND(J24*10,0)</f>
        <v/>
      </c>
    </row>
    <row r="25" ht="15" customHeight="1" s="116">
      <c r="A25" s="128" t="inlineStr">
        <is>
          <t>Sucata Enferrujada</t>
        </is>
      </c>
      <c r="B25" s="128" t="inlineStr">
        <is>
          <t>Arco</t>
        </is>
      </c>
      <c r="C25" s="128" t="inlineStr">
        <is>
          <t>Arco Caçador de Javali</t>
        </is>
      </c>
      <c r="D25" s="135" t="n"/>
      <c r="E25" s="128" t="inlineStr">
        <is>
          <t>Talhado pra caçar o que ronda a vila.</t>
        </is>
      </c>
      <c r="F25" s="128">
        <f>INDEX(Tiers!$G$9:$G$22,MATCH($A25,Tiers!$B$9:$B$22,0))</f>
        <v/>
      </c>
      <c r="G25" s="128">
        <f>INDEX(Tiers!$H$9:$H$22,MATCH($A25,Tiers!$B$9:$B$22,0))</f>
        <v/>
      </c>
      <c r="H25" s="128">
        <f>INDEX($B$5:$B$11,MATCH($B25,$A$5:$A$11,0))</f>
        <v/>
      </c>
      <c r="I25" s="153">
        <f>ROUND(F25*H25*K25,0)</f>
        <v/>
      </c>
      <c r="J25" s="153">
        <f>ROUND(G25*H25*K25,0)</f>
        <v/>
      </c>
      <c r="K25" s="154" t="n">
        <v>1</v>
      </c>
      <c r="L25" s="115">
        <f>ROUND(I25*8,0)</f>
        <v/>
      </c>
      <c r="M25" s="115">
        <f>ROUND(J25*10,0)</f>
        <v/>
      </c>
    </row>
    <row r="26" ht="15" customHeight="1" s="116">
      <c r="A26" s="128" t="inlineStr">
        <is>
          <t>Sucata Enferrujada</t>
        </is>
      </c>
      <c r="B26" s="128" t="inlineStr">
        <is>
          <t>Arco</t>
        </is>
      </c>
      <c r="C26" s="128" t="inlineStr">
        <is>
          <t>Arco Torto</t>
        </is>
      </c>
      <c r="D26" s="135" t="n"/>
      <c r="E26" s="128" t="inlineStr">
        <is>
          <t>Não atira reto, mas quem usa há tempo já aprendeu a mirar torto também.</t>
        </is>
      </c>
      <c r="F26" s="128">
        <f>INDEX(Tiers!$G$9:$G$22,MATCH($A26,Tiers!$B$9:$B$22,0))</f>
        <v/>
      </c>
      <c r="G26" s="128">
        <f>INDEX(Tiers!$H$9:$H$22,MATCH($A26,Tiers!$B$9:$B$22,0))</f>
        <v/>
      </c>
      <c r="H26" s="128">
        <f>INDEX($B$5:$B$11,MATCH($B26,$A$5:$A$11,0))</f>
        <v/>
      </c>
      <c r="I26" s="153">
        <f>ROUND(F26*H26*K26,0)</f>
        <v/>
      </c>
      <c r="J26" s="153">
        <f>ROUND(G26*H26*K26,0)</f>
        <v/>
      </c>
      <c r="K26" s="154" t="n">
        <v>1</v>
      </c>
      <c r="L26" s="115">
        <f>ROUND(I26*8,0)</f>
        <v/>
      </c>
      <c r="M26" s="115">
        <f>ROUND(J26*10,0)</f>
        <v/>
      </c>
    </row>
    <row r="27" ht="15" customHeight="1" s="116">
      <c r="A27" s="128" t="inlineStr">
        <is>
          <t>Sucata Enferrujada</t>
        </is>
      </c>
      <c r="B27" s="128" t="inlineStr">
        <is>
          <t>Adaga</t>
        </is>
      </c>
      <c r="C27" s="128" t="inlineStr">
        <is>
          <t>Adaga de Sucata</t>
        </is>
      </c>
      <c r="D27" s="135" t="n"/>
      <c r="E27" s="128" t="inlineStr">
        <is>
          <t>Pequena, feia, e afiada o bastante pra doer o suficiente.</t>
        </is>
      </c>
      <c r="F27" s="128">
        <f>INDEX(Tiers!$G$9:$G$22,MATCH($A27,Tiers!$B$9:$B$22,0))</f>
        <v/>
      </c>
      <c r="G27" s="128">
        <f>INDEX(Tiers!$H$9:$H$22,MATCH($A27,Tiers!$B$9:$B$22,0))</f>
        <v/>
      </c>
      <c r="H27" s="128">
        <f>INDEX($B$5:$B$11,MATCH($B27,$A$5:$A$11,0))</f>
        <v/>
      </c>
      <c r="I27" s="153">
        <f>ROUND(F27*H27*K27,0)</f>
        <v/>
      </c>
      <c r="J27" s="153">
        <f>ROUND(G27*H27*K27,0)</f>
        <v/>
      </c>
      <c r="K27" s="154" t="n">
        <v>1</v>
      </c>
      <c r="L27" s="115">
        <f>ROUND(I27*8,0)</f>
        <v/>
      </c>
      <c r="M27" s="115">
        <f>ROUND(J27*10,0)</f>
        <v/>
      </c>
    </row>
    <row r="28" ht="15" customHeight="1" s="116">
      <c r="A28" s="128" t="inlineStr">
        <is>
          <t>Sucata Enferrujada</t>
        </is>
      </c>
      <c r="B28" s="128" t="inlineStr">
        <is>
          <t>Adaga</t>
        </is>
      </c>
      <c r="C28" s="128" t="inlineStr">
        <is>
          <t>Adaga de Cozinha Reaproveitada</t>
        </is>
      </c>
      <c r="D28" s="135" t="n"/>
      <c r="E28" s="128" t="inlineStr">
        <is>
          <t>Servia pra cortar pão. Agora corta outra coisa.</t>
        </is>
      </c>
      <c r="F28" s="128">
        <f>INDEX(Tiers!$G$9:$G$22,MATCH($A28,Tiers!$B$9:$B$22,0))</f>
        <v/>
      </c>
      <c r="G28" s="128">
        <f>INDEX(Tiers!$H$9:$H$22,MATCH($A28,Tiers!$B$9:$B$22,0))</f>
        <v/>
      </c>
      <c r="H28" s="128">
        <f>INDEX($B$5:$B$11,MATCH($B28,$A$5:$A$11,0))</f>
        <v/>
      </c>
      <c r="I28" s="153">
        <f>ROUND(F28*H28*K28,0)</f>
        <v/>
      </c>
      <c r="J28" s="153">
        <f>ROUND(G28*H28*K28,0)</f>
        <v/>
      </c>
      <c r="K28" s="154" t="n">
        <v>1</v>
      </c>
      <c r="L28" s="115">
        <f>ROUND(I28*8,0)</f>
        <v/>
      </c>
      <c r="M28" s="115">
        <f>ROUND(J28*10,0)</f>
        <v/>
      </c>
    </row>
    <row r="29" ht="15" customHeight="1" s="116">
      <c r="A29" s="128" t="inlineStr">
        <is>
          <t>Sucata Enferrujada</t>
        </is>
      </c>
      <c r="B29" s="128" t="inlineStr">
        <is>
          <t>Adaga</t>
        </is>
      </c>
      <c r="C29" s="128" t="inlineStr">
        <is>
          <t>Adaga Curva</t>
        </is>
      </c>
      <c r="D29" s="135" t="n"/>
      <c r="E29" s="128" t="inlineStr">
        <is>
          <t>Boa pra cortar corda. Melhor ainda pra cortar tendão.</t>
        </is>
      </c>
      <c r="F29" s="128">
        <f>INDEX(Tiers!$G$9:$G$22,MATCH($A29,Tiers!$B$9:$B$22,0))</f>
        <v/>
      </c>
      <c r="G29" s="128">
        <f>INDEX(Tiers!$H$9:$H$22,MATCH($A29,Tiers!$B$9:$B$22,0))</f>
        <v/>
      </c>
      <c r="H29" s="128">
        <f>INDEX($B$5:$B$11,MATCH($B29,$A$5:$A$11,0))</f>
        <v/>
      </c>
      <c r="I29" s="153">
        <f>ROUND(F29*H29*K29,0)</f>
        <v/>
      </c>
      <c r="J29" s="153">
        <f>ROUND(G29*H29*K29,0)</f>
        <v/>
      </c>
      <c r="K29" s="154" t="n">
        <v>1</v>
      </c>
      <c r="L29" s="115">
        <f>ROUND(I29*8,0)</f>
        <v/>
      </c>
      <c r="M29" s="115">
        <f>ROUND(J29*10,0)</f>
        <v/>
      </c>
    </row>
    <row r="30" ht="15" customHeight="1" s="116">
      <c r="A30" s="128" t="inlineStr">
        <is>
          <t>Sucata Enferrujada</t>
        </is>
      </c>
      <c r="B30" s="128" t="inlineStr">
        <is>
          <t>Maca</t>
        </is>
      </c>
      <c r="C30" s="128" t="inlineStr">
        <is>
          <t>Maça de Sucata</t>
        </is>
      </c>
      <c r="D30" s="135" t="n"/>
      <c r="E30" s="128" t="inlineStr">
        <is>
          <t>Cabeça pesada, cabo curto — não erra por falta de força.</t>
        </is>
      </c>
      <c r="F30" s="128">
        <f>INDEX(Tiers!$G$9:$G$22,MATCH($A30,Tiers!$B$9:$B$22,0))</f>
        <v/>
      </c>
      <c r="G30" s="128">
        <f>INDEX(Tiers!$H$9:$H$22,MATCH($A30,Tiers!$B$9:$B$22,0))</f>
        <v/>
      </c>
      <c r="H30" s="128">
        <f>INDEX($B$5:$B$11,MATCH($B30,$A$5:$A$11,0))</f>
        <v/>
      </c>
      <c r="I30" s="153">
        <f>ROUND(F30*H30*K30,0)</f>
        <v/>
      </c>
      <c r="J30" s="153">
        <f>ROUND(G30*H30*K30,0)</f>
        <v/>
      </c>
      <c r="K30" s="154" t="n">
        <v>1</v>
      </c>
      <c r="L30" s="115">
        <f>ROUND(I30*8,0)</f>
        <v/>
      </c>
      <c r="M30" s="115">
        <f>ROUND(J30*10,0)</f>
        <v/>
      </c>
    </row>
    <row r="31" ht="15" customHeight="1" s="116">
      <c r="A31" s="128" t="inlineStr">
        <is>
          <t>Sucata Enferrujada</t>
        </is>
      </c>
      <c r="B31" s="128" t="inlineStr">
        <is>
          <t>Maca</t>
        </is>
      </c>
      <c r="C31" s="128" t="inlineStr">
        <is>
          <t>Maça Cravejada</t>
        </is>
      </c>
      <c r="D31" s="135" t="inlineStr">
        <is>
          <t>Sangramento</t>
        </is>
      </c>
      <c r="E31" s="128" t="inlineStr">
        <is>
          <t>Pregos tortos saindo de todo lado — ninguém perguntou se doía fazer.</t>
        </is>
      </c>
      <c r="F31" s="128">
        <f>INDEX(Tiers!$G$9:$G$22,MATCH($A31,Tiers!$B$9:$B$22,0))</f>
        <v/>
      </c>
      <c r="G31" s="128">
        <f>INDEX(Tiers!$H$9:$H$22,MATCH($A31,Tiers!$B$9:$B$22,0))</f>
        <v/>
      </c>
      <c r="H31" s="128">
        <f>INDEX($B$5:$B$11,MATCH($B31,$A$5:$A$11,0))</f>
        <v/>
      </c>
      <c r="I31" s="153">
        <f>ROUND(F31*H31*K31,0)</f>
        <v/>
      </c>
      <c r="J31" s="153">
        <f>ROUND(G31*H31*K31,0)</f>
        <v/>
      </c>
      <c r="K31" s="154" t="n">
        <v>0.96</v>
      </c>
      <c r="L31" s="115">
        <f>ROUND(I31*8,0)</f>
        <v/>
      </c>
      <c r="M31" s="115">
        <f>ROUND(J31*10,0)</f>
        <v/>
      </c>
    </row>
    <row r="32" ht="15" customHeight="1" s="116">
      <c r="A32" s="128" t="inlineStr">
        <is>
          <t>Sucata Enferrujada</t>
        </is>
      </c>
      <c r="B32" s="128" t="inlineStr">
        <is>
          <t>Maca</t>
        </is>
      </c>
      <c r="C32" s="128" t="inlineStr">
        <is>
          <t>Maça de Ferreiro Improvisada</t>
        </is>
      </c>
      <c r="D32" s="135" t="n"/>
      <c r="E32" s="128" t="inlineStr">
        <is>
          <t>Era martelo de bigorna. Agora é a última coisa que alguém vê.</t>
        </is>
      </c>
      <c r="F32" s="128">
        <f>INDEX(Tiers!$G$9:$G$22,MATCH($A32,Tiers!$B$9:$B$22,0))</f>
        <v/>
      </c>
      <c r="G32" s="128">
        <f>INDEX(Tiers!$H$9:$H$22,MATCH($A32,Tiers!$B$9:$B$22,0))</f>
        <v/>
      </c>
      <c r="H32" s="128">
        <f>INDEX($B$5:$B$11,MATCH($B32,$A$5:$A$11,0))</f>
        <v/>
      </c>
      <c r="I32" s="153">
        <f>ROUND(F32*H32*K32,0)</f>
        <v/>
      </c>
      <c r="J32" s="153">
        <f>ROUND(G32*H32*K32,0)</f>
        <v/>
      </c>
      <c r="K32" s="154" t="n">
        <v>1</v>
      </c>
      <c r="L32" s="115">
        <f>ROUND(I32*8,0)</f>
        <v/>
      </c>
      <c r="M32" s="115">
        <f>ROUND(J32*10,0)</f>
        <v/>
      </c>
    </row>
    <row r="33" ht="15" customHeight="1" s="116">
      <c r="A33" s="128" t="inlineStr">
        <is>
          <t>Sucata Enferrujada</t>
        </is>
      </c>
      <c r="B33" s="128" t="inlineStr">
        <is>
          <t>Manopla</t>
        </is>
      </c>
      <c r="C33" s="128" t="inlineStr">
        <is>
          <t>Manopla de Sucata</t>
        </is>
      </c>
      <c r="D33" s="135" t="n"/>
      <c r="E33" s="128" t="inlineStr">
        <is>
          <t>Placas de metal amarradas nos nós dos dedos.</t>
        </is>
      </c>
      <c r="F33" s="128">
        <f>INDEX(Tiers!$G$9:$G$22,MATCH($A33,Tiers!$B$9:$B$22,0))</f>
        <v/>
      </c>
      <c r="G33" s="128">
        <f>INDEX(Tiers!$H$9:$H$22,MATCH($A33,Tiers!$B$9:$B$22,0))</f>
        <v/>
      </c>
      <c r="H33" s="128">
        <f>INDEX($B$5:$B$11,MATCH($B33,$A$5:$A$11,0))</f>
        <v/>
      </c>
      <c r="I33" s="153">
        <f>ROUND(F33*H33*K33,0)</f>
        <v/>
      </c>
      <c r="J33" s="153">
        <f>ROUND(G33*H33*K33,0)</f>
        <v/>
      </c>
      <c r="K33" s="154" t="n">
        <v>1</v>
      </c>
      <c r="L33" s="115">
        <f>ROUND(I33*8,0)</f>
        <v/>
      </c>
      <c r="M33" s="115">
        <f>ROUND(J33*10,0)</f>
        <v/>
      </c>
    </row>
    <row r="34" ht="15" customHeight="1" s="116">
      <c r="A34" s="128" t="inlineStr">
        <is>
          <t>Sucata Enferrujada</t>
        </is>
      </c>
      <c r="B34" s="128" t="inlineStr">
        <is>
          <t>Manopla</t>
        </is>
      </c>
      <c r="C34" s="128" t="inlineStr">
        <is>
          <t>Manopla Cravada</t>
        </is>
      </c>
      <c r="D34" s="135" t="n"/>
      <c r="E34" s="128" t="inlineStr">
        <is>
          <t>Pontas de prego viradas pra fora — aperto de mão que ninguém pede duas vezes.</t>
        </is>
      </c>
      <c r="F34" s="128">
        <f>INDEX(Tiers!$G$9:$G$22,MATCH($A34,Tiers!$B$9:$B$22,0))</f>
        <v/>
      </c>
      <c r="G34" s="128">
        <f>INDEX(Tiers!$H$9:$H$22,MATCH($A34,Tiers!$B$9:$B$22,0))</f>
        <v/>
      </c>
      <c r="H34" s="128">
        <f>INDEX($B$5:$B$11,MATCH($B34,$A$5:$A$11,0))</f>
        <v/>
      </c>
      <c r="I34" s="153">
        <f>ROUND(F34*H34*K34,0)</f>
        <v/>
      </c>
      <c r="J34" s="153">
        <f>ROUND(G34*H34*K34,0)</f>
        <v/>
      </c>
      <c r="K34" s="154" t="n">
        <v>1</v>
      </c>
      <c r="L34" s="115">
        <f>ROUND(I34*8,0)</f>
        <v/>
      </c>
      <c r="M34" s="115">
        <f>ROUND(J34*10,0)</f>
        <v/>
      </c>
    </row>
    <row r="35" ht="15" customHeight="1" s="116">
      <c r="A35" s="128" t="inlineStr">
        <is>
          <t>Sucata Enferrujada</t>
        </is>
      </c>
      <c r="B35" s="128" t="inlineStr">
        <is>
          <t>Cetro</t>
        </is>
      </c>
      <c r="C35" s="128" t="inlineStr">
        <is>
          <t>Cetro de Sucata</t>
        </is>
      </c>
      <c r="D35" s="135" t="n"/>
      <c r="E35" s="128" t="inlineStr">
        <is>
          <t>Vara de metal com um cristal quebrado preso na ponta.</t>
        </is>
      </c>
      <c r="F35" s="128">
        <f>INDEX(Tiers!$G$9:$G$22,MATCH($A35,Tiers!$B$9:$B$22,0))</f>
        <v/>
      </c>
      <c r="G35" s="128">
        <f>INDEX(Tiers!$H$9:$H$22,MATCH($A35,Tiers!$B$9:$B$22,0))</f>
        <v/>
      </c>
      <c r="H35" s="128">
        <f>INDEX($B$5:$B$11,MATCH($B35,$A$5:$A$11,0))</f>
        <v/>
      </c>
      <c r="I35" s="153">
        <f>ROUND(F35*H35*K35,0)</f>
        <v/>
      </c>
      <c r="J35" s="153">
        <f>ROUND(G35*H35*K35,0)</f>
        <v/>
      </c>
      <c r="K35" s="154" t="n">
        <v>1</v>
      </c>
      <c r="L35" s="115">
        <f>ROUND(I35*8,0)</f>
        <v/>
      </c>
      <c r="M35" s="115">
        <f>ROUND(J35*10,0)</f>
        <v/>
      </c>
    </row>
    <row r="36" ht="15" customHeight="1" s="116">
      <c r="A36" s="128" t="inlineStr">
        <is>
          <t>Sucata Enferrujada</t>
        </is>
      </c>
      <c r="B36" s="128" t="inlineStr">
        <is>
          <t>Cetro</t>
        </is>
      </c>
      <c r="C36" s="128" t="inlineStr">
        <is>
          <t>Cetro Rachado</t>
        </is>
      </c>
      <c r="D36" s="135" t="n"/>
      <c r="E36" s="128" t="inlineStr">
        <is>
          <t>O cristal tá trincado. Ainda assim, funciona.</t>
        </is>
      </c>
      <c r="F36" s="128">
        <f>INDEX(Tiers!$G$9:$G$22,MATCH($A36,Tiers!$B$9:$B$22,0))</f>
        <v/>
      </c>
      <c r="G36" s="128">
        <f>INDEX(Tiers!$H$9:$H$22,MATCH($A36,Tiers!$B$9:$B$22,0))</f>
        <v/>
      </c>
      <c r="H36" s="128">
        <f>INDEX($B$5:$B$11,MATCH($B36,$A$5:$A$11,0))</f>
        <v/>
      </c>
      <c r="I36" s="153">
        <f>ROUND(F36*H36*K36,0)</f>
        <v/>
      </c>
      <c r="J36" s="153">
        <f>ROUND(G36*H36*K36,0)</f>
        <v/>
      </c>
      <c r="K36" s="154" t="n">
        <v>1</v>
      </c>
      <c r="L36" s="115">
        <f>ROUND(I36*8,0)</f>
        <v/>
      </c>
      <c r="M36" s="115">
        <f>ROUND(J36*10,0)</f>
        <v/>
      </c>
    </row>
    <row r="37" ht="15" customHeight="1" s="116">
      <c r="A37" s="128" t="inlineStr">
        <is>
          <t>Bronze</t>
        </is>
      </c>
      <c r="B37" s="128" t="inlineStr">
        <is>
          <t>Espada</t>
        </is>
      </c>
      <c r="C37" s="128" t="inlineStr">
        <is>
          <t>Espada de Bronze</t>
        </is>
      </c>
      <c r="D37" s="135" t="n"/>
      <c r="E37" s="128" t="inlineStr">
        <is>
          <t>Fundida em molde de areia, ainda cheira a fumaça da forja.</t>
        </is>
      </c>
      <c r="F37" s="128">
        <f>INDEX(Tiers!$G$9:$G$22,MATCH($A37,Tiers!$B$9:$B$22,0))</f>
        <v/>
      </c>
      <c r="G37" s="128">
        <f>INDEX(Tiers!$H$9:$H$22,MATCH($A37,Tiers!$B$9:$B$22,0))</f>
        <v/>
      </c>
      <c r="H37" s="128">
        <f>INDEX($B$5:$B$11,MATCH($B37,$A$5:$A$11,0))</f>
        <v/>
      </c>
      <c r="I37" s="153">
        <f>ROUND(F37*H37*K37,0)</f>
        <v/>
      </c>
      <c r="J37" s="153">
        <f>ROUND(G37*H37*K37,0)</f>
        <v/>
      </c>
      <c r="K37" s="154" t="n">
        <v>1</v>
      </c>
      <c r="L37" s="115">
        <f>ROUND(I37*8,0)</f>
        <v/>
      </c>
      <c r="M37" s="115">
        <f>ROUND(J37*10,0)</f>
        <v/>
      </c>
    </row>
    <row r="38" ht="15" customHeight="1" s="116">
      <c r="A38" s="128" t="inlineStr">
        <is>
          <t>Bronze</t>
        </is>
      </c>
      <c r="B38" s="128" t="inlineStr">
        <is>
          <t>Espada</t>
        </is>
      </c>
      <c r="C38" s="128" t="inlineStr">
        <is>
          <t>Espada da Guilda</t>
        </is>
      </c>
      <c r="D38" s="135" t="n"/>
      <c r="E38" s="128" t="inlineStr">
        <is>
          <t>Gravada com o selo dos Picaretas Negros — paga o dobro em juros de sangue.</t>
        </is>
      </c>
      <c r="F38" s="128">
        <f>INDEX(Tiers!$G$9:$G$22,MATCH($A38,Tiers!$B$9:$B$22,0))</f>
        <v/>
      </c>
      <c r="G38" s="128">
        <f>INDEX(Tiers!$H$9:$H$22,MATCH($A38,Tiers!$B$9:$B$22,0))</f>
        <v/>
      </c>
      <c r="H38" s="128">
        <f>INDEX($B$5:$B$11,MATCH($B38,$A$5:$A$11,0))</f>
        <v/>
      </c>
      <c r="I38" s="153">
        <f>ROUND(F38*H38*K38,0)</f>
        <v/>
      </c>
      <c r="J38" s="153">
        <f>ROUND(G38*H38*K38,0)</f>
        <v/>
      </c>
      <c r="K38" s="154" t="n">
        <v>1</v>
      </c>
      <c r="L38" s="115">
        <f>ROUND(I38*8,0)</f>
        <v/>
      </c>
      <c r="M38" s="115">
        <f>ROUND(J38*10,0)</f>
        <v/>
      </c>
    </row>
    <row r="39" ht="15" customHeight="1" s="116">
      <c r="A39" s="128" t="inlineStr">
        <is>
          <t>Bronze</t>
        </is>
      </c>
      <c r="B39" s="128" t="inlineStr">
        <is>
          <t>Espada</t>
        </is>
      </c>
      <c r="C39" s="128" t="inlineStr">
        <is>
          <t>Espada Presa em Correntes</t>
        </is>
      </c>
      <c r="D39" s="135" t="n"/>
      <c r="E39" s="128" t="inlineStr">
        <is>
          <t>Vinha acorrentada num carregamento que nunca chegou ao destino.</t>
        </is>
      </c>
      <c r="F39" s="128">
        <f>INDEX(Tiers!$G$9:$G$22,MATCH($A39,Tiers!$B$9:$B$22,0))</f>
        <v/>
      </c>
      <c r="G39" s="128">
        <f>INDEX(Tiers!$H$9:$H$22,MATCH($A39,Tiers!$B$9:$B$22,0))</f>
        <v/>
      </c>
      <c r="H39" s="128">
        <f>INDEX($B$5:$B$11,MATCH($B39,$A$5:$A$11,0))</f>
        <v/>
      </c>
      <c r="I39" s="153">
        <f>ROUND(F39*H39*K39,0)</f>
        <v/>
      </c>
      <c r="J39" s="153">
        <f>ROUND(G39*H39*K39,0)</f>
        <v/>
      </c>
      <c r="K39" s="154" t="n">
        <v>1</v>
      </c>
      <c r="L39" s="115">
        <f>ROUND(I39*8,0)</f>
        <v/>
      </c>
      <c r="M39" s="115">
        <f>ROUND(J39*10,0)</f>
        <v/>
      </c>
    </row>
    <row r="40" ht="15" customHeight="1" s="116">
      <c r="A40" s="128" t="inlineStr">
        <is>
          <t>Bronze</t>
        </is>
      </c>
      <c r="B40" s="128" t="inlineStr">
        <is>
          <t>Espada</t>
        </is>
      </c>
      <c r="C40" s="128" t="inlineStr">
        <is>
          <t>Espada de Fundição Rápida</t>
        </is>
      </c>
      <c r="D40" s="135" t="n"/>
      <c r="E40" s="128" t="inlineStr">
        <is>
          <t>Esfriou rápido demais pra ficar boa — mas ficou afiada.</t>
        </is>
      </c>
      <c r="F40" s="128">
        <f>INDEX(Tiers!$G$9:$G$22,MATCH($A40,Tiers!$B$9:$B$22,0))</f>
        <v/>
      </c>
      <c r="G40" s="128">
        <f>INDEX(Tiers!$H$9:$H$22,MATCH($A40,Tiers!$B$9:$B$22,0))</f>
        <v/>
      </c>
      <c r="H40" s="128">
        <f>INDEX($B$5:$B$11,MATCH($B40,$A$5:$A$11,0))</f>
        <v/>
      </c>
      <c r="I40" s="153">
        <f>ROUND(F40*H40*K40,0)</f>
        <v/>
      </c>
      <c r="J40" s="153">
        <f>ROUND(G40*H40*K40,0)</f>
        <v/>
      </c>
      <c r="K40" s="154" t="n">
        <v>1</v>
      </c>
      <c r="L40" s="115">
        <f>ROUND(I40*8,0)</f>
        <v/>
      </c>
      <c r="M40" s="115">
        <f>ROUND(J40*10,0)</f>
        <v/>
      </c>
    </row>
    <row r="41" ht="15" customHeight="1" s="116">
      <c r="A41" s="128" t="inlineStr">
        <is>
          <t>Bronze</t>
        </is>
      </c>
      <c r="B41" s="128" t="inlineStr">
        <is>
          <t>Machado</t>
        </is>
      </c>
      <c r="C41" s="128" t="inlineStr">
        <is>
          <t>Machado de Bronze</t>
        </is>
      </c>
      <c r="D41" s="135" t="n"/>
      <c r="E41" s="128" t="inlineStr">
        <is>
          <t>Peso justo pra quebrar rocha ou crânio, sem preferência.</t>
        </is>
      </c>
      <c r="F41" s="128">
        <f>INDEX(Tiers!$G$9:$G$22,MATCH($A41,Tiers!$B$9:$B$22,0))</f>
        <v/>
      </c>
      <c r="G41" s="128">
        <f>INDEX(Tiers!$H$9:$H$22,MATCH($A41,Tiers!$B$9:$B$22,0))</f>
        <v/>
      </c>
      <c r="H41" s="128">
        <f>INDEX($B$5:$B$11,MATCH($B41,$A$5:$A$11,0))</f>
        <v/>
      </c>
      <c r="I41" s="153">
        <f>ROUND(F41*H41*K41,0)</f>
        <v/>
      </c>
      <c r="J41" s="153">
        <f>ROUND(G41*H41*K41,0)</f>
        <v/>
      </c>
      <c r="K41" s="154" t="n">
        <v>1</v>
      </c>
      <c r="L41" s="115">
        <f>ROUND(I41*8,0)</f>
        <v/>
      </c>
      <c r="M41" s="115">
        <f>ROUND(J41*10,0)</f>
        <v/>
      </c>
    </row>
    <row r="42" ht="15" customHeight="1" s="116">
      <c r="A42" s="128" t="inlineStr">
        <is>
          <t>Bronze</t>
        </is>
      </c>
      <c r="B42" s="128" t="inlineStr">
        <is>
          <t>Machado</t>
        </is>
      </c>
      <c r="C42" s="128" t="inlineStr">
        <is>
          <t>Machado de Mineiro Adaptado</t>
        </is>
      </c>
      <c r="D42" s="135" t="n"/>
      <c r="E42" s="128" t="inlineStr">
        <is>
          <t>Trocou pedra por carne no dia em que os túneis pararam de ser seguros.</t>
        </is>
      </c>
      <c r="F42" s="128">
        <f>INDEX(Tiers!$G$9:$G$22,MATCH($A42,Tiers!$B$9:$B$22,0))</f>
        <v/>
      </c>
      <c r="G42" s="128">
        <f>INDEX(Tiers!$H$9:$H$22,MATCH($A42,Tiers!$B$9:$B$22,0))</f>
        <v/>
      </c>
      <c r="H42" s="128">
        <f>INDEX($B$5:$B$11,MATCH($B42,$A$5:$A$11,0))</f>
        <v/>
      </c>
      <c r="I42" s="153">
        <f>ROUND(F42*H42*K42,0)</f>
        <v/>
      </c>
      <c r="J42" s="153">
        <f>ROUND(G42*H42*K42,0)</f>
        <v/>
      </c>
      <c r="K42" s="154" t="n">
        <v>1</v>
      </c>
      <c r="L42" s="115">
        <f>ROUND(I42*8,0)</f>
        <v/>
      </c>
      <c r="M42" s="115">
        <f>ROUND(J42*10,0)</f>
        <v/>
      </c>
    </row>
    <row r="43" ht="15" customHeight="1" s="116">
      <c r="A43" s="128" t="inlineStr">
        <is>
          <t>Bronze</t>
        </is>
      </c>
      <c r="B43" s="128" t="inlineStr">
        <is>
          <t>Machado</t>
        </is>
      </c>
      <c r="C43" s="128" t="inlineStr">
        <is>
          <t>Machado com Cabo de Cobre</t>
        </is>
      </c>
      <c r="D43" s="135" t="n"/>
      <c r="E43" s="128" t="inlineStr">
        <is>
          <t>O metal do cabo range a cada golpe, como se reclamasse do trabalho extra.</t>
        </is>
      </c>
      <c r="F43" s="128">
        <f>INDEX(Tiers!$G$9:$G$22,MATCH($A43,Tiers!$B$9:$B$22,0))</f>
        <v/>
      </c>
      <c r="G43" s="128">
        <f>INDEX(Tiers!$H$9:$H$22,MATCH($A43,Tiers!$B$9:$B$22,0))</f>
        <v/>
      </c>
      <c r="H43" s="128">
        <f>INDEX($B$5:$B$11,MATCH($B43,$A$5:$A$11,0))</f>
        <v/>
      </c>
      <c r="I43" s="153">
        <f>ROUND(F43*H43*K43,0)</f>
        <v/>
      </c>
      <c r="J43" s="153">
        <f>ROUND(G43*H43*K43,0)</f>
        <v/>
      </c>
      <c r="K43" s="154" t="n">
        <v>1</v>
      </c>
      <c r="L43" s="115">
        <f>ROUND(I43*8,0)</f>
        <v/>
      </c>
      <c r="M43" s="115">
        <f>ROUND(J43*10,0)</f>
        <v/>
      </c>
    </row>
    <row r="44" ht="15" customHeight="1" s="116">
      <c r="A44" s="128" t="inlineStr">
        <is>
          <t>Bronze</t>
        </is>
      </c>
      <c r="B44" s="128" t="inlineStr">
        <is>
          <t>Machado</t>
        </is>
      </c>
      <c r="C44" s="128" t="inlineStr">
        <is>
          <t>Machado Selado da Guilda</t>
        </is>
      </c>
      <c r="D44" s="135" t="n"/>
      <c r="E44" s="128" t="inlineStr">
        <is>
          <t>Marcado com o número do lote — ninguém decorou o nome de quem forjou.</t>
        </is>
      </c>
      <c r="F44" s="128">
        <f>INDEX(Tiers!$G$9:$G$22,MATCH($A44,Tiers!$B$9:$B$22,0))</f>
        <v/>
      </c>
      <c r="G44" s="128">
        <f>INDEX(Tiers!$H$9:$H$22,MATCH($A44,Tiers!$B$9:$B$22,0))</f>
        <v/>
      </c>
      <c r="H44" s="128">
        <f>INDEX($B$5:$B$11,MATCH($B44,$A$5:$A$11,0))</f>
        <v/>
      </c>
      <c r="I44" s="153">
        <f>ROUND(F44*H44*K44,0)</f>
        <v/>
      </c>
      <c r="J44" s="153">
        <f>ROUND(G44*H44*K44,0)</f>
        <v/>
      </c>
      <c r="K44" s="154" t="n">
        <v>1</v>
      </c>
      <c r="L44" s="115">
        <f>ROUND(I44*8,0)</f>
        <v/>
      </c>
      <c r="M44" s="115">
        <f>ROUND(J44*10,0)</f>
        <v/>
      </c>
    </row>
    <row r="45" ht="15" customHeight="1" s="116">
      <c r="A45" s="128" t="inlineStr">
        <is>
          <t>Bronze</t>
        </is>
      </c>
      <c r="B45" s="128" t="inlineStr">
        <is>
          <t>Arco</t>
        </is>
      </c>
      <c r="C45" s="128" t="inlineStr">
        <is>
          <t>Arco de Bronze</t>
        </is>
      </c>
      <c r="D45" s="135" t="n"/>
      <c r="E45" s="128" t="inlineStr">
        <is>
          <t>Curvado à mão, sem pressa — dura mais que a paciência do Barão.</t>
        </is>
      </c>
      <c r="F45" s="128">
        <f>INDEX(Tiers!$G$9:$G$22,MATCH($A45,Tiers!$B$9:$B$22,0))</f>
        <v/>
      </c>
      <c r="G45" s="128">
        <f>INDEX(Tiers!$H$9:$H$22,MATCH($A45,Tiers!$B$9:$B$22,0))</f>
        <v/>
      </c>
      <c r="H45" s="128">
        <f>INDEX($B$5:$B$11,MATCH($B45,$A$5:$A$11,0))</f>
        <v/>
      </c>
      <c r="I45" s="153">
        <f>ROUND(F45*H45*K45,0)</f>
        <v/>
      </c>
      <c r="J45" s="153">
        <f>ROUND(G45*H45*K45,0)</f>
        <v/>
      </c>
      <c r="K45" s="154" t="n">
        <v>1</v>
      </c>
      <c r="L45" s="115">
        <f>ROUND(I45*8,0)</f>
        <v/>
      </c>
      <c r="M45" s="115">
        <f>ROUND(J45*10,0)</f>
        <v/>
      </c>
    </row>
    <row r="46" ht="15" customHeight="1" s="116">
      <c r="A46" s="128" t="inlineStr">
        <is>
          <t>Bronze</t>
        </is>
      </c>
      <c r="B46" s="128" t="inlineStr">
        <is>
          <t>Arco</t>
        </is>
      </c>
      <c r="C46" s="128" t="inlineStr">
        <is>
          <t>Arco de Cordas de Aranha</t>
        </is>
      </c>
      <c r="D46" s="135" t="n"/>
      <c r="E46" s="128" t="inlineStr">
        <is>
          <t>As cordas vêm da colônia da mina — resistentes, e um pouco pegajosas.</t>
        </is>
      </c>
      <c r="F46" s="128">
        <f>INDEX(Tiers!$G$9:$G$22,MATCH($A46,Tiers!$B$9:$B$22,0))</f>
        <v/>
      </c>
      <c r="G46" s="128">
        <f>INDEX(Tiers!$H$9:$H$22,MATCH($A46,Tiers!$B$9:$B$22,0))</f>
        <v/>
      </c>
      <c r="H46" s="128">
        <f>INDEX($B$5:$B$11,MATCH($B46,$A$5:$A$11,0))</f>
        <v/>
      </c>
      <c r="I46" s="153">
        <f>ROUND(F46*H46*K46,0)</f>
        <v/>
      </c>
      <c r="J46" s="153">
        <f>ROUND(G46*H46*K46,0)</f>
        <v/>
      </c>
      <c r="K46" s="154" t="n">
        <v>1</v>
      </c>
      <c r="L46" s="115">
        <f>ROUND(I46*8,0)</f>
        <v/>
      </c>
      <c r="M46" s="115">
        <f>ROUND(J46*10,0)</f>
        <v/>
      </c>
    </row>
    <row r="47" ht="15" customHeight="1" s="116">
      <c r="A47" s="128" t="inlineStr">
        <is>
          <t>Bronze</t>
        </is>
      </c>
      <c r="B47" s="128" t="inlineStr">
        <is>
          <t>Arco</t>
        </is>
      </c>
      <c r="C47" s="128" t="inlineStr">
        <is>
          <t>Arco do Vigia do Poço</t>
        </is>
      </c>
      <c r="D47" s="135" t="n"/>
      <c r="E47" s="128" t="inlineStr">
        <is>
          <t>Usado por quem ficava de guarda no poço inundado, antes de pararem de mandar guardas.</t>
        </is>
      </c>
      <c r="F47" s="128">
        <f>INDEX(Tiers!$G$9:$G$22,MATCH($A47,Tiers!$B$9:$B$22,0))</f>
        <v/>
      </c>
      <c r="G47" s="128">
        <f>INDEX(Tiers!$H$9:$H$22,MATCH($A47,Tiers!$B$9:$B$22,0))</f>
        <v/>
      </c>
      <c r="H47" s="128">
        <f>INDEX($B$5:$B$11,MATCH($B47,$A$5:$A$11,0))</f>
        <v/>
      </c>
      <c r="I47" s="153">
        <f>ROUND(F47*H47*K47,0)</f>
        <v/>
      </c>
      <c r="J47" s="153">
        <f>ROUND(G47*H47*K47,0)</f>
        <v/>
      </c>
      <c r="K47" s="154" t="n">
        <v>1</v>
      </c>
      <c r="L47" s="115">
        <f>ROUND(I47*8,0)</f>
        <v/>
      </c>
      <c r="M47" s="115">
        <f>ROUND(J47*10,0)</f>
        <v/>
      </c>
    </row>
    <row r="48" ht="15" customHeight="1" s="116">
      <c r="A48" s="128" t="inlineStr">
        <is>
          <t>Bronze</t>
        </is>
      </c>
      <c r="B48" s="128" t="inlineStr">
        <is>
          <t>Arco</t>
        </is>
      </c>
      <c r="C48" s="128" t="inlineStr">
        <is>
          <t>Arco Encordoado a Pressa</t>
        </is>
      </c>
      <c r="D48" s="135" t="n"/>
      <c r="E48" s="128" t="inlineStr">
        <is>
          <t>Corda trocada rápido demais pra ficar perfeita.</t>
        </is>
      </c>
      <c r="F48" s="128">
        <f>INDEX(Tiers!$G$9:$G$22,MATCH($A48,Tiers!$B$9:$B$22,0))</f>
        <v/>
      </c>
      <c r="G48" s="128">
        <f>INDEX(Tiers!$H$9:$H$22,MATCH($A48,Tiers!$B$9:$B$22,0))</f>
        <v/>
      </c>
      <c r="H48" s="128">
        <f>INDEX($B$5:$B$11,MATCH($B48,$A$5:$A$11,0))</f>
        <v/>
      </c>
      <c r="I48" s="153">
        <f>ROUND(F48*H48*K48,0)</f>
        <v/>
      </c>
      <c r="J48" s="153">
        <f>ROUND(G48*H48*K48,0)</f>
        <v/>
      </c>
      <c r="K48" s="154" t="n">
        <v>1</v>
      </c>
      <c r="L48" s="115">
        <f>ROUND(I48*8,0)</f>
        <v/>
      </c>
      <c r="M48" s="115">
        <f>ROUND(J48*10,0)</f>
        <v/>
      </c>
    </row>
    <row r="49" ht="15" customHeight="1" s="116">
      <c r="A49" s="128" t="inlineStr">
        <is>
          <t>Bronze</t>
        </is>
      </c>
      <c r="B49" s="128" t="inlineStr">
        <is>
          <t>Adaga</t>
        </is>
      </c>
      <c r="C49" s="128" t="inlineStr">
        <is>
          <t>Adaga de Bronze</t>
        </is>
      </c>
      <c r="D49" s="135" t="n"/>
      <c r="E49" s="128" t="inlineStr">
        <is>
          <t>Pequena, mas o suficiente pra quem trabalha de perto.</t>
        </is>
      </c>
      <c r="F49" s="128">
        <f>INDEX(Tiers!$G$9:$G$22,MATCH($A49,Tiers!$B$9:$B$22,0))</f>
        <v/>
      </c>
      <c r="G49" s="128">
        <f>INDEX(Tiers!$H$9:$H$22,MATCH($A49,Tiers!$B$9:$B$22,0))</f>
        <v/>
      </c>
      <c r="H49" s="128">
        <f>INDEX($B$5:$B$11,MATCH($B49,$A$5:$A$11,0))</f>
        <v/>
      </c>
      <c r="I49" s="153">
        <f>ROUND(F49*H49*K49,0)</f>
        <v/>
      </c>
      <c r="J49" s="153">
        <f>ROUND(G49*H49*K49,0)</f>
        <v/>
      </c>
      <c r="K49" s="154" t="n">
        <v>1</v>
      </c>
      <c r="L49" s="115">
        <f>ROUND(I49*8,0)</f>
        <v/>
      </c>
      <c r="M49" s="115">
        <f>ROUND(J49*10,0)</f>
        <v/>
      </c>
    </row>
    <row r="50" ht="15" customHeight="1" s="116">
      <c r="A50" s="128" t="inlineStr">
        <is>
          <t>Bronze</t>
        </is>
      </c>
      <c r="B50" s="128" t="inlineStr">
        <is>
          <t>Adaga</t>
        </is>
      </c>
      <c r="C50" s="128" t="inlineStr">
        <is>
          <t>Adaga de Escrivão</t>
        </is>
      </c>
      <c r="D50" s="135" t="n"/>
      <c r="E50" s="128" t="inlineStr">
        <is>
          <t>Servia pra abrir cartas de cobrança. Agora abre outra coisa.</t>
        </is>
      </c>
      <c r="F50" s="128">
        <f>INDEX(Tiers!$G$9:$G$22,MATCH($A50,Tiers!$B$9:$B$22,0))</f>
        <v/>
      </c>
      <c r="G50" s="128">
        <f>INDEX(Tiers!$H$9:$H$22,MATCH($A50,Tiers!$B$9:$B$22,0))</f>
        <v/>
      </c>
      <c r="H50" s="128">
        <f>INDEX($B$5:$B$11,MATCH($B50,$A$5:$A$11,0))</f>
        <v/>
      </c>
      <c r="I50" s="153">
        <f>ROUND(F50*H50*K50,0)</f>
        <v/>
      </c>
      <c r="J50" s="153">
        <f>ROUND(G50*H50*K50,0)</f>
        <v/>
      </c>
      <c r="K50" s="154" t="n">
        <v>1</v>
      </c>
      <c r="L50" s="115">
        <f>ROUND(I50*8,0)</f>
        <v/>
      </c>
      <c r="M50" s="115">
        <f>ROUND(J50*10,0)</f>
        <v/>
      </c>
    </row>
    <row r="51" ht="15" customHeight="1" s="116">
      <c r="A51" s="128" t="inlineStr">
        <is>
          <t>Bronze</t>
        </is>
      </c>
      <c r="B51" s="128" t="inlineStr">
        <is>
          <t>Adaga</t>
        </is>
      </c>
      <c r="C51" s="128" t="inlineStr">
        <is>
          <t>Adaga Presa ao Cinto do Capataz</t>
        </is>
      </c>
      <c r="D51" s="135" t="n"/>
      <c r="E51" s="128" t="inlineStr">
        <is>
          <t>Ninguém perguntou como ela mudou de dono.</t>
        </is>
      </c>
      <c r="F51" s="128">
        <f>INDEX(Tiers!$G$9:$G$22,MATCH($A51,Tiers!$B$9:$B$22,0))</f>
        <v/>
      </c>
      <c r="G51" s="128">
        <f>INDEX(Tiers!$H$9:$H$22,MATCH($A51,Tiers!$B$9:$B$22,0))</f>
        <v/>
      </c>
      <c r="H51" s="128">
        <f>INDEX($B$5:$B$11,MATCH($B51,$A$5:$A$11,0))</f>
        <v/>
      </c>
      <c r="I51" s="153">
        <f>ROUND(F51*H51*K51,0)</f>
        <v/>
      </c>
      <c r="J51" s="153">
        <f>ROUND(G51*H51*K51,0)</f>
        <v/>
      </c>
      <c r="K51" s="154" t="n">
        <v>1</v>
      </c>
      <c r="L51" s="115">
        <f>ROUND(I51*8,0)</f>
        <v/>
      </c>
      <c r="M51" s="115">
        <f>ROUND(J51*10,0)</f>
        <v/>
      </c>
    </row>
    <row r="52" ht="15" customHeight="1" s="116">
      <c r="A52" s="128" t="inlineStr">
        <is>
          <t>Bronze</t>
        </is>
      </c>
      <c r="B52" s="128" t="inlineStr">
        <is>
          <t>Maca</t>
        </is>
      </c>
      <c r="C52" s="128" t="inlineStr">
        <is>
          <t>Maça de Bronze</t>
        </is>
      </c>
      <c r="D52" s="135" t="n"/>
      <c r="E52" s="128" t="inlineStr">
        <is>
          <t>Cabeça maciça, sem enfeite — a Guilda não paga por estética.</t>
        </is>
      </c>
      <c r="F52" s="128">
        <f>INDEX(Tiers!$G$9:$G$22,MATCH($A52,Tiers!$B$9:$B$22,0))</f>
        <v/>
      </c>
      <c r="G52" s="128">
        <f>INDEX(Tiers!$H$9:$H$22,MATCH($A52,Tiers!$B$9:$B$22,0))</f>
        <v/>
      </c>
      <c r="H52" s="128">
        <f>INDEX($B$5:$B$11,MATCH($B52,$A$5:$A$11,0))</f>
        <v/>
      </c>
      <c r="I52" s="153">
        <f>ROUND(F52*H52*K52,0)</f>
        <v/>
      </c>
      <c r="J52" s="153">
        <f>ROUND(G52*H52*K52,0)</f>
        <v/>
      </c>
      <c r="K52" s="154" t="n">
        <v>1</v>
      </c>
      <c r="L52" s="115">
        <f>ROUND(I52*8,0)</f>
        <v/>
      </c>
      <c r="M52" s="115">
        <f>ROUND(J52*10,0)</f>
        <v/>
      </c>
    </row>
    <row r="53" ht="15" customHeight="1" s="116">
      <c r="A53" s="128" t="inlineStr">
        <is>
          <t>Bronze</t>
        </is>
      </c>
      <c r="B53" s="128" t="inlineStr">
        <is>
          <t>Maca</t>
        </is>
      </c>
      <c r="C53" s="128" t="inlineStr">
        <is>
          <t>Maça de Picareta Adaptada</t>
        </is>
      </c>
      <c r="D53" s="135" t="inlineStr">
        <is>
          <t>Atordoamento</t>
        </is>
      </c>
      <c r="E53" s="128" t="inlineStr">
        <is>
          <t>Era ferramenta de mina. Continua sendo, só que agora a rocha sangra.</t>
        </is>
      </c>
      <c r="F53" s="128">
        <f>INDEX(Tiers!$G$9:$G$22,MATCH($A53,Tiers!$B$9:$B$22,0))</f>
        <v/>
      </c>
      <c r="G53" s="128">
        <f>INDEX(Tiers!$H$9:$H$22,MATCH($A53,Tiers!$B$9:$B$22,0))</f>
        <v/>
      </c>
      <c r="H53" s="128">
        <f>INDEX($B$5:$B$11,MATCH($B53,$A$5:$A$11,0))</f>
        <v/>
      </c>
      <c r="I53" s="153">
        <f>ROUND(F53*H53*K53,0)</f>
        <v/>
      </c>
      <c r="J53" s="153">
        <f>ROUND(G53*H53*K53,0)</f>
        <v/>
      </c>
      <c r="K53" s="154" t="n">
        <v>0.96</v>
      </c>
      <c r="L53" s="115">
        <f>ROUND(I53*8,0)</f>
        <v/>
      </c>
      <c r="M53" s="115">
        <f>ROUND(J53*10,0)</f>
        <v/>
      </c>
    </row>
    <row r="54" ht="15" customHeight="1" s="116">
      <c r="A54" s="128" t="inlineStr">
        <is>
          <t>Bronze</t>
        </is>
      </c>
      <c r="B54" s="128" t="inlineStr">
        <is>
          <t>Maca</t>
        </is>
      </c>
      <c r="C54" s="128" t="inlineStr">
        <is>
          <t>Maça do Peso Justo</t>
        </is>
      </c>
      <c r="D54" s="135" t="n"/>
      <c r="E54" s="128" t="inlineStr">
        <is>
          <t>Calibrada pra render o máximo de dano por moeda gasta na forja.</t>
        </is>
      </c>
      <c r="F54" s="128">
        <f>INDEX(Tiers!$G$9:$G$22,MATCH($A54,Tiers!$B$9:$B$22,0))</f>
        <v/>
      </c>
      <c r="G54" s="128">
        <f>INDEX(Tiers!$H$9:$H$22,MATCH($A54,Tiers!$B$9:$B$22,0))</f>
        <v/>
      </c>
      <c r="H54" s="128">
        <f>INDEX($B$5:$B$11,MATCH($B54,$A$5:$A$11,0))</f>
        <v/>
      </c>
      <c r="I54" s="153">
        <f>ROUND(F54*H54*K54,0)</f>
        <v/>
      </c>
      <c r="J54" s="153">
        <f>ROUND(G54*H54*K54,0)</f>
        <v/>
      </c>
      <c r="K54" s="154" t="n">
        <v>1</v>
      </c>
      <c r="L54" s="115">
        <f>ROUND(I54*8,0)</f>
        <v/>
      </c>
      <c r="M54" s="115">
        <f>ROUND(J54*10,0)</f>
        <v/>
      </c>
    </row>
    <row r="55" ht="15" customHeight="1" s="116">
      <c r="A55" s="128" t="inlineStr">
        <is>
          <t>Bronze</t>
        </is>
      </c>
      <c r="B55" s="128" t="inlineStr">
        <is>
          <t>Manopla</t>
        </is>
      </c>
      <c r="C55" s="128" t="inlineStr">
        <is>
          <t>Manopla de Bronze</t>
        </is>
      </c>
      <c r="D55" s="135" t="n"/>
      <c r="E55" s="128" t="inlineStr">
        <is>
          <t>Nós reforçados, prontos pro trabalho — ou pra briga.</t>
        </is>
      </c>
      <c r="F55" s="128">
        <f>INDEX(Tiers!$G$9:$G$22,MATCH($A55,Tiers!$B$9:$B$22,0))</f>
        <v/>
      </c>
      <c r="G55" s="128">
        <f>INDEX(Tiers!$H$9:$H$22,MATCH($A55,Tiers!$B$9:$B$22,0))</f>
        <v/>
      </c>
      <c r="H55" s="128">
        <f>INDEX($B$5:$B$11,MATCH($B55,$A$5:$A$11,0))</f>
        <v/>
      </c>
      <c r="I55" s="153">
        <f>ROUND(F55*H55*K55,0)</f>
        <v/>
      </c>
      <c r="J55" s="153">
        <f>ROUND(G55*H55*K55,0)</f>
        <v/>
      </c>
      <c r="K55" s="154" t="n">
        <v>1</v>
      </c>
      <c r="L55" s="115">
        <f>ROUND(I55*8,0)</f>
        <v/>
      </c>
      <c r="M55" s="115">
        <f>ROUND(J55*10,0)</f>
        <v/>
      </c>
    </row>
    <row r="56" ht="15" customHeight="1" s="116">
      <c r="A56" s="128" t="inlineStr">
        <is>
          <t>Bronze</t>
        </is>
      </c>
      <c r="B56" s="128" t="inlineStr">
        <is>
          <t>Manopla</t>
        </is>
      </c>
      <c r="C56" s="128" t="inlineStr">
        <is>
          <t>Manopla de Corrente Curta</t>
        </is>
      </c>
      <c r="D56" s="135" t="inlineStr">
        <is>
          <t>Atordoamento</t>
        </is>
      </c>
      <c r="E56" s="128" t="inlineStr">
        <is>
          <t>Feita de elos de corrente cortados, ainda com marca de ferrugem.</t>
        </is>
      </c>
      <c r="F56" s="128">
        <f>INDEX(Tiers!$G$9:$G$22,MATCH($A56,Tiers!$B$9:$B$22,0))</f>
        <v/>
      </c>
      <c r="G56" s="128">
        <f>INDEX(Tiers!$H$9:$H$22,MATCH($A56,Tiers!$B$9:$B$22,0))</f>
        <v/>
      </c>
      <c r="H56" s="128">
        <f>INDEX($B$5:$B$11,MATCH($B56,$A$5:$A$11,0))</f>
        <v/>
      </c>
      <c r="I56" s="153">
        <f>ROUND(F56*H56*K56,0)</f>
        <v/>
      </c>
      <c r="J56" s="153">
        <f>ROUND(G56*H56*K56,0)</f>
        <v/>
      </c>
      <c r="K56" s="154" t="n">
        <v>0.97</v>
      </c>
      <c r="L56" s="115">
        <f>ROUND(I56*8,0)</f>
        <v/>
      </c>
      <c r="M56" s="115">
        <f>ROUND(J56*10,0)</f>
        <v/>
      </c>
    </row>
    <row r="57" ht="15" customHeight="1" s="116">
      <c r="A57" s="128" t="inlineStr">
        <is>
          <t>Bronze</t>
        </is>
      </c>
      <c r="B57" s="128" t="inlineStr">
        <is>
          <t>Cetro</t>
        </is>
      </c>
      <c r="C57" s="128" t="inlineStr">
        <is>
          <t>Cetro de Bronze</t>
        </is>
      </c>
      <c r="D57" s="135" t="n"/>
      <c r="E57" s="128" t="inlineStr">
        <is>
          <t>Vara maciça, sem gema — a Guilda nunca investiu em magia de verdade.</t>
        </is>
      </c>
      <c r="F57" s="128">
        <f>INDEX(Tiers!$G$9:$G$22,MATCH($A57,Tiers!$B$9:$B$22,0))</f>
        <v/>
      </c>
      <c r="G57" s="128">
        <f>INDEX(Tiers!$H$9:$H$22,MATCH($A57,Tiers!$B$9:$B$22,0))</f>
        <v/>
      </c>
      <c r="H57" s="128">
        <f>INDEX($B$5:$B$11,MATCH($B57,$A$5:$A$11,0))</f>
        <v/>
      </c>
      <c r="I57" s="153">
        <f>ROUND(F57*H57*K57,0)</f>
        <v/>
      </c>
      <c r="J57" s="153">
        <f>ROUND(G57*H57*K57,0)</f>
        <v/>
      </c>
      <c r="K57" s="154" t="n">
        <v>1</v>
      </c>
      <c r="L57" s="115">
        <f>ROUND(I57*8,0)</f>
        <v/>
      </c>
      <c r="M57" s="115">
        <f>ROUND(J57*10,0)</f>
        <v/>
      </c>
    </row>
    <row r="58" ht="15" customHeight="1" s="116">
      <c r="A58" s="128" t="inlineStr">
        <is>
          <t>Bronze</t>
        </is>
      </c>
      <c r="B58" s="128" t="inlineStr">
        <is>
          <t>Cetro</t>
        </is>
      </c>
      <c r="C58" s="128" t="inlineStr">
        <is>
          <t>Cetro do Contador da Guilda</t>
        </is>
      </c>
      <c r="D58" s="135" t="n"/>
      <c r="E58" s="128" t="inlineStr">
        <is>
          <t>Usado mais pra assinar contrato do que pra conjurar — mas funciona pros dois.</t>
        </is>
      </c>
      <c r="F58" s="128">
        <f>INDEX(Tiers!$G$9:$G$22,MATCH($A58,Tiers!$B$9:$B$22,0))</f>
        <v/>
      </c>
      <c r="G58" s="128">
        <f>INDEX(Tiers!$H$9:$H$22,MATCH($A58,Tiers!$B$9:$B$22,0))</f>
        <v/>
      </c>
      <c r="H58" s="128">
        <f>INDEX($B$5:$B$11,MATCH($B58,$A$5:$A$11,0))</f>
        <v/>
      </c>
      <c r="I58" s="153">
        <f>ROUND(F58*H58*K58,0)</f>
        <v/>
      </c>
      <c r="J58" s="153">
        <f>ROUND(G58*H58*K58,0)</f>
        <v/>
      </c>
      <c r="K58" s="154" t="n">
        <v>1</v>
      </c>
      <c r="L58" s="115">
        <f>ROUND(I58*8,0)</f>
        <v/>
      </c>
      <c r="M58" s="115">
        <f>ROUND(J58*10,0)</f>
        <v/>
      </c>
    </row>
    <row r="59" ht="15" customHeight="1" s="116">
      <c r="A59" s="128" t="inlineStr">
        <is>
          <t>Ferro</t>
        </is>
      </c>
      <c r="B59" s="128" t="inlineStr">
        <is>
          <t>Espada</t>
        </is>
      </c>
      <c r="C59" s="128" t="inlineStr">
        <is>
          <t>Espada de Ferro</t>
        </is>
      </c>
      <c r="D59" s="135" t="n"/>
      <c r="E59" s="128" t="inlineStr">
        <is>
          <t>Forjada em brasa pesada — sólida, confiável, sem enfeite.</t>
        </is>
      </c>
      <c r="F59" s="128">
        <f>INDEX(Tiers!$G$9:$G$22,MATCH($A59,Tiers!$B$9:$B$22,0))</f>
        <v/>
      </c>
      <c r="G59" s="128">
        <f>INDEX(Tiers!$H$9:$H$22,MATCH($A59,Tiers!$B$9:$B$22,0))</f>
        <v/>
      </c>
      <c r="H59" s="128">
        <f>INDEX($B$5:$B$11,MATCH($B59,$A$5:$A$11,0))</f>
        <v/>
      </c>
      <c r="I59" s="153">
        <f>ROUND(F59*H59*K59,0)</f>
        <v/>
      </c>
      <c r="J59" s="153">
        <f>ROUND(G59*H59*K59,0)</f>
        <v/>
      </c>
      <c r="K59" s="154" t="n">
        <v>1</v>
      </c>
      <c r="L59" s="115">
        <f>ROUND(I59*8,0)</f>
        <v/>
      </c>
      <c r="M59" s="115">
        <f>ROUND(J59*10,0)</f>
        <v/>
      </c>
    </row>
    <row r="60" ht="15" customHeight="1" s="116">
      <c r="A60" s="128" t="inlineStr">
        <is>
          <t>Ferro</t>
        </is>
      </c>
      <c r="B60" s="128" t="inlineStr">
        <is>
          <t>Espada</t>
        </is>
      </c>
      <c r="C60" s="128" t="inlineStr">
        <is>
          <t>Espada da Guarda Caída</t>
        </is>
      </c>
      <c r="D60" s="135" t="n"/>
      <c r="E60" s="128" t="inlineStr">
        <is>
          <t>Tem o brasão da guarda gravado, já quase apagado pelo tempo.</t>
        </is>
      </c>
      <c r="F60" s="128">
        <f>INDEX(Tiers!$G$9:$G$22,MATCH($A60,Tiers!$B$9:$B$22,0))</f>
        <v/>
      </c>
      <c r="G60" s="128">
        <f>INDEX(Tiers!$H$9:$H$22,MATCH($A60,Tiers!$B$9:$B$22,0))</f>
        <v/>
      </c>
      <c r="H60" s="128">
        <f>INDEX($B$5:$B$11,MATCH($B60,$A$5:$A$11,0))</f>
        <v/>
      </c>
      <c r="I60" s="153">
        <f>ROUND(F60*H60*K60,0)</f>
        <v/>
      </c>
      <c r="J60" s="153">
        <f>ROUND(G60*H60*K60,0)</f>
        <v/>
      </c>
      <c r="K60" s="154" t="n">
        <v>1</v>
      </c>
      <c r="L60" s="115">
        <f>ROUND(I60*8,0)</f>
        <v/>
      </c>
      <c r="M60" s="115">
        <f>ROUND(J60*10,0)</f>
        <v/>
      </c>
    </row>
    <row r="61" ht="15" customHeight="1" s="116">
      <c r="A61" s="128" t="inlineStr">
        <is>
          <t>Ferro</t>
        </is>
      </c>
      <c r="B61" s="128" t="inlineStr">
        <is>
          <t>Espada</t>
        </is>
      </c>
      <c r="C61" s="128" t="inlineStr">
        <is>
          <t>Espada Cravada na Pedra</t>
        </is>
      </c>
      <c r="D61" s="135" t="n"/>
      <c r="E61" s="128" t="inlineStr">
        <is>
          <t>Ficou presa numa rocha da forja por tempo demais — saiu, mas nunca mais brilhou igual.</t>
        </is>
      </c>
      <c r="F61" s="128">
        <f>INDEX(Tiers!$G$9:$G$22,MATCH($A61,Tiers!$B$9:$B$22,0))</f>
        <v/>
      </c>
      <c r="G61" s="128">
        <f>INDEX(Tiers!$H$9:$H$22,MATCH($A61,Tiers!$B$9:$B$22,0))</f>
        <v/>
      </c>
      <c r="H61" s="128">
        <f>INDEX($B$5:$B$11,MATCH($B61,$A$5:$A$11,0))</f>
        <v/>
      </c>
      <c r="I61" s="153">
        <f>ROUND(F61*H61*K61,0)</f>
        <v/>
      </c>
      <c r="J61" s="153">
        <f>ROUND(G61*H61*K61,0)</f>
        <v/>
      </c>
      <c r="K61" s="154" t="n">
        <v>1</v>
      </c>
      <c r="L61" s="115">
        <f>ROUND(I61*8,0)</f>
        <v/>
      </c>
      <c r="M61" s="115">
        <f>ROUND(J61*10,0)</f>
        <v/>
      </c>
    </row>
    <row r="62" ht="15" customHeight="1" s="116">
      <c r="A62" s="128" t="inlineStr">
        <is>
          <t>Ferro</t>
        </is>
      </c>
      <c r="B62" s="128" t="inlineStr">
        <is>
          <t>Espada</t>
        </is>
      </c>
      <c r="C62" s="128" t="inlineStr">
        <is>
          <t>Espada de Duelo</t>
        </is>
      </c>
      <c r="D62" s="135" t="n"/>
      <c r="E62" s="128" t="inlineStr">
        <is>
          <t>Fina o bastante pra impressionar, pesada o bastante pra matar.</t>
        </is>
      </c>
      <c r="F62" s="128">
        <f>INDEX(Tiers!$G$9:$G$22,MATCH($A62,Tiers!$B$9:$B$22,0))</f>
        <v/>
      </c>
      <c r="G62" s="128">
        <f>INDEX(Tiers!$H$9:$H$22,MATCH($A62,Tiers!$B$9:$B$22,0))</f>
        <v/>
      </c>
      <c r="H62" s="128">
        <f>INDEX($B$5:$B$11,MATCH($B62,$A$5:$A$11,0))</f>
        <v/>
      </c>
      <c r="I62" s="153">
        <f>ROUND(F62*H62*K62,0)</f>
        <v/>
      </c>
      <c r="J62" s="153">
        <f>ROUND(G62*H62*K62,0)</f>
        <v/>
      </c>
      <c r="K62" s="154" t="n">
        <v>1</v>
      </c>
      <c r="L62" s="115">
        <f>ROUND(I62*8,0)</f>
        <v/>
      </c>
      <c r="M62" s="115">
        <f>ROUND(J62*10,0)</f>
        <v/>
      </c>
    </row>
    <row r="63" ht="15" customHeight="1" s="116">
      <c r="A63" s="128" t="inlineStr">
        <is>
          <t>Ferro</t>
        </is>
      </c>
      <c r="B63" s="128" t="inlineStr">
        <is>
          <t>Machado</t>
        </is>
      </c>
      <c r="C63" s="128" t="inlineStr">
        <is>
          <t>Machado de Ferro</t>
        </is>
      </c>
      <c r="D63" s="135" t="n"/>
      <c r="E63" s="128" t="inlineStr">
        <is>
          <t>Peso confiável, sem segredo — corta o que a picareta não alcança.</t>
        </is>
      </c>
      <c r="F63" s="128">
        <f>INDEX(Tiers!$G$9:$G$22,MATCH($A63,Tiers!$B$9:$B$22,0))</f>
        <v/>
      </c>
      <c r="G63" s="128">
        <f>INDEX(Tiers!$H$9:$H$22,MATCH($A63,Tiers!$B$9:$B$22,0))</f>
        <v/>
      </c>
      <c r="H63" s="128">
        <f>INDEX($B$5:$B$11,MATCH($B63,$A$5:$A$11,0))</f>
        <v/>
      </c>
      <c r="I63" s="153">
        <f>ROUND(F63*H63*K63,0)</f>
        <v/>
      </c>
      <c r="J63" s="153">
        <f>ROUND(G63*H63*K63,0)</f>
        <v/>
      </c>
      <c r="K63" s="154" t="n">
        <v>1</v>
      </c>
      <c r="L63" s="115">
        <f>ROUND(I63*8,0)</f>
        <v/>
      </c>
      <c r="M63" s="115">
        <f>ROUND(J63*10,0)</f>
        <v/>
      </c>
    </row>
    <row r="64" ht="15" customHeight="1" s="116">
      <c r="A64" s="128" t="inlineStr">
        <is>
          <t>Ferro</t>
        </is>
      </c>
      <c r="B64" s="128" t="inlineStr">
        <is>
          <t>Machado</t>
        </is>
      </c>
      <c r="C64" s="128" t="inlineStr">
        <is>
          <t>Machado de Sentinela</t>
        </is>
      </c>
      <c r="D64" s="135" t="n"/>
      <c r="E64" s="128" t="inlineStr">
        <is>
          <t>Usado por quem ficava de guarda na muralha, antes da muralha cair.</t>
        </is>
      </c>
      <c r="F64" s="128">
        <f>INDEX(Tiers!$G$9:$G$22,MATCH($A64,Tiers!$B$9:$B$22,0))</f>
        <v/>
      </c>
      <c r="G64" s="128">
        <f>INDEX(Tiers!$H$9:$H$22,MATCH($A64,Tiers!$B$9:$B$22,0))</f>
        <v/>
      </c>
      <c r="H64" s="128">
        <f>INDEX($B$5:$B$11,MATCH($B64,$A$5:$A$11,0))</f>
        <v/>
      </c>
      <c r="I64" s="153">
        <f>ROUND(F64*H64*K64,0)</f>
        <v/>
      </c>
      <c r="J64" s="153">
        <f>ROUND(G64*H64*K64,0)</f>
        <v/>
      </c>
      <c r="K64" s="154" t="n">
        <v>1</v>
      </c>
      <c r="L64" s="115">
        <f>ROUND(I64*8,0)</f>
        <v/>
      </c>
      <c r="M64" s="115">
        <f>ROUND(J64*10,0)</f>
        <v/>
      </c>
    </row>
    <row r="65" ht="15" customHeight="1" s="116">
      <c r="A65" s="128" t="inlineStr">
        <is>
          <t>Ferro</t>
        </is>
      </c>
      <c r="B65" s="128" t="inlineStr">
        <is>
          <t>Machado</t>
        </is>
      </c>
      <c r="C65" s="128" t="inlineStr">
        <is>
          <t>Machado Perfurante</t>
        </is>
      </c>
      <c r="D65" s="135" t="inlineStr">
        <is>
          <t>Ignora Defesa</t>
        </is>
      </c>
      <c r="E65" s="128" t="inlineStr">
        <is>
          <t>Ponta fina o bastante pra passar entre placas de armadura.</t>
        </is>
      </c>
      <c r="F65" s="128">
        <f>INDEX(Tiers!$G$9:$G$22,MATCH($A65,Tiers!$B$9:$B$22,0))</f>
        <v/>
      </c>
      <c r="G65" s="128">
        <f>INDEX(Tiers!$H$9:$H$22,MATCH($A65,Tiers!$B$9:$B$22,0))</f>
        <v/>
      </c>
      <c r="H65" s="128">
        <f>INDEX($B$5:$B$11,MATCH($B65,$A$5:$A$11,0))</f>
        <v/>
      </c>
      <c r="I65" s="153">
        <f>ROUND(F65*H65*K65,0)</f>
        <v/>
      </c>
      <c r="J65" s="153">
        <f>ROUND(G65*H65*K65,0)</f>
        <v/>
      </c>
      <c r="K65" s="154" t="n">
        <v>0.96</v>
      </c>
      <c r="L65" s="115">
        <f>ROUND(I65*8,0)</f>
        <v/>
      </c>
      <c r="M65" s="115">
        <f>ROUND(J65*10,0)</f>
        <v/>
      </c>
    </row>
    <row r="66" ht="15" customHeight="1" s="116">
      <c r="A66" s="128" t="inlineStr">
        <is>
          <t>Ferro</t>
        </is>
      </c>
      <c r="B66" s="128" t="inlineStr">
        <is>
          <t>Machado</t>
        </is>
      </c>
      <c r="C66" s="128" t="inlineStr">
        <is>
          <t>Machado Cerimonial Quebrado</t>
        </is>
      </c>
      <c r="D66" s="135" t="n"/>
      <c r="E66" s="128" t="inlineStr">
        <is>
          <t>Servia pra juramentos. Ninguém jura mais nada por aqui.</t>
        </is>
      </c>
      <c r="F66" s="128">
        <f>INDEX(Tiers!$G$9:$G$22,MATCH($A66,Tiers!$B$9:$B$22,0))</f>
        <v/>
      </c>
      <c r="G66" s="128">
        <f>INDEX(Tiers!$H$9:$H$22,MATCH($A66,Tiers!$B$9:$B$22,0))</f>
        <v/>
      </c>
      <c r="H66" s="128">
        <f>INDEX($B$5:$B$11,MATCH($B66,$A$5:$A$11,0))</f>
        <v/>
      </c>
      <c r="I66" s="153">
        <f>ROUND(F66*H66*K66,0)</f>
        <v/>
      </c>
      <c r="J66" s="153">
        <f>ROUND(G66*H66*K66,0)</f>
        <v/>
      </c>
      <c r="K66" s="154" t="n">
        <v>1</v>
      </c>
      <c r="L66" s="115">
        <f>ROUND(I66*8,0)</f>
        <v/>
      </c>
      <c r="M66" s="115">
        <f>ROUND(J66*10,0)</f>
        <v/>
      </c>
    </row>
    <row r="67" ht="15" customHeight="1" s="116">
      <c r="A67" s="128" t="inlineStr">
        <is>
          <t>Ferro</t>
        </is>
      </c>
      <c r="B67" s="128" t="inlineStr">
        <is>
          <t>Arco</t>
        </is>
      </c>
      <c r="C67" s="128" t="inlineStr">
        <is>
          <t>Arco de Ferro</t>
        </is>
      </c>
      <c r="D67" s="135" t="n"/>
      <c r="E67" s="128" t="inlineStr">
        <is>
          <t>Reforçado nas pontas, pesado na mão — feito pra durar mais que o atirador.</t>
        </is>
      </c>
      <c r="F67" s="128">
        <f>INDEX(Tiers!$G$9:$G$22,MATCH($A67,Tiers!$B$9:$B$22,0))</f>
        <v/>
      </c>
      <c r="G67" s="128">
        <f>INDEX(Tiers!$H$9:$H$22,MATCH($A67,Tiers!$B$9:$B$22,0))</f>
        <v/>
      </c>
      <c r="H67" s="128">
        <f>INDEX($B$5:$B$11,MATCH($B67,$A$5:$A$11,0))</f>
        <v/>
      </c>
      <c r="I67" s="153">
        <f>ROUND(F67*H67*K67,0)</f>
        <v/>
      </c>
      <c r="J67" s="153">
        <f>ROUND(G67*H67*K67,0)</f>
        <v/>
      </c>
      <c r="K67" s="154" t="n">
        <v>1</v>
      </c>
      <c r="L67" s="115">
        <f>ROUND(I67*8,0)</f>
        <v/>
      </c>
      <c r="M67" s="115">
        <f>ROUND(J67*10,0)</f>
        <v/>
      </c>
    </row>
    <row r="68" ht="15" customHeight="1" s="116">
      <c r="A68" s="128" t="inlineStr">
        <is>
          <t>Ferro</t>
        </is>
      </c>
      <c r="B68" s="128" t="inlineStr">
        <is>
          <t>Arco</t>
        </is>
      </c>
      <c r="C68" s="128" t="inlineStr">
        <is>
          <t>Arco de Caça da Guarnição</t>
        </is>
      </c>
      <c r="D68" s="135" t="n"/>
      <c r="E68" s="128" t="inlineStr">
        <is>
          <t>Usado pelos batedores da guarda, antes de pararem de patrulhar.</t>
        </is>
      </c>
      <c r="F68" s="128">
        <f>INDEX(Tiers!$G$9:$G$22,MATCH($A68,Tiers!$B$9:$B$22,0))</f>
        <v/>
      </c>
      <c r="G68" s="128">
        <f>INDEX(Tiers!$H$9:$H$22,MATCH($A68,Tiers!$B$9:$B$22,0))</f>
        <v/>
      </c>
      <c r="H68" s="128">
        <f>INDEX($B$5:$B$11,MATCH($B68,$A$5:$A$11,0))</f>
        <v/>
      </c>
      <c r="I68" s="153">
        <f>ROUND(F68*H68*K68,0)</f>
        <v/>
      </c>
      <c r="J68" s="153">
        <f>ROUND(G68*H68*K68,0)</f>
        <v/>
      </c>
      <c r="K68" s="154" t="n">
        <v>1</v>
      </c>
      <c r="L68" s="115">
        <f>ROUND(I68*8,0)</f>
        <v/>
      </c>
      <c r="M68" s="115">
        <f>ROUND(J68*10,0)</f>
        <v/>
      </c>
    </row>
    <row r="69" ht="15" customHeight="1" s="116">
      <c r="A69" s="128" t="inlineStr">
        <is>
          <t>Ferro</t>
        </is>
      </c>
      <c r="B69" s="128" t="inlineStr">
        <is>
          <t>Arco</t>
        </is>
      </c>
      <c r="C69" s="128" t="inlineStr">
        <is>
          <t>Arco Perfurante</t>
        </is>
      </c>
      <c r="D69" s="135" t="inlineStr">
        <is>
          <t>Ignora Defesa</t>
        </is>
      </c>
      <c r="E69" s="128" t="inlineStr">
        <is>
          <t>Pontas de flecha fina o bastante pra passar entre elos de malha.</t>
        </is>
      </c>
      <c r="F69" s="128">
        <f>INDEX(Tiers!$G$9:$G$22,MATCH($A69,Tiers!$B$9:$B$22,0))</f>
        <v/>
      </c>
      <c r="G69" s="128">
        <f>INDEX(Tiers!$H$9:$H$22,MATCH($A69,Tiers!$B$9:$B$22,0))</f>
        <v/>
      </c>
      <c r="H69" s="128">
        <f>INDEX($B$5:$B$11,MATCH($B69,$A$5:$A$11,0))</f>
        <v/>
      </c>
      <c r="I69" s="153">
        <f>ROUND(F69*H69*K69,0)</f>
        <v/>
      </c>
      <c r="J69" s="153">
        <f>ROUND(G69*H69*K69,0)</f>
        <v/>
      </c>
      <c r="K69" s="154" t="n">
        <v>0.97</v>
      </c>
      <c r="L69" s="115">
        <f>ROUND(I69*8,0)</f>
        <v/>
      </c>
      <c r="M69" s="115">
        <f>ROUND(J69*10,0)</f>
        <v/>
      </c>
    </row>
    <row r="70" ht="15" customHeight="1" s="116">
      <c r="A70" s="128" t="inlineStr">
        <is>
          <t>Ferro</t>
        </is>
      </c>
      <c r="B70" s="128" t="inlineStr">
        <is>
          <t>Arco</t>
        </is>
      </c>
      <c r="C70" s="128" t="inlineStr">
        <is>
          <t>Arco Rangente</t>
        </is>
      </c>
      <c r="D70" s="135" t="n"/>
      <c r="E70" s="128" t="inlineStr">
        <is>
          <t>Faz barulho a cada disparo — quem usa aprendeu a não se importar.</t>
        </is>
      </c>
      <c r="F70" s="128">
        <f>INDEX(Tiers!$G$9:$G$22,MATCH($A70,Tiers!$B$9:$B$22,0))</f>
        <v/>
      </c>
      <c r="G70" s="128">
        <f>INDEX(Tiers!$H$9:$H$22,MATCH($A70,Tiers!$B$9:$B$22,0))</f>
        <v/>
      </c>
      <c r="H70" s="128">
        <f>INDEX($B$5:$B$11,MATCH($B70,$A$5:$A$11,0))</f>
        <v/>
      </c>
      <c r="I70" s="153">
        <f>ROUND(F70*H70*K70,0)</f>
        <v/>
      </c>
      <c r="J70" s="153">
        <f>ROUND(G70*H70*K70,0)</f>
        <v/>
      </c>
      <c r="K70" s="154" t="n">
        <v>1</v>
      </c>
      <c r="L70" s="115">
        <f>ROUND(I70*8,0)</f>
        <v/>
      </c>
      <c r="M70" s="115">
        <f>ROUND(J70*10,0)</f>
        <v/>
      </c>
    </row>
    <row r="71" ht="15" customHeight="1" s="116">
      <c r="A71" s="128" t="inlineStr">
        <is>
          <t>Ferro</t>
        </is>
      </c>
      <c r="B71" s="128" t="inlineStr">
        <is>
          <t>Adaga</t>
        </is>
      </c>
      <c r="C71" s="128" t="inlineStr">
        <is>
          <t>Adaga de Ferro</t>
        </is>
      </c>
      <c r="D71" s="135" t="n"/>
      <c r="E71" s="128" t="inlineStr">
        <is>
          <t>Curta, direta, sem frescura.</t>
        </is>
      </c>
      <c r="F71" s="128">
        <f>INDEX(Tiers!$G$9:$G$22,MATCH($A71,Tiers!$B$9:$B$22,0))</f>
        <v/>
      </c>
      <c r="G71" s="128">
        <f>INDEX(Tiers!$H$9:$H$22,MATCH($A71,Tiers!$B$9:$B$22,0))</f>
        <v/>
      </c>
      <c r="H71" s="128">
        <f>INDEX($B$5:$B$11,MATCH($B71,$A$5:$A$11,0))</f>
        <v/>
      </c>
      <c r="I71" s="153">
        <f>ROUND(F71*H71*K71,0)</f>
        <v/>
      </c>
      <c r="J71" s="153">
        <f>ROUND(G71*H71*K71,0)</f>
        <v/>
      </c>
      <c r="K71" s="154" t="n">
        <v>1</v>
      </c>
      <c r="L71" s="115">
        <f>ROUND(I71*8,0)</f>
        <v/>
      </c>
      <c r="M71" s="115">
        <f>ROUND(J71*10,0)</f>
        <v/>
      </c>
    </row>
    <row r="72" ht="15" customHeight="1" s="116">
      <c r="A72" s="128" t="inlineStr">
        <is>
          <t>Ferro</t>
        </is>
      </c>
      <c r="B72" s="128" t="inlineStr">
        <is>
          <t>Adaga</t>
        </is>
      </c>
      <c r="C72" s="128" t="inlineStr">
        <is>
          <t>Adaga de Oficial</t>
        </is>
      </c>
      <c r="D72" s="135" t="n"/>
      <c r="E72" s="128" t="inlineStr">
        <is>
          <t>Pertencia a alguém com patente. A patente não sobreviveu.</t>
        </is>
      </c>
      <c r="F72" s="128">
        <f>INDEX(Tiers!$G$9:$G$22,MATCH($A72,Tiers!$B$9:$B$22,0))</f>
        <v/>
      </c>
      <c r="G72" s="128">
        <f>INDEX(Tiers!$H$9:$H$22,MATCH($A72,Tiers!$B$9:$B$22,0))</f>
        <v/>
      </c>
      <c r="H72" s="128">
        <f>INDEX($B$5:$B$11,MATCH($B72,$A$5:$A$11,0))</f>
        <v/>
      </c>
      <c r="I72" s="153">
        <f>ROUND(F72*H72*K72,0)</f>
        <v/>
      </c>
      <c r="J72" s="153">
        <f>ROUND(G72*H72*K72,0)</f>
        <v/>
      </c>
      <c r="K72" s="154" t="n">
        <v>1</v>
      </c>
      <c r="L72" s="115">
        <f>ROUND(I72*8,0)</f>
        <v/>
      </c>
      <c r="M72" s="115">
        <f>ROUND(J72*10,0)</f>
        <v/>
      </c>
    </row>
    <row r="73" ht="15" customHeight="1" s="116">
      <c r="A73" s="128" t="inlineStr">
        <is>
          <t>Ferro</t>
        </is>
      </c>
      <c r="B73" s="128" t="inlineStr">
        <is>
          <t>Adaga</t>
        </is>
      </c>
      <c r="C73" s="128" t="inlineStr">
        <is>
          <t>Adaga Perfurante</t>
        </is>
      </c>
      <c r="D73" s="135" t="inlineStr">
        <is>
          <t>Ignora Defesa</t>
        </is>
      </c>
      <c r="E73" s="128" t="inlineStr">
        <is>
          <t>Fina o bastante pra passar por uma junta de armadura.</t>
        </is>
      </c>
      <c r="F73" s="128">
        <f>INDEX(Tiers!$G$9:$G$22,MATCH($A73,Tiers!$B$9:$B$22,0))</f>
        <v/>
      </c>
      <c r="G73" s="128">
        <f>INDEX(Tiers!$H$9:$H$22,MATCH($A73,Tiers!$B$9:$B$22,0))</f>
        <v/>
      </c>
      <c r="H73" s="128">
        <f>INDEX($B$5:$B$11,MATCH($B73,$A$5:$A$11,0))</f>
        <v/>
      </c>
      <c r="I73" s="153">
        <f>ROUND(F73*H73*K73,0)</f>
        <v/>
      </c>
      <c r="J73" s="153">
        <f>ROUND(G73*H73*K73,0)</f>
        <v/>
      </c>
      <c r="K73" s="154" t="n">
        <v>0.9399999999999999</v>
      </c>
      <c r="L73" s="115">
        <f>ROUND(I73*8,0)</f>
        <v/>
      </c>
      <c r="M73" s="115">
        <f>ROUND(J73*10,0)</f>
        <v/>
      </c>
    </row>
    <row r="74" ht="15" customHeight="1" s="116">
      <c r="A74" s="128" t="inlineStr">
        <is>
          <t>Ferro</t>
        </is>
      </c>
      <c r="B74" s="128" t="inlineStr">
        <is>
          <t>Maca</t>
        </is>
      </c>
      <c r="C74" s="128" t="inlineStr">
        <is>
          <t>Maça de Ferro</t>
        </is>
      </c>
      <c r="D74" s="135" t="n"/>
      <c r="E74" s="128" t="inlineStr">
        <is>
          <t>Cabeça sólida, sem enfeite — machuca por peso, não por corte.</t>
        </is>
      </c>
      <c r="F74" s="128">
        <f>INDEX(Tiers!$G$9:$G$22,MATCH($A74,Tiers!$B$9:$B$22,0))</f>
        <v/>
      </c>
      <c r="G74" s="128">
        <f>INDEX(Tiers!$H$9:$H$22,MATCH($A74,Tiers!$B$9:$B$22,0))</f>
        <v/>
      </c>
      <c r="H74" s="128">
        <f>INDEX($B$5:$B$11,MATCH($B74,$A$5:$A$11,0))</f>
        <v/>
      </c>
      <c r="I74" s="153">
        <f>ROUND(F74*H74*K74,0)</f>
        <v/>
      </c>
      <c r="J74" s="153">
        <f>ROUND(G74*H74*K74,0)</f>
        <v/>
      </c>
      <c r="K74" s="154" t="n">
        <v>1</v>
      </c>
      <c r="L74" s="115">
        <f>ROUND(I74*8,0)</f>
        <v/>
      </c>
      <c r="M74" s="115">
        <f>ROUND(J74*10,0)</f>
        <v/>
      </c>
    </row>
    <row r="75" ht="15" customHeight="1" s="116">
      <c r="A75" s="128" t="inlineStr">
        <is>
          <t>Ferro</t>
        </is>
      </c>
      <c r="B75" s="128" t="inlineStr">
        <is>
          <t>Maca</t>
        </is>
      </c>
      <c r="C75" s="128" t="inlineStr">
        <is>
          <t>Maça de Guarnição</t>
        </is>
      </c>
      <c r="D75" s="135" t="n"/>
      <c r="E75" s="128" t="inlineStr">
        <is>
          <t>Usada em treino de recruta — poucos treinos terminaram sem sangue.</t>
        </is>
      </c>
      <c r="F75" s="128">
        <f>INDEX(Tiers!$G$9:$G$22,MATCH($A75,Tiers!$B$9:$B$22,0))</f>
        <v/>
      </c>
      <c r="G75" s="128">
        <f>INDEX(Tiers!$H$9:$H$22,MATCH($A75,Tiers!$B$9:$B$22,0))</f>
        <v/>
      </c>
      <c r="H75" s="128">
        <f>INDEX($B$5:$B$11,MATCH($B75,$A$5:$A$11,0))</f>
        <v/>
      </c>
      <c r="I75" s="153">
        <f>ROUND(F75*H75*K75,0)</f>
        <v/>
      </c>
      <c r="J75" s="153">
        <f>ROUND(G75*H75*K75,0)</f>
        <v/>
      </c>
      <c r="K75" s="154" t="n">
        <v>1</v>
      </c>
      <c r="L75" s="115">
        <f>ROUND(I75*8,0)</f>
        <v/>
      </c>
      <c r="M75" s="115">
        <f>ROUND(J75*10,0)</f>
        <v/>
      </c>
    </row>
    <row r="76" ht="15" customHeight="1" s="116">
      <c r="A76" s="128" t="inlineStr">
        <is>
          <t>Ferro</t>
        </is>
      </c>
      <c r="B76" s="128" t="inlineStr">
        <is>
          <t>Maca</t>
        </is>
      </c>
      <c r="C76" s="128" t="inlineStr">
        <is>
          <t>Maça Rachada</t>
        </is>
      </c>
      <c r="D76" s="135" t="n"/>
      <c r="E76" s="128" t="inlineStr">
        <is>
          <t>Já bateu demais. Ainda bate.</t>
        </is>
      </c>
      <c r="F76" s="128">
        <f>INDEX(Tiers!$G$9:$G$22,MATCH($A76,Tiers!$B$9:$B$22,0))</f>
        <v/>
      </c>
      <c r="G76" s="128">
        <f>INDEX(Tiers!$H$9:$H$22,MATCH($A76,Tiers!$B$9:$B$22,0))</f>
        <v/>
      </c>
      <c r="H76" s="128">
        <f>INDEX($B$5:$B$11,MATCH($B76,$A$5:$A$11,0))</f>
        <v/>
      </c>
      <c r="I76" s="153">
        <f>ROUND(F76*H76*K76,0)</f>
        <v/>
      </c>
      <c r="J76" s="153">
        <f>ROUND(G76*H76*K76,0)</f>
        <v/>
      </c>
      <c r="K76" s="154" t="n">
        <v>1</v>
      </c>
      <c r="L76" s="115">
        <f>ROUND(I76*8,0)</f>
        <v/>
      </c>
      <c r="M76" s="115">
        <f>ROUND(J76*10,0)</f>
        <v/>
      </c>
    </row>
    <row r="77" ht="15" customHeight="1" s="116">
      <c r="A77" s="128" t="inlineStr">
        <is>
          <t>Ferro</t>
        </is>
      </c>
      <c r="B77" s="128" t="inlineStr">
        <is>
          <t>Manopla</t>
        </is>
      </c>
      <c r="C77" s="128" t="inlineStr">
        <is>
          <t>Manopla de Ferro</t>
        </is>
      </c>
      <c r="D77" s="135" t="n"/>
      <c r="E77" s="128" t="inlineStr">
        <is>
          <t>Nós reforçados com placas — dói em quem bate, dói mais em quem apanha.</t>
        </is>
      </c>
      <c r="F77" s="128">
        <f>INDEX(Tiers!$G$9:$G$22,MATCH($A77,Tiers!$B$9:$B$22,0))</f>
        <v/>
      </c>
      <c r="G77" s="128">
        <f>INDEX(Tiers!$H$9:$H$22,MATCH($A77,Tiers!$B$9:$B$22,0))</f>
        <v/>
      </c>
      <c r="H77" s="128">
        <f>INDEX($B$5:$B$11,MATCH($B77,$A$5:$A$11,0))</f>
        <v/>
      </c>
      <c r="I77" s="153">
        <f>ROUND(F77*H77*K77,0)</f>
        <v/>
      </c>
      <c r="J77" s="153">
        <f>ROUND(G77*H77*K77,0)</f>
        <v/>
      </c>
      <c r="K77" s="154" t="n">
        <v>1</v>
      </c>
      <c r="L77" s="115">
        <f>ROUND(I77*8,0)</f>
        <v/>
      </c>
      <c r="M77" s="115">
        <f>ROUND(J77*10,0)</f>
        <v/>
      </c>
    </row>
    <row r="78" ht="15" customHeight="1" s="116">
      <c r="A78" s="128" t="inlineStr">
        <is>
          <t>Ferro</t>
        </is>
      </c>
      <c r="B78" s="128" t="inlineStr">
        <is>
          <t>Manopla</t>
        </is>
      </c>
      <c r="C78" s="128" t="inlineStr">
        <is>
          <t>Manopla de Sentinela</t>
        </is>
      </c>
      <c r="D78" s="135" t="n"/>
      <c r="E78" s="128" t="inlineStr">
        <is>
          <t>Usada por quem fazia ronda à noite, sozinho, com medo real.</t>
        </is>
      </c>
      <c r="F78" s="128">
        <f>INDEX(Tiers!$G$9:$G$22,MATCH($A78,Tiers!$B$9:$B$22,0))</f>
        <v/>
      </c>
      <c r="G78" s="128">
        <f>INDEX(Tiers!$H$9:$H$22,MATCH($A78,Tiers!$B$9:$B$22,0))</f>
        <v/>
      </c>
      <c r="H78" s="128">
        <f>INDEX($B$5:$B$11,MATCH($B78,$A$5:$A$11,0))</f>
        <v/>
      </c>
      <c r="I78" s="153">
        <f>ROUND(F78*H78*K78,0)</f>
        <v/>
      </c>
      <c r="J78" s="153">
        <f>ROUND(G78*H78*K78,0)</f>
        <v/>
      </c>
      <c r="K78" s="154" t="n">
        <v>1</v>
      </c>
      <c r="L78" s="115">
        <f>ROUND(I78*8,0)</f>
        <v/>
      </c>
      <c r="M78" s="115">
        <f>ROUND(J78*10,0)</f>
        <v/>
      </c>
    </row>
    <row r="79" ht="15" customHeight="1" s="116">
      <c r="A79" s="128" t="inlineStr">
        <is>
          <t>Ferro</t>
        </is>
      </c>
      <c r="B79" s="128" t="inlineStr">
        <is>
          <t>Cetro</t>
        </is>
      </c>
      <c r="C79" s="128" t="inlineStr">
        <is>
          <t>Cetro de Ferro</t>
        </is>
      </c>
      <c r="D79" s="135" t="n"/>
      <c r="E79" s="128" t="inlineStr">
        <is>
          <t>Vara pesada, cristal embutido — sem luxo, só função.</t>
        </is>
      </c>
      <c r="F79" s="128">
        <f>INDEX(Tiers!$G$9:$G$22,MATCH($A79,Tiers!$B$9:$B$22,0))</f>
        <v/>
      </c>
      <c r="G79" s="128">
        <f>INDEX(Tiers!$H$9:$H$22,MATCH($A79,Tiers!$B$9:$B$22,0))</f>
        <v/>
      </c>
      <c r="H79" s="128">
        <f>INDEX($B$5:$B$11,MATCH($B79,$A$5:$A$11,0))</f>
        <v/>
      </c>
      <c r="I79" s="153">
        <f>ROUND(F79*H79*K79,0)</f>
        <v/>
      </c>
      <c r="J79" s="153">
        <f>ROUND(G79*H79*K79,0)</f>
        <v/>
      </c>
      <c r="K79" s="154" t="n">
        <v>1</v>
      </c>
      <c r="L79" s="115">
        <f>ROUND(I79*8,0)</f>
        <v/>
      </c>
      <c r="M79" s="115">
        <f>ROUND(J79*10,0)</f>
        <v/>
      </c>
    </row>
    <row r="80" ht="15" customHeight="1" s="116">
      <c r="A80" s="128" t="inlineStr">
        <is>
          <t>Ferro</t>
        </is>
      </c>
      <c r="B80" s="128" t="inlineStr">
        <is>
          <t>Cetro</t>
        </is>
      </c>
      <c r="C80" s="128" t="inlineStr">
        <is>
          <t>Cetro do Capelão Caído</t>
        </is>
      </c>
      <c r="D80" s="135" t="n"/>
      <c r="E80" s="128" t="inlineStr">
        <is>
          <t>Pertencia a um capelão que benzia a guarda antes de cada turno. Parou de benzer.</t>
        </is>
      </c>
      <c r="F80" s="128">
        <f>INDEX(Tiers!$G$9:$G$22,MATCH($A80,Tiers!$B$9:$B$22,0))</f>
        <v/>
      </c>
      <c r="G80" s="128">
        <f>INDEX(Tiers!$H$9:$H$22,MATCH($A80,Tiers!$B$9:$B$22,0))</f>
        <v/>
      </c>
      <c r="H80" s="128">
        <f>INDEX($B$5:$B$11,MATCH($B80,$A$5:$A$11,0))</f>
        <v/>
      </c>
      <c r="I80" s="153">
        <f>ROUND(F80*H80*K80,0)</f>
        <v/>
      </c>
      <c r="J80" s="153">
        <f>ROUND(G80*H80*K80,0)</f>
        <v/>
      </c>
      <c r="K80" s="154" t="n">
        <v>1</v>
      </c>
      <c r="L80" s="115">
        <f>ROUND(I80*8,0)</f>
        <v/>
      </c>
      <c r="M80" s="115">
        <f>ROUND(J80*10,0)</f>
        <v/>
      </c>
    </row>
    <row r="81" ht="15" customHeight="1" s="116">
      <c r="A81" s="128" t="inlineStr">
        <is>
          <t>Prata</t>
        </is>
      </c>
      <c r="B81" s="128" t="inlineStr">
        <is>
          <t>Espada</t>
        </is>
      </c>
      <c r="C81" s="128" t="inlineStr">
        <is>
          <t>Espada de Prata</t>
        </is>
      </c>
      <c r="D81" s="135" t="n"/>
      <c r="E81" s="128" t="inlineStr">
        <is>
          <t>Lâmina polida que brilha fraco no escuro — feita pra crânios que não deviam se mexer mais.</t>
        </is>
      </c>
      <c r="F81" s="128">
        <f>INDEX(Tiers!$G$9:$G$22,MATCH($A81,Tiers!$B$9:$B$22,0))</f>
        <v/>
      </c>
      <c r="G81" s="128">
        <f>INDEX(Tiers!$H$9:$H$22,MATCH($A81,Tiers!$B$9:$B$22,0))</f>
        <v/>
      </c>
      <c r="H81" s="128">
        <f>INDEX($B$5:$B$11,MATCH($B81,$A$5:$A$11,0))</f>
        <v/>
      </c>
      <c r="I81" s="153">
        <f>ROUND(F81*H81*K81,0)</f>
        <v/>
      </c>
      <c r="J81" s="153">
        <f>ROUND(G81*H81*K81,0)</f>
        <v/>
      </c>
      <c r="K81" s="154" t="n">
        <v>1</v>
      </c>
      <c r="L81" s="115">
        <f>ROUND(I81*8,0)</f>
        <v/>
      </c>
      <c r="M81" s="115">
        <f>ROUND(J81*10,0)</f>
        <v/>
      </c>
    </row>
    <row r="82" ht="15" customHeight="1" s="116">
      <c r="A82" s="128" t="inlineStr">
        <is>
          <t>Prata</t>
        </is>
      </c>
      <c r="B82" s="128" t="inlineStr">
        <is>
          <t>Espada</t>
        </is>
      </c>
      <c r="C82" s="128" t="inlineStr">
        <is>
          <t>Espada Abençoada</t>
        </is>
      </c>
      <c r="D82" s="135" t="inlineStr">
        <is>
          <t>Rouba Vida</t>
        </is>
      </c>
      <c r="E82" s="128" t="inlineStr">
        <is>
          <t>Benzida antes da forja esfriar — cura quem a empunha ao acertar um morto-vivo.</t>
        </is>
      </c>
      <c r="F82" s="128">
        <f>INDEX(Tiers!$G$9:$G$22,MATCH($A82,Tiers!$B$9:$B$22,0))</f>
        <v/>
      </c>
      <c r="G82" s="128">
        <f>INDEX(Tiers!$H$9:$H$22,MATCH($A82,Tiers!$B$9:$B$22,0))</f>
        <v/>
      </c>
      <c r="H82" s="128">
        <f>INDEX($B$5:$B$11,MATCH($B82,$A$5:$A$11,0))</f>
        <v/>
      </c>
      <c r="I82" s="153">
        <f>ROUND(F82*H82*K82,0)</f>
        <v/>
      </c>
      <c r="J82" s="153">
        <f>ROUND(G82*H82*K82,0)</f>
        <v/>
      </c>
      <c r="K82" s="154" t="n">
        <v>0.95</v>
      </c>
      <c r="L82" s="115">
        <f>ROUND(I82*8,0)</f>
        <v/>
      </c>
      <c r="M82" s="115">
        <f>ROUND(J82*10,0)</f>
        <v/>
      </c>
    </row>
    <row r="83" ht="15" customHeight="1" s="116">
      <c r="A83" s="128" t="inlineStr">
        <is>
          <t>Prata</t>
        </is>
      </c>
      <c r="B83" s="128" t="inlineStr">
        <is>
          <t>Espada</t>
        </is>
      </c>
      <c r="C83" s="128" t="inlineStr">
        <is>
          <t>Espada Consagrada da Cripta</t>
        </is>
      </c>
      <c r="D83" s="135" t="n"/>
      <c r="E83" s="128" t="inlineStr">
        <is>
          <t>Guardada num altar por gerações, até alguém decidir que era hora de usar.</t>
        </is>
      </c>
      <c r="F83" s="128">
        <f>INDEX(Tiers!$G$9:$G$22,MATCH($A83,Tiers!$B$9:$B$22,0))</f>
        <v/>
      </c>
      <c r="G83" s="128">
        <f>INDEX(Tiers!$H$9:$H$22,MATCH($A83,Tiers!$B$9:$B$22,0))</f>
        <v/>
      </c>
      <c r="H83" s="128">
        <f>INDEX($B$5:$B$11,MATCH($B83,$A$5:$A$11,0))</f>
        <v/>
      </c>
      <c r="I83" s="153">
        <f>ROUND(F83*H83*K83,0)</f>
        <v/>
      </c>
      <c r="J83" s="153">
        <f>ROUND(G83*H83*K83,0)</f>
        <v/>
      </c>
      <c r="K83" s="154" t="n">
        <v>1</v>
      </c>
      <c r="L83" s="115">
        <f>ROUND(I83*8,0)</f>
        <v/>
      </c>
      <c r="M83" s="115">
        <f>ROUND(J83*10,0)</f>
        <v/>
      </c>
    </row>
    <row r="84" ht="15" customHeight="1" s="116">
      <c r="A84" s="128" t="inlineStr">
        <is>
          <t>Prata</t>
        </is>
      </c>
      <c r="B84" s="128" t="inlineStr">
        <is>
          <t>Espada</t>
        </is>
      </c>
      <c r="C84" s="128" t="inlineStr">
        <is>
          <t>Espada Cega pela Luz</t>
        </is>
      </c>
      <c r="D84" s="135" t="n"/>
      <c r="E84" s="128" t="inlineStr">
        <is>
          <t>Reflete tanto que ofusca antes de cortar.</t>
        </is>
      </c>
      <c r="F84" s="128">
        <f>INDEX(Tiers!$G$9:$G$22,MATCH($A84,Tiers!$B$9:$B$22,0))</f>
        <v/>
      </c>
      <c r="G84" s="128">
        <f>INDEX(Tiers!$H$9:$H$22,MATCH($A84,Tiers!$B$9:$B$22,0))</f>
        <v/>
      </c>
      <c r="H84" s="128">
        <f>INDEX($B$5:$B$11,MATCH($B84,$A$5:$A$11,0))</f>
        <v/>
      </c>
      <c r="I84" s="153">
        <f>ROUND(F84*H84*K84,0)</f>
        <v/>
      </c>
      <c r="J84" s="153">
        <f>ROUND(G84*H84*K84,0)</f>
        <v/>
      </c>
      <c r="K84" s="154" t="n">
        <v>1</v>
      </c>
      <c r="L84" s="115">
        <f>ROUND(I84*8,0)</f>
        <v/>
      </c>
      <c r="M84" s="115">
        <f>ROUND(J84*10,0)</f>
        <v/>
      </c>
    </row>
    <row r="85" ht="15" customHeight="1" s="116">
      <c r="A85" s="128" t="inlineStr">
        <is>
          <t>Prata</t>
        </is>
      </c>
      <c r="B85" s="128" t="inlineStr">
        <is>
          <t>Machado</t>
        </is>
      </c>
      <c r="C85" s="128" t="inlineStr">
        <is>
          <t>Machado de Prata</t>
        </is>
      </c>
      <c r="D85" s="135" t="n"/>
      <c r="E85" s="128" t="inlineStr">
        <is>
          <t>Pesado o bastante pra rachar lápide, afiado o bastante pra fazer mais que isso.</t>
        </is>
      </c>
      <c r="F85" s="128">
        <f>INDEX(Tiers!$G$9:$G$22,MATCH($A85,Tiers!$B$9:$B$22,0))</f>
        <v/>
      </c>
      <c r="G85" s="128">
        <f>INDEX(Tiers!$H$9:$H$22,MATCH($A85,Tiers!$B$9:$B$22,0))</f>
        <v/>
      </c>
      <c r="H85" s="128">
        <f>INDEX($B$5:$B$11,MATCH($B85,$A$5:$A$11,0))</f>
        <v/>
      </c>
      <c r="I85" s="153">
        <f>ROUND(F85*H85*K85,0)</f>
        <v/>
      </c>
      <c r="J85" s="153">
        <f>ROUND(G85*H85*K85,0)</f>
        <v/>
      </c>
      <c r="K85" s="154" t="n">
        <v>1</v>
      </c>
      <c r="L85" s="115">
        <f>ROUND(I85*8,0)</f>
        <v/>
      </c>
      <c r="M85" s="115">
        <f>ROUND(J85*10,0)</f>
        <v/>
      </c>
    </row>
    <row r="86" ht="15" customHeight="1" s="116">
      <c r="A86" s="128" t="inlineStr">
        <is>
          <t>Prata</t>
        </is>
      </c>
      <c r="B86" s="128" t="inlineStr">
        <is>
          <t>Machado</t>
        </is>
      </c>
      <c r="C86" s="128" t="inlineStr">
        <is>
          <t>Machado do Coveiro</t>
        </is>
      </c>
      <c r="D86" s="135" t="n"/>
      <c r="E86" s="128" t="inlineStr">
        <is>
          <t>Servia pra abrir cova. Agora fecha uma de vez.</t>
        </is>
      </c>
      <c r="F86" s="128">
        <f>INDEX(Tiers!$G$9:$G$22,MATCH($A86,Tiers!$B$9:$B$22,0))</f>
        <v/>
      </c>
      <c r="G86" s="128">
        <f>INDEX(Tiers!$H$9:$H$22,MATCH($A86,Tiers!$B$9:$B$22,0))</f>
        <v/>
      </c>
      <c r="H86" s="128">
        <f>INDEX($B$5:$B$11,MATCH($B86,$A$5:$A$11,0))</f>
        <v/>
      </c>
      <c r="I86" s="153">
        <f>ROUND(F86*H86*K86,0)</f>
        <v/>
      </c>
      <c r="J86" s="153">
        <f>ROUND(G86*H86*K86,0)</f>
        <v/>
      </c>
      <c r="K86" s="154" t="n">
        <v>1</v>
      </c>
      <c r="L86" s="115">
        <f>ROUND(I86*8,0)</f>
        <v/>
      </c>
      <c r="M86" s="115">
        <f>ROUND(J86*10,0)</f>
        <v/>
      </c>
    </row>
    <row r="87" ht="15" customHeight="1" s="116">
      <c r="A87" s="128" t="inlineStr">
        <is>
          <t>Prata</t>
        </is>
      </c>
      <c r="B87" s="128" t="inlineStr">
        <is>
          <t>Machado</t>
        </is>
      </c>
      <c r="C87" s="128" t="inlineStr">
        <is>
          <t>Machado Gravado com Preces</t>
        </is>
      </c>
      <c r="D87" s="135" t="n"/>
      <c r="E87" s="128" t="inlineStr">
        <is>
          <t>Preces gravadas na lâmina, já quase apagadas de tanto uso.</t>
        </is>
      </c>
      <c r="F87" s="128">
        <f>INDEX(Tiers!$G$9:$G$22,MATCH($A87,Tiers!$B$9:$B$22,0))</f>
        <v/>
      </c>
      <c r="G87" s="128">
        <f>INDEX(Tiers!$H$9:$H$22,MATCH($A87,Tiers!$B$9:$B$22,0))</f>
        <v/>
      </c>
      <c r="H87" s="128">
        <f>INDEX($B$5:$B$11,MATCH($B87,$A$5:$A$11,0))</f>
        <v/>
      </c>
      <c r="I87" s="153">
        <f>ROUND(F87*H87*K87,0)</f>
        <v/>
      </c>
      <c r="J87" s="153">
        <f>ROUND(G87*H87*K87,0)</f>
        <v/>
      </c>
      <c r="K87" s="154" t="n">
        <v>1</v>
      </c>
      <c r="L87" s="115">
        <f>ROUND(I87*8,0)</f>
        <v/>
      </c>
      <c r="M87" s="115">
        <f>ROUND(J87*10,0)</f>
        <v/>
      </c>
    </row>
    <row r="88" ht="15" customHeight="1" s="116">
      <c r="A88" s="128" t="inlineStr">
        <is>
          <t>Prata</t>
        </is>
      </c>
      <c r="B88" s="128" t="inlineStr">
        <is>
          <t>Machado</t>
        </is>
      </c>
      <c r="C88" s="128" t="inlineStr">
        <is>
          <t>Machado da Fraternidade Renegada</t>
        </is>
      </c>
      <c r="D88" s="135" t="n"/>
      <c r="E88" s="128" t="inlineStr">
        <is>
          <t>Um dos poucos que restaram de antes do voto de silêncio.</t>
        </is>
      </c>
      <c r="F88" s="128">
        <f>INDEX(Tiers!$G$9:$G$22,MATCH($A88,Tiers!$B$9:$B$22,0))</f>
        <v/>
      </c>
      <c r="G88" s="128">
        <f>INDEX(Tiers!$H$9:$H$22,MATCH($A88,Tiers!$B$9:$B$22,0))</f>
        <v/>
      </c>
      <c r="H88" s="128">
        <f>INDEX($B$5:$B$11,MATCH($B88,$A$5:$A$11,0))</f>
        <v/>
      </c>
      <c r="I88" s="153">
        <f>ROUND(F88*H88*K88,0)</f>
        <v/>
      </c>
      <c r="J88" s="153">
        <f>ROUND(G88*H88*K88,0)</f>
        <v/>
      </c>
      <c r="K88" s="154" t="n">
        <v>1</v>
      </c>
      <c r="L88" s="115">
        <f>ROUND(I88*8,0)</f>
        <v/>
      </c>
      <c r="M88" s="115">
        <f>ROUND(J88*10,0)</f>
        <v/>
      </c>
    </row>
    <row r="89" ht="15" customHeight="1" s="116">
      <c r="A89" s="128" t="inlineStr">
        <is>
          <t>Prata</t>
        </is>
      </c>
      <c r="B89" s="128" t="inlineStr">
        <is>
          <t>Arco</t>
        </is>
      </c>
      <c r="C89" s="128" t="inlineStr">
        <is>
          <t>Arco de Prata</t>
        </is>
      </c>
      <c r="D89" s="135" t="n"/>
      <c r="E89" s="128" t="inlineStr">
        <is>
          <t>Corda fina, vibra num tom que só os mortos parecem notar.</t>
        </is>
      </c>
      <c r="F89" s="128">
        <f>INDEX(Tiers!$G$9:$G$22,MATCH($A89,Tiers!$B$9:$B$22,0))</f>
        <v/>
      </c>
      <c r="G89" s="128">
        <f>INDEX(Tiers!$H$9:$H$22,MATCH($A89,Tiers!$B$9:$B$22,0))</f>
        <v/>
      </c>
      <c r="H89" s="128">
        <f>INDEX($B$5:$B$11,MATCH($B89,$A$5:$A$11,0))</f>
        <v/>
      </c>
      <c r="I89" s="153">
        <f>ROUND(F89*H89*K89,0)</f>
        <v/>
      </c>
      <c r="J89" s="153">
        <f>ROUND(G89*H89*K89,0)</f>
        <v/>
      </c>
      <c r="K89" s="154" t="n">
        <v>1</v>
      </c>
      <c r="L89" s="115">
        <f>ROUND(I89*8,0)</f>
        <v/>
      </c>
      <c r="M89" s="115">
        <f>ROUND(J89*10,0)</f>
        <v/>
      </c>
    </row>
    <row r="90" ht="15" customHeight="1" s="116">
      <c r="A90" s="128" t="inlineStr">
        <is>
          <t>Prata</t>
        </is>
      </c>
      <c r="B90" s="128" t="inlineStr">
        <is>
          <t>Arco</t>
        </is>
      </c>
      <c r="C90" s="128" t="inlineStr">
        <is>
          <t>Arco Consagrado</t>
        </is>
      </c>
      <c r="D90" s="135" t="n"/>
      <c r="E90" s="128" t="inlineStr">
        <is>
          <t>Flechas que ele dispara saem levemente frias.</t>
        </is>
      </c>
      <c r="F90" s="128">
        <f>INDEX(Tiers!$G$9:$G$22,MATCH($A90,Tiers!$B$9:$B$22,0))</f>
        <v/>
      </c>
      <c r="G90" s="128">
        <f>INDEX(Tiers!$H$9:$H$22,MATCH($A90,Tiers!$B$9:$B$22,0))</f>
        <v/>
      </c>
      <c r="H90" s="128">
        <f>INDEX($B$5:$B$11,MATCH($B90,$A$5:$A$11,0))</f>
        <v/>
      </c>
      <c r="I90" s="153">
        <f>ROUND(F90*H90*K90,0)</f>
        <v/>
      </c>
      <c r="J90" s="153">
        <f>ROUND(G90*H90*K90,0)</f>
        <v/>
      </c>
      <c r="K90" s="154" t="n">
        <v>1</v>
      </c>
      <c r="L90" s="115">
        <f>ROUND(I90*8,0)</f>
        <v/>
      </c>
      <c r="M90" s="115">
        <f>ROUND(J90*10,0)</f>
        <v/>
      </c>
    </row>
    <row r="91" ht="15" customHeight="1" s="116">
      <c r="A91" s="128" t="inlineStr">
        <is>
          <t>Prata</t>
        </is>
      </c>
      <c r="B91" s="128" t="inlineStr">
        <is>
          <t>Arco</t>
        </is>
      </c>
      <c r="C91" s="128" t="inlineStr">
        <is>
          <t>Arco do Guardião da Cripta</t>
        </is>
      </c>
      <c r="D91" s="135" t="n"/>
      <c r="E91" s="128" t="inlineStr">
        <is>
          <t>Usado por quem vigiava a entrada antes da Fraternidade chegar.</t>
        </is>
      </c>
      <c r="F91" s="128">
        <f>INDEX(Tiers!$G$9:$G$22,MATCH($A91,Tiers!$B$9:$B$22,0))</f>
        <v/>
      </c>
      <c r="G91" s="128">
        <f>INDEX(Tiers!$H$9:$H$22,MATCH($A91,Tiers!$B$9:$B$22,0))</f>
        <v/>
      </c>
      <c r="H91" s="128">
        <f>INDEX($B$5:$B$11,MATCH($B91,$A$5:$A$11,0))</f>
        <v/>
      </c>
      <c r="I91" s="153">
        <f>ROUND(F91*H91*K91,0)</f>
        <v/>
      </c>
      <c r="J91" s="153">
        <f>ROUND(G91*H91*K91,0)</f>
        <v/>
      </c>
      <c r="K91" s="154" t="n">
        <v>1</v>
      </c>
      <c r="L91" s="115">
        <f>ROUND(I91*8,0)</f>
        <v/>
      </c>
      <c r="M91" s="115">
        <f>ROUND(J91*10,0)</f>
        <v/>
      </c>
    </row>
    <row r="92" ht="15" customHeight="1" s="116">
      <c r="A92" s="128" t="inlineStr">
        <is>
          <t>Prata</t>
        </is>
      </c>
      <c r="B92" s="128" t="inlineStr">
        <is>
          <t>Arco</t>
        </is>
      </c>
      <c r="C92" s="128" t="inlineStr">
        <is>
          <t>Arco Silencioso</t>
        </is>
      </c>
      <c r="D92" s="135" t="n"/>
      <c r="E92" s="128" t="inlineStr">
        <is>
          <t>Não faz barulho nenhum ao disparar — nem a corda, nem a flecha.</t>
        </is>
      </c>
      <c r="F92" s="128">
        <f>INDEX(Tiers!$G$9:$G$22,MATCH($A92,Tiers!$B$9:$B$22,0))</f>
        <v/>
      </c>
      <c r="G92" s="128">
        <f>INDEX(Tiers!$H$9:$H$22,MATCH($A92,Tiers!$B$9:$B$22,0))</f>
        <v/>
      </c>
      <c r="H92" s="128">
        <f>INDEX($B$5:$B$11,MATCH($B92,$A$5:$A$11,0))</f>
        <v/>
      </c>
      <c r="I92" s="153">
        <f>ROUND(F92*H92*K92,0)</f>
        <v/>
      </c>
      <c r="J92" s="153">
        <f>ROUND(G92*H92*K92,0)</f>
        <v/>
      </c>
      <c r="K92" s="154" t="n">
        <v>1</v>
      </c>
      <c r="L92" s="115">
        <f>ROUND(I92*8,0)</f>
        <v/>
      </c>
      <c r="M92" s="115">
        <f>ROUND(J92*10,0)</f>
        <v/>
      </c>
    </row>
    <row r="93" ht="15" customHeight="1" s="116">
      <c r="A93" s="128" t="inlineStr">
        <is>
          <t>Prata</t>
        </is>
      </c>
      <c r="B93" s="128" t="inlineStr">
        <is>
          <t>Adaga</t>
        </is>
      </c>
      <c r="C93" s="128" t="inlineStr">
        <is>
          <t>Adaga de Prata</t>
        </is>
      </c>
      <c r="D93" s="135" t="n"/>
      <c r="E93" s="128" t="inlineStr">
        <is>
          <t>Curta, fria ao toque, mesmo longe de qualquer gelo.</t>
        </is>
      </c>
      <c r="F93" s="128">
        <f>INDEX(Tiers!$G$9:$G$22,MATCH($A93,Tiers!$B$9:$B$22,0))</f>
        <v/>
      </c>
      <c r="G93" s="128">
        <f>INDEX(Tiers!$H$9:$H$22,MATCH($A93,Tiers!$B$9:$B$22,0))</f>
        <v/>
      </c>
      <c r="H93" s="128">
        <f>INDEX($B$5:$B$11,MATCH($B93,$A$5:$A$11,0))</f>
        <v/>
      </c>
      <c r="I93" s="153">
        <f>ROUND(F93*H93*K93,0)</f>
        <v/>
      </c>
      <c r="J93" s="153">
        <f>ROUND(G93*H93*K93,0)</f>
        <v/>
      </c>
      <c r="K93" s="154" t="n">
        <v>1</v>
      </c>
      <c r="L93" s="115">
        <f>ROUND(I93*8,0)</f>
        <v/>
      </c>
      <c r="M93" s="115">
        <f>ROUND(J93*10,0)</f>
        <v/>
      </c>
    </row>
    <row r="94" ht="15" customHeight="1" s="116">
      <c r="A94" s="128" t="inlineStr">
        <is>
          <t>Prata</t>
        </is>
      </c>
      <c r="B94" s="128" t="inlineStr">
        <is>
          <t>Adaga</t>
        </is>
      </c>
      <c r="C94" s="128" t="inlineStr">
        <is>
          <t>Adaga do Ritual</t>
        </is>
      </c>
      <c r="D94" s="135" t="n"/>
      <c r="E94" s="128" t="inlineStr">
        <is>
          <t>Usada em cerimônias de purificação — nunca pra matar vivo.</t>
        </is>
      </c>
      <c r="F94" s="128">
        <f>INDEX(Tiers!$G$9:$G$22,MATCH($A94,Tiers!$B$9:$B$22,0))</f>
        <v/>
      </c>
      <c r="G94" s="128">
        <f>INDEX(Tiers!$H$9:$H$22,MATCH($A94,Tiers!$B$9:$B$22,0))</f>
        <v/>
      </c>
      <c r="H94" s="128">
        <f>INDEX($B$5:$B$11,MATCH($B94,$A$5:$A$11,0))</f>
        <v/>
      </c>
      <c r="I94" s="153">
        <f>ROUND(F94*H94*K94,0)</f>
        <v/>
      </c>
      <c r="J94" s="153">
        <f>ROUND(G94*H94*K94,0)</f>
        <v/>
      </c>
      <c r="K94" s="154" t="n">
        <v>1</v>
      </c>
      <c r="L94" s="115">
        <f>ROUND(I94*8,0)</f>
        <v/>
      </c>
      <c r="M94" s="115">
        <f>ROUND(J94*10,0)</f>
        <v/>
      </c>
    </row>
    <row r="95" ht="15" customHeight="1" s="116">
      <c r="A95" s="128" t="inlineStr">
        <is>
          <t>Prata</t>
        </is>
      </c>
      <c r="B95" s="128" t="inlineStr">
        <is>
          <t>Adaga</t>
        </is>
      </c>
      <c r="C95" s="128" t="inlineStr">
        <is>
          <t>Adaga Sussurrante</t>
        </is>
      </c>
      <c r="D95" s="135" t="n"/>
      <c r="E95" s="128" t="inlineStr">
        <is>
          <t>Faz um som baixo perto de mortos-vivos, como um aviso.</t>
        </is>
      </c>
      <c r="F95" s="128">
        <f>INDEX(Tiers!$G$9:$G$22,MATCH($A95,Tiers!$B$9:$B$22,0))</f>
        <v/>
      </c>
      <c r="G95" s="128">
        <f>INDEX(Tiers!$H$9:$H$22,MATCH($A95,Tiers!$B$9:$B$22,0))</f>
        <v/>
      </c>
      <c r="H95" s="128">
        <f>INDEX($B$5:$B$11,MATCH($B95,$A$5:$A$11,0))</f>
        <v/>
      </c>
      <c r="I95" s="153">
        <f>ROUND(F95*H95*K95,0)</f>
        <v/>
      </c>
      <c r="J95" s="153">
        <f>ROUND(G95*H95*K95,0)</f>
        <v/>
      </c>
      <c r="K95" s="154" t="n">
        <v>1</v>
      </c>
      <c r="L95" s="115">
        <f>ROUND(I95*8,0)</f>
        <v/>
      </c>
      <c r="M95" s="115">
        <f>ROUND(J95*10,0)</f>
        <v/>
      </c>
    </row>
    <row r="96" ht="15" customHeight="1" s="116">
      <c r="A96" s="128" t="inlineStr">
        <is>
          <t>Prata</t>
        </is>
      </c>
      <c r="B96" s="128" t="inlineStr">
        <is>
          <t>Maca</t>
        </is>
      </c>
      <c r="C96" s="128" t="inlineStr">
        <is>
          <t>Maça de Prata</t>
        </is>
      </c>
      <c r="D96" s="135" t="n"/>
      <c r="E96" s="128" t="inlineStr">
        <is>
          <t>Cabeça maciça, prateada — machuca duplamente quem já devia estar morto.</t>
        </is>
      </c>
      <c r="F96" s="128">
        <f>INDEX(Tiers!$G$9:$G$22,MATCH($A96,Tiers!$B$9:$B$22,0))</f>
        <v/>
      </c>
      <c r="G96" s="128">
        <f>INDEX(Tiers!$H$9:$H$22,MATCH($A96,Tiers!$B$9:$B$22,0))</f>
        <v/>
      </c>
      <c r="H96" s="128">
        <f>INDEX($B$5:$B$11,MATCH($B96,$A$5:$A$11,0))</f>
        <v/>
      </c>
      <c r="I96" s="153">
        <f>ROUND(F96*H96*K96,0)</f>
        <v/>
      </c>
      <c r="J96" s="153">
        <f>ROUND(G96*H96*K96,0)</f>
        <v/>
      </c>
      <c r="K96" s="154" t="n">
        <v>1</v>
      </c>
      <c r="L96" s="115">
        <f>ROUND(I96*8,0)</f>
        <v/>
      </c>
      <c r="M96" s="115">
        <f>ROUND(J96*10,0)</f>
        <v/>
      </c>
    </row>
    <row r="97" ht="15" customHeight="1" s="116">
      <c r="A97" s="128" t="inlineStr">
        <is>
          <t>Prata</t>
        </is>
      </c>
      <c r="B97" s="128" t="inlineStr">
        <is>
          <t>Maca</t>
        </is>
      </c>
      <c r="C97" s="128" t="inlineStr">
        <is>
          <t>Maça do Exorcista</t>
        </is>
      </c>
      <c r="D97" s="135" t="inlineStr">
        <is>
          <t>Rouba Vida</t>
        </is>
      </c>
      <c r="E97" s="128" t="inlineStr">
        <is>
          <t>Abençoada tantas vezes que cura quem a usa ao golpear um morto-vivo.</t>
        </is>
      </c>
      <c r="F97" s="128">
        <f>INDEX(Tiers!$G$9:$G$22,MATCH($A97,Tiers!$B$9:$B$22,0))</f>
        <v/>
      </c>
      <c r="G97" s="128">
        <f>INDEX(Tiers!$H$9:$H$22,MATCH($A97,Tiers!$B$9:$B$22,0))</f>
        <v/>
      </c>
      <c r="H97" s="128">
        <f>INDEX($B$5:$B$11,MATCH($B97,$A$5:$A$11,0))</f>
        <v/>
      </c>
      <c r="I97" s="153">
        <f>ROUND(F97*H97*K97,0)</f>
        <v/>
      </c>
      <c r="J97" s="153">
        <f>ROUND(G97*H97*K97,0)</f>
        <v/>
      </c>
      <c r="K97" s="154" t="n">
        <v>0.96</v>
      </c>
      <c r="L97" s="115">
        <f>ROUND(I97*8,0)</f>
        <v/>
      </c>
      <c r="M97" s="115">
        <f>ROUND(J97*10,0)</f>
        <v/>
      </c>
    </row>
    <row r="98" ht="15" customHeight="1" s="116">
      <c r="A98" s="128" t="inlineStr">
        <is>
          <t>Prata</t>
        </is>
      </c>
      <c r="B98" s="128" t="inlineStr">
        <is>
          <t>Maca</t>
        </is>
      </c>
      <c r="C98" s="128" t="inlineStr">
        <is>
          <t>Maça Rachada da Cripta</t>
        </is>
      </c>
      <c r="D98" s="135" t="n"/>
      <c r="E98" s="128" t="inlineStr">
        <is>
          <t>Achada perto de uma tumba arrombada — ninguém sabe quem a deixou lá.</t>
        </is>
      </c>
      <c r="F98" s="128">
        <f>INDEX(Tiers!$G$9:$G$22,MATCH($A98,Tiers!$B$9:$B$22,0))</f>
        <v/>
      </c>
      <c r="G98" s="128">
        <f>INDEX(Tiers!$H$9:$H$22,MATCH($A98,Tiers!$B$9:$B$22,0))</f>
        <v/>
      </c>
      <c r="H98" s="128">
        <f>INDEX($B$5:$B$11,MATCH($B98,$A$5:$A$11,0))</f>
        <v/>
      </c>
      <c r="I98" s="153">
        <f>ROUND(F98*H98*K98,0)</f>
        <v/>
      </c>
      <c r="J98" s="153">
        <f>ROUND(G98*H98*K98,0)</f>
        <v/>
      </c>
      <c r="K98" s="154" t="n">
        <v>1</v>
      </c>
      <c r="L98" s="115">
        <f>ROUND(I98*8,0)</f>
        <v/>
      </c>
      <c r="M98" s="115">
        <f>ROUND(J98*10,0)</f>
        <v/>
      </c>
    </row>
    <row r="99" ht="15" customHeight="1" s="116">
      <c r="A99" s="128" t="inlineStr">
        <is>
          <t>Prata</t>
        </is>
      </c>
      <c r="B99" s="128" t="inlineStr">
        <is>
          <t>Manopla</t>
        </is>
      </c>
      <c r="C99" s="128" t="inlineStr">
        <is>
          <t>Manopla de Prata</t>
        </is>
      </c>
      <c r="D99" s="135" t="n"/>
      <c r="E99" s="128" t="inlineStr">
        <is>
          <t>Nós reforçados com prata pura — cara demais pra briga de rua.</t>
        </is>
      </c>
      <c r="F99" s="128">
        <f>INDEX(Tiers!$G$9:$G$22,MATCH($A99,Tiers!$B$9:$B$22,0))</f>
        <v/>
      </c>
      <c r="G99" s="128">
        <f>INDEX(Tiers!$H$9:$H$22,MATCH($A99,Tiers!$B$9:$B$22,0))</f>
        <v/>
      </c>
      <c r="H99" s="128">
        <f>INDEX($B$5:$B$11,MATCH($B99,$A$5:$A$11,0))</f>
        <v/>
      </c>
      <c r="I99" s="153">
        <f>ROUND(F99*H99*K99,0)</f>
        <v/>
      </c>
      <c r="J99" s="153">
        <f>ROUND(G99*H99*K99,0)</f>
        <v/>
      </c>
      <c r="K99" s="154" t="n">
        <v>1</v>
      </c>
      <c r="L99" s="115">
        <f>ROUND(I99*8,0)</f>
        <v/>
      </c>
      <c r="M99" s="115">
        <f>ROUND(J99*10,0)</f>
        <v/>
      </c>
    </row>
    <row r="100" ht="15" customHeight="1" s="116">
      <c r="A100" s="128" t="inlineStr">
        <is>
          <t>Prata</t>
        </is>
      </c>
      <c r="B100" s="128" t="inlineStr">
        <is>
          <t>Manopla</t>
        </is>
      </c>
      <c r="C100" s="128" t="inlineStr">
        <is>
          <t>Manopla do Purificador</t>
        </is>
      </c>
      <c r="D100" s="135" t="n"/>
      <c r="E100" s="128" t="inlineStr">
        <is>
          <t>Usada por quem tocava os corpos antes do enterro.</t>
        </is>
      </c>
      <c r="F100" s="128">
        <f>INDEX(Tiers!$G$9:$G$22,MATCH($A100,Tiers!$B$9:$B$22,0))</f>
        <v/>
      </c>
      <c r="G100" s="128">
        <f>INDEX(Tiers!$H$9:$H$22,MATCH($A100,Tiers!$B$9:$B$22,0))</f>
        <v/>
      </c>
      <c r="H100" s="128">
        <f>INDEX($B$5:$B$11,MATCH($B100,$A$5:$A$11,0))</f>
        <v/>
      </c>
      <c r="I100" s="153">
        <f>ROUND(F100*H100*K100,0)</f>
        <v/>
      </c>
      <c r="J100" s="153">
        <f>ROUND(G100*H100*K100,0)</f>
        <v/>
      </c>
      <c r="K100" s="154" t="n">
        <v>1</v>
      </c>
      <c r="L100" s="115">
        <f>ROUND(I100*8,0)</f>
        <v/>
      </c>
      <c r="M100" s="115">
        <f>ROUND(J100*10,0)</f>
        <v/>
      </c>
    </row>
    <row r="101" ht="15" customHeight="1" s="116">
      <c r="A101" s="128" t="inlineStr">
        <is>
          <t>Prata</t>
        </is>
      </c>
      <c r="B101" s="128" t="inlineStr">
        <is>
          <t>Cetro</t>
        </is>
      </c>
      <c r="C101" s="128" t="inlineStr">
        <is>
          <t>Cetro de Prata</t>
        </is>
      </c>
      <c r="D101" s="135" t="n"/>
      <c r="E101" s="128" t="inlineStr">
        <is>
          <t>Vara fina, cristal claro — feito pra canalizar, não pra impressionar.</t>
        </is>
      </c>
      <c r="F101" s="128">
        <f>INDEX(Tiers!$G$9:$G$22,MATCH($A101,Tiers!$B$9:$B$22,0))</f>
        <v/>
      </c>
      <c r="G101" s="128">
        <f>INDEX(Tiers!$H$9:$H$22,MATCH($A101,Tiers!$B$9:$B$22,0))</f>
        <v/>
      </c>
      <c r="H101" s="128">
        <f>INDEX($B$5:$B$11,MATCH($B101,$A$5:$A$11,0))</f>
        <v/>
      </c>
      <c r="I101" s="153">
        <f>ROUND(F101*H101*K101,0)</f>
        <v/>
      </c>
      <c r="J101" s="153">
        <f>ROUND(G101*H101*K101,0)</f>
        <v/>
      </c>
      <c r="K101" s="154" t="n">
        <v>1</v>
      </c>
      <c r="L101" s="115">
        <f>ROUND(I101*8,0)</f>
        <v/>
      </c>
      <c r="M101" s="115">
        <f>ROUND(J101*10,0)</f>
        <v/>
      </c>
    </row>
    <row r="102" ht="15" customHeight="1" s="116">
      <c r="A102" s="128" t="inlineStr">
        <is>
          <t>Prata</t>
        </is>
      </c>
      <c r="B102" s="128" t="inlineStr">
        <is>
          <t>Cetro</t>
        </is>
      </c>
      <c r="C102" s="128" t="inlineStr">
        <is>
          <t>Cetro da Última Prece</t>
        </is>
      </c>
      <c r="D102" s="135" t="n"/>
      <c r="E102" s="128" t="inlineStr">
        <is>
          <t>Pertencia a um sacerdote que parou de rezar antes de terminar a última frase.</t>
        </is>
      </c>
      <c r="F102" s="128">
        <f>INDEX(Tiers!$G$9:$G$22,MATCH($A102,Tiers!$B$9:$B$22,0))</f>
        <v/>
      </c>
      <c r="G102" s="128">
        <f>INDEX(Tiers!$H$9:$H$22,MATCH($A102,Tiers!$B$9:$B$22,0))</f>
        <v/>
      </c>
      <c r="H102" s="128">
        <f>INDEX($B$5:$B$11,MATCH($B102,$A$5:$A$11,0))</f>
        <v/>
      </c>
      <c r="I102" s="153">
        <f>ROUND(F102*H102*K102,0)</f>
        <v/>
      </c>
      <c r="J102" s="153">
        <f>ROUND(G102*H102*K102,0)</f>
        <v/>
      </c>
      <c r="K102" s="154" t="n">
        <v>1</v>
      </c>
      <c r="L102" s="115">
        <f>ROUND(I102*8,0)</f>
        <v/>
      </c>
      <c r="M102" s="115">
        <f>ROUND(J102*10,0)</f>
        <v/>
      </c>
    </row>
    <row r="103" ht="15" customHeight="1" s="116">
      <c r="A103" s="128" t="inlineStr">
        <is>
          <t>Aco Elfico</t>
        </is>
      </c>
      <c r="B103" s="128" t="inlineStr">
        <is>
          <t>Espada</t>
        </is>
      </c>
      <c r="C103" s="128" t="inlineStr">
        <is>
          <t>Espada de Aço Élfico</t>
        </is>
      </c>
      <c r="D103" s="135" t="n"/>
      <c r="E103" s="128" t="inlineStr">
        <is>
          <t>Dobrada centenas de vezes sem soldas — vibra quando monstros se aproximam.</t>
        </is>
      </c>
      <c r="F103" s="128">
        <f>INDEX(Tiers!$G$9:$G$22,MATCH($A103,Tiers!$B$9:$B$22,0))</f>
        <v/>
      </c>
      <c r="G103" s="128">
        <f>INDEX(Tiers!$H$9:$H$22,MATCH($A103,Tiers!$B$9:$B$22,0))</f>
        <v/>
      </c>
      <c r="H103" s="128">
        <f>INDEX($B$5:$B$11,MATCH($B103,$A$5:$A$11,0))</f>
        <v/>
      </c>
      <c r="I103" s="153">
        <f>ROUND(F103*H103*K103,0)</f>
        <v/>
      </c>
      <c r="J103" s="153">
        <f>ROUND(G103*H103*K103,0)</f>
        <v/>
      </c>
      <c r="K103" s="154" t="n">
        <v>1</v>
      </c>
      <c r="L103" s="115">
        <f>ROUND(I103*8,0)</f>
        <v/>
      </c>
      <c r="M103" s="115">
        <f>ROUND(J103*10,0)</f>
        <v/>
      </c>
    </row>
    <row r="104" ht="15" customHeight="1" s="116">
      <c r="A104" s="128" t="inlineStr">
        <is>
          <t>Aco Elfico</t>
        </is>
      </c>
      <c r="B104" s="128" t="inlineStr">
        <is>
          <t>Espada</t>
        </is>
      </c>
      <c r="C104" s="128" t="inlineStr">
        <is>
          <t>Espada Élfica Cantante</t>
        </is>
      </c>
      <c r="D104" s="135" t="n"/>
      <c r="E104" s="128" t="inlineStr">
        <is>
          <t>Emite um zunido baixo ao cortar o ar, quase uma nota musical.</t>
        </is>
      </c>
      <c r="F104" s="128">
        <f>INDEX(Tiers!$G$9:$G$22,MATCH($A104,Tiers!$B$9:$B$22,0))</f>
        <v/>
      </c>
      <c r="G104" s="128">
        <f>INDEX(Tiers!$H$9:$H$22,MATCH($A104,Tiers!$B$9:$B$22,0))</f>
        <v/>
      </c>
      <c r="H104" s="128">
        <f>INDEX($B$5:$B$11,MATCH($B104,$A$5:$A$11,0))</f>
        <v/>
      </c>
      <c r="I104" s="153">
        <f>ROUND(F104*H104*K104,0)</f>
        <v/>
      </c>
      <c r="J104" s="153">
        <f>ROUND(G104*H104*K104,0)</f>
        <v/>
      </c>
      <c r="K104" s="154" t="n">
        <v>1</v>
      </c>
      <c r="L104" s="115">
        <f>ROUND(I104*8,0)</f>
        <v/>
      </c>
      <c r="M104" s="115">
        <f>ROUND(J104*10,0)</f>
        <v/>
      </c>
    </row>
    <row r="105" ht="15" customHeight="1" s="116">
      <c r="A105" s="128" t="inlineStr">
        <is>
          <t>Aco Elfico</t>
        </is>
      </c>
      <c r="B105" s="128" t="inlineStr">
        <is>
          <t>Espada</t>
        </is>
      </c>
      <c r="C105" s="128" t="inlineStr">
        <is>
          <t>Espada da Vigília</t>
        </is>
      </c>
      <c r="D105" s="135" t="n"/>
      <c r="E105" s="128" t="inlineStr">
        <is>
          <t>Usada pelas sentinelas da Vigília das Folhas de Prata, geração após geração.</t>
        </is>
      </c>
      <c r="F105" s="128">
        <f>INDEX(Tiers!$G$9:$G$22,MATCH($A105,Tiers!$B$9:$B$22,0))</f>
        <v/>
      </c>
      <c r="G105" s="128">
        <f>INDEX(Tiers!$H$9:$H$22,MATCH($A105,Tiers!$B$9:$B$22,0))</f>
        <v/>
      </c>
      <c r="H105" s="128">
        <f>INDEX($B$5:$B$11,MATCH($B105,$A$5:$A$11,0))</f>
        <v/>
      </c>
      <c r="I105" s="153">
        <f>ROUND(F105*H105*K105,0)</f>
        <v/>
      </c>
      <c r="J105" s="153">
        <f>ROUND(G105*H105*K105,0)</f>
        <v/>
      </c>
      <c r="K105" s="154" t="n">
        <v>1</v>
      </c>
      <c r="L105" s="115">
        <f>ROUND(I105*8,0)</f>
        <v/>
      </c>
      <c r="M105" s="115">
        <f>ROUND(J105*10,0)</f>
        <v/>
      </c>
    </row>
    <row r="106" ht="15" customHeight="1" s="116">
      <c r="A106" s="128" t="inlineStr">
        <is>
          <t>Aco Elfico</t>
        </is>
      </c>
      <c r="B106" s="128" t="inlineStr">
        <is>
          <t>Espada</t>
        </is>
      </c>
      <c r="C106" s="128" t="inlineStr">
        <is>
          <t>Espada de Fio Único</t>
        </is>
      </c>
      <c r="D106" s="135" t="n"/>
      <c r="E106" s="128" t="inlineStr">
        <is>
          <t>Forjada numa única dobra perfeita — corta antes de anunciar.</t>
        </is>
      </c>
      <c r="F106" s="128">
        <f>INDEX(Tiers!$G$9:$G$22,MATCH($A106,Tiers!$B$9:$B$22,0))</f>
        <v/>
      </c>
      <c r="G106" s="128">
        <f>INDEX(Tiers!$H$9:$H$22,MATCH($A106,Tiers!$B$9:$B$22,0))</f>
        <v/>
      </c>
      <c r="H106" s="128">
        <f>INDEX($B$5:$B$11,MATCH($B106,$A$5:$A$11,0))</f>
        <v/>
      </c>
      <c r="I106" s="153">
        <f>ROUND(F106*H106*K106,0)</f>
        <v/>
      </c>
      <c r="J106" s="153">
        <f>ROUND(G106*H106*K106,0)</f>
        <v/>
      </c>
      <c r="K106" s="154" t="n">
        <v>1</v>
      </c>
      <c r="L106" s="115">
        <f>ROUND(I106*8,0)</f>
        <v/>
      </c>
      <c r="M106" s="115">
        <f>ROUND(J106*10,0)</f>
        <v/>
      </c>
    </row>
    <row r="107" ht="15" customHeight="1" s="116">
      <c r="A107" s="128" t="inlineStr">
        <is>
          <t>Aco Elfico</t>
        </is>
      </c>
      <c r="B107" s="128" t="inlineStr">
        <is>
          <t>Machado</t>
        </is>
      </c>
      <c r="C107" s="128" t="inlineStr">
        <is>
          <t>Machado de Aço Élfico</t>
        </is>
      </c>
      <c r="D107" s="135" t="n"/>
      <c r="E107" s="128" t="inlineStr">
        <is>
          <t>Leve demais pra ser machado, afiado demais pra ser outra coisa.</t>
        </is>
      </c>
      <c r="F107" s="128">
        <f>INDEX(Tiers!$G$9:$G$22,MATCH($A107,Tiers!$B$9:$B$22,0))</f>
        <v/>
      </c>
      <c r="G107" s="128">
        <f>INDEX(Tiers!$H$9:$H$22,MATCH($A107,Tiers!$B$9:$B$22,0))</f>
        <v/>
      </c>
      <c r="H107" s="128">
        <f>INDEX($B$5:$B$11,MATCH($B107,$A$5:$A$11,0))</f>
        <v/>
      </c>
      <c r="I107" s="153">
        <f>ROUND(F107*H107*K107,0)</f>
        <v/>
      </c>
      <c r="J107" s="153">
        <f>ROUND(G107*H107*K107,0)</f>
        <v/>
      </c>
      <c r="K107" s="154" t="n">
        <v>1</v>
      </c>
      <c r="L107" s="115">
        <f>ROUND(I107*8,0)</f>
        <v/>
      </c>
      <c r="M107" s="115">
        <f>ROUND(J107*10,0)</f>
        <v/>
      </c>
    </row>
    <row r="108" ht="15" customHeight="1" s="116">
      <c r="A108" s="128" t="inlineStr">
        <is>
          <t>Aco Elfico</t>
        </is>
      </c>
      <c r="B108" s="128" t="inlineStr">
        <is>
          <t>Machado</t>
        </is>
      </c>
      <c r="C108" s="128" t="inlineStr">
        <is>
          <t>Machado dos Ecos</t>
        </is>
      </c>
      <c r="D108" s="135" t="n"/>
      <c r="E108" s="128" t="inlineStr">
        <is>
          <t>Ressoa fraco a cada golpe, como se o próprio ar discordasse do impacto.</t>
        </is>
      </c>
      <c r="F108" s="128">
        <f>INDEX(Tiers!$G$9:$G$22,MATCH($A108,Tiers!$B$9:$B$22,0))</f>
        <v/>
      </c>
      <c r="G108" s="128">
        <f>INDEX(Tiers!$H$9:$H$22,MATCH($A108,Tiers!$B$9:$B$22,0))</f>
        <v/>
      </c>
      <c r="H108" s="128">
        <f>INDEX($B$5:$B$11,MATCH($B108,$A$5:$A$11,0))</f>
        <v/>
      </c>
      <c r="I108" s="153">
        <f>ROUND(F108*H108*K108,0)</f>
        <v/>
      </c>
      <c r="J108" s="153">
        <f>ROUND(G108*H108*K108,0)</f>
        <v/>
      </c>
      <c r="K108" s="154" t="n">
        <v>1</v>
      </c>
      <c r="L108" s="115">
        <f>ROUND(I108*8,0)</f>
        <v/>
      </c>
      <c r="M108" s="115">
        <f>ROUND(J108*10,0)</f>
        <v/>
      </c>
    </row>
    <row r="109" ht="15" customHeight="1" s="116">
      <c r="A109" s="128" t="inlineStr">
        <is>
          <t>Aco Elfico</t>
        </is>
      </c>
      <c r="B109" s="128" t="inlineStr">
        <is>
          <t>Machado</t>
        </is>
      </c>
      <c r="C109" s="128" t="inlineStr">
        <is>
          <t>Machado da Guarda Florestal</t>
        </is>
      </c>
      <c r="D109" s="135" t="n"/>
      <c r="E109" s="128" t="inlineStr">
        <is>
          <t>Usado pra abrir caminho na mata sem derrubar mais do que precisa.</t>
        </is>
      </c>
      <c r="F109" s="128">
        <f>INDEX(Tiers!$G$9:$G$22,MATCH($A109,Tiers!$B$9:$B$22,0))</f>
        <v/>
      </c>
      <c r="G109" s="128">
        <f>INDEX(Tiers!$H$9:$H$22,MATCH($A109,Tiers!$B$9:$B$22,0))</f>
        <v/>
      </c>
      <c r="H109" s="128">
        <f>INDEX($B$5:$B$11,MATCH($B109,$A$5:$A$11,0))</f>
        <v/>
      </c>
      <c r="I109" s="153">
        <f>ROUND(F109*H109*K109,0)</f>
        <v/>
      </c>
      <c r="J109" s="153">
        <f>ROUND(G109*H109*K109,0)</f>
        <v/>
      </c>
      <c r="K109" s="154" t="n">
        <v>1</v>
      </c>
      <c r="L109" s="115">
        <f>ROUND(I109*8,0)</f>
        <v/>
      </c>
      <c r="M109" s="115">
        <f>ROUND(J109*10,0)</f>
        <v/>
      </c>
    </row>
    <row r="110" ht="15" customHeight="1" s="116">
      <c r="A110" s="128" t="inlineStr">
        <is>
          <t>Aco Elfico</t>
        </is>
      </c>
      <c r="B110" s="128" t="inlineStr">
        <is>
          <t>Machado</t>
        </is>
      </c>
      <c r="C110" s="128" t="inlineStr">
        <is>
          <t>Machado Élfico Cerimonial</t>
        </is>
      </c>
      <c r="D110" s="135" t="n"/>
      <c r="E110" s="128" t="inlineStr">
        <is>
          <t>Feito mais pra ritual que pra guerra — mas ainda corta fundo.</t>
        </is>
      </c>
      <c r="F110" s="128">
        <f>INDEX(Tiers!$G$9:$G$22,MATCH($A110,Tiers!$B$9:$B$22,0))</f>
        <v/>
      </c>
      <c r="G110" s="128">
        <f>INDEX(Tiers!$H$9:$H$22,MATCH($A110,Tiers!$B$9:$B$22,0))</f>
        <v/>
      </c>
      <c r="H110" s="128">
        <f>INDEX($B$5:$B$11,MATCH($B110,$A$5:$A$11,0))</f>
        <v/>
      </c>
      <c r="I110" s="153">
        <f>ROUND(F110*H110*K110,0)</f>
        <v/>
      </c>
      <c r="J110" s="153">
        <f>ROUND(G110*H110*K110,0)</f>
        <v/>
      </c>
      <c r="K110" s="154" t="n">
        <v>1</v>
      </c>
      <c r="L110" s="115">
        <f>ROUND(I110*8,0)</f>
        <v/>
      </c>
      <c r="M110" s="115">
        <f>ROUND(J110*10,0)</f>
        <v/>
      </c>
    </row>
    <row r="111" ht="15" customHeight="1" s="116">
      <c r="A111" s="128" t="inlineStr">
        <is>
          <t>Aco Elfico</t>
        </is>
      </c>
      <c r="B111" s="128" t="inlineStr">
        <is>
          <t>Arco</t>
        </is>
      </c>
      <c r="C111" s="128" t="inlineStr">
        <is>
          <t>Arco de Aço Élfico</t>
        </is>
      </c>
      <c r="D111" s="135" t="n"/>
      <c r="E111" s="128" t="inlineStr">
        <is>
          <t>Curva perfeita, tensão perfeita — o tipo de arco que elfos gastam décadas ajustando.</t>
        </is>
      </c>
      <c r="F111" s="128">
        <f>INDEX(Tiers!$G$9:$G$22,MATCH($A111,Tiers!$B$9:$B$22,0))</f>
        <v/>
      </c>
      <c r="G111" s="128">
        <f>INDEX(Tiers!$H$9:$H$22,MATCH($A111,Tiers!$B$9:$B$22,0))</f>
        <v/>
      </c>
      <c r="H111" s="128">
        <f>INDEX($B$5:$B$11,MATCH($B111,$A$5:$A$11,0))</f>
        <v/>
      </c>
      <c r="I111" s="153">
        <f>ROUND(F111*H111*K111,0)</f>
        <v/>
      </c>
      <c r="J111" s="153">
        <f>ROUND(G111*H111*K111,0)</f>
        <v/>
      </c>
      <c r="K111" s="154" t="n">
        <v>1</v>
      </c>
      <c r="L111" s="115">
        <f>ROUND(I111*8,0)</f>
        <v/>
      </c>
      <c r="M111" s="115">
        <f>ROUND(J111*10,0)</f>
        <v/>
      </c>
    </row>
    <row r="112" ht="15" customHeight="1" s="116">
      <c r="A112" s="128" t="inlineStr">
        <is>
          <t>Aco Elfico</t>
        </is>
      </c>
      <c r="B112" s="128" t="inlineStr">
        <is>
          <t>Arco</t>
        </is>
      </c>
      <c r="C112" s="128" t="inlineStr">
        <is>
          <t>Arco Ressonante</t>
        </is>
      </c>
      <c r="D112" s="135" t="n"/>
      <c r="E112" s="128" t="inlineStr">
        <is>
          <t>A corda vibra numa nota só, sempre a mesma, antes de cada disparo.</t>
        </is>
      </c>
      <c r="F112" s="128">
        <f>INDEX(Tiers!$G$9:$G$22,MATCH($A112,Tiers!$B$9:$B$22,0))</f>
        <v/>
      </c>
      <c r="G112" s="128">
        <f>INDEX(Tiers!$H$9:$H$22,MATCH($A112,Tiers!$B$9:$B$22,0))</f>
        <v/>
      </c>
      <c r="H112" s="128">
        <f>INDEX($B$5:$B$11,MATCH($B112,$A$5:$A$11,0))</f>
        <v/>
      </c>
      <c r="I112" s="153">
        <f>ROUND(F112*H112*K112,0)</f>
        <v/>
      </c>
      <c r="J112" s="153">
        <f>ROUND(G112*H112*K112,0)</f>
        <v/>
      </c>
      <c r="K112" s="154" t="n">
        <v>1</v>
      </c>
      <c r="L112" s="115">
        <f>ROUND(I112*8,0)</f>
        <v/>
      </c>
      <c r="M112" s="115">
        <f>ROUND(J112*10,0)</f>
        <v/>
      </c>
    </row>
    <row r="113" ht="15" customHeight="1" s="116">
      <c r="A113" s="128" t="inlineStr">
        <is>
          <t>Aco Elfico</t>
        </is>
      </c>
      <c r="B113" s="128" t="inlineStr">
        <is>
          <t>Arco</t>
        </is>
      </c>
      <c r="C113" s="128" t="inlineStr">
        <is>
          <t>Arco da Sentinela Perdida</t>
        </is>
      </c>
      <c r="D113" s="135" t="n"/>
      <c r="E113" s="128" t="inlineStr">
        <is>
          <t>Pertencia a quem vigiava as ruínas antes delas virarem só ruínas.</t>
        </is>
      </c>
      <c r="F113" s="128">
        <f>INDEX(Tiers!$G$9:$G$22,MATCH($A113,Tiers!$B$9:$B$22,0))</f>
        <v/>
      </c>
      <c r="G113" s="128">
        <f>INDEX(Tiers!$H$9:$H$22,MATCH($A113,Tiers!$B$9:$B$22,0))</f>
        <v/>
      </c>
      <c r="H113" s="128">
        <f>INDEX($B$5:$B$11,MATCH($B113,$A$5:$A$11,0))</f>
        <v/>
      </c>
      <c r="I113" s="153">
        <f>ROUND(F113*H113*K113,0)</f>
        <v/>
      </c>
      <c r="J113" s="153">
        <f>ROUND(G113*H113*K113,0)</f>
        <v/>
      </c>
      <c r="K113" s="154" t="n">
        <v>1</v>
      </c>
      <c r="L113" s="115">
        <f>ROUND(I113*8,0)</f>
        <v/>
      </c>
      <c r="M113" s="115">
        <f>ROUND(J113*10,0)</f>
        <v/>
      </c>
    </row>
    <row r="114" ht="15" customHeight="1" s="116">
      <c r="A114" s="128" t="inlineStr">
        <is>
          <t>Aco Elfico</t>
        </is>
      </c>
      <c r="B114" s="128" t="inlineStr">
        <is>
          <t>Arco</t>
        </is>
      </c>
      <c r="C114" s="128" t="inlineStr">
        <is>
          <t>Arco de Precisão Élfica</t>
        </is>
      </c>
      <c r="D114" s="135" t="inlineStr">
        <is>
          <t>Ignora Defesa</t>
        </is>
      </c>
      <c r="E114" s="128" t="inlineStr">
        <is>
          <t>Não erra por acaso — erra só quando quem atira erra primeiro.</t>
        </is>
      </c>
      <c r="F114" s="128">
        <f>INDEX(Tiers!$G$9:$G$22,MATCH($A114,Tiers!$B$9:$B$22,0))</f>
        <v/>
      </c>
      <c r="G114" s="128">
        <f>INDEX(Tiers!$H$9:$H$22,MATCH($A114,Tiers!$B$9:$B$22,0))</f>
        <v/>
      </c>
      <c r="H114" s="128">
        <f>INDEX($B$5:$B$11,MATCH($B114,$A$5:$A$11,0))</f>
        <v/>
      </c>
      <c r="I114" s="153">
        <f>ROUND(F114*H114*K114,0)</f>
        <v/>
      </c>
      <c r="J114" s="153">
        <f>ROUND(G114*H114*K114,0)</f>
        <v/>
      </c>
      <c r="K114" s="154" t="n">
        <v>0.97</v>
      </c>
      <c r="L114" s="115">
        <f>ROUND(I114*8,0)</f>
        <v/>
      </c>
      <c r="M114" s="115">
        <f>ROUND(J114*10,0)</f>
        <v/>
      </c>
    </row>
    <row r="115" ht="15" customHeight="1" s="116">
      <c r="A115" s="128" t="inlineStr">
        <is>
          <t>Aco Elfico</t>
        </is>
      </c>
      <c r="B115" s="128" t="inlineStr">
        <is>
          <t>Adaga</t>
        </is>
      </c>
      <c r="C115" s="128" t="inlineStr">
        <is>
          <t>Adaga de Aço Élfico</t>
        </is>
      </c>
      <c r="D115" s="135" t="n"/>
      <c r="E115" s="128" t="inlineStr">
        <is>
          <t>Fina, leve, quase invisível na mão fechada.</t>
        </is>
      </c>
      <c r="F115" s="128">
        <f>INDEX(Tiers!$G$9:$G$22,MATCH($A115,Tiers!$B$9:$B$22,0))</f>
        <v/>
      </c>
      <c r="G115" s="128">
        <f>INDEX(Tiers!$H$9:$H$22,MATCH($A115,Tiers!$B$9:$B$22,0))</f>
        <v/>
      </c>
      <c r="H115" s="128">
        <f>INDEX($B$5:$B$11,MATCH($B115,$A$5:$A$11,0))</f>
        <v/>
      </c>
      <c r="I115" s="153">
        <f>ROUND(F115*H115*K115,0)</f>
        <v/>
      </c>
      <c r="J115" s="153">
        <f>ROUND(G115*H115*K115,0)</f>
        <v/>
      </c>
      <c r="K115" s="154" t="n">
        <v>1</v>
      </c>
      <c r="L115" s="115">
        <f>ROUND(I115*8,0)</f>
        <v/>
      </c>
      <c r="M115" s="115">
        <f>ROUND(J115*10,0)</f>
        <v/>
      </c>
    </row>
    <row r="116" ht="15" customHeight="1" s="116">
      <c r="A116" s="128" t="inlineStr">
        <is>
          <t>Aco Elfico</t>
        </is>
      </c>
      <c r="B116" s="128" t="inlineStr">
        <is>
          <t>Adaga</t>
        </is>
      </c>
      <c r="C116" s="128" t="inlineStr">
        <is>
          <t>Adaga dos Ecos</t>
        </is>
      </c>
      <c r="D116" s="135" t="n"/>
      <c r="E116" s="128" t="inlineStr">
        <is>
          <t>Corta em silêncio — o único som é o que vem depois.</t>
        </is>
      </c>
      <c r="F116" s="128">
        <f>INDEX(Tiers!$G$9:$G$22,MATCH($A116,Tiers!$B$9:$B$22,0))</f>
        <v/>
      </c>
      <c r="G116" s="128">
        <f>INDEX(Tiers!$H$9:$H$22,MATCH($A116,Tiers!$B$9:$B$22,0))</f>
        <v/>
      </c>
      <c r="H116" s="128">
        <f>INDEX($B$5:$B$11,MATCH($B116,$A$5:$A$11,0))</f>
        <v/>
      </c>
      <c r="I116" s="153">
        <f>ROUND(F116*H116*K116,0)</f>
        <v/>
      </c>
      <c r="J116" s="153">
        <f>ROUND(G116*H116*K116,0)</f>
        <v/>
      </c>
      <c r="K116" s="154" t="n">
        <v>1</v>
      </c>
      <c r="L116" s="115">
        <f>ROUND(I116*8,0)</f>
        <v/>
      </c>
      <c r="M116" s="115">
        <f>ROUND(J116*10,0)</f>
        <v/>
      </c>
    </row>
    <row r="117" ht="15" customHeight="1" s="116">
      <c r="A117" s="128" t="inlineStr">
        <is>
          <t>Aco Elfico</t>
        </is>
      </c>
      <c r="B117" s="128" t="inlineStr">
        <is>
          <t>Adaga</t>
        </is>
      </c>
      <c r="C117" s="128" t="inlineStr">
        <is>
          <t>Adaga Cerimonial Élfica</t>
        </is>
      </c>
      <c r="D117" s="135" t="n"/>
      <c r="E117" s="128" t="inlineStr">
        <is>
          <t>Usada em rituais antigos, afiada o bastante pra também servir em combate.</t>
        </is>
      </c>
      <c r="F117" s="128">
        <f>INDEX(Tiers!$G$9:$G$22,MATCH($A117,Tiers!$B$9:$B$22,0))</f>
        <v/>
      </c>
      <c r="G117" s="128">
        <f>INDEX(Tiers!$H$9:$H$22,MATCH($A117,Tiers!$B$9:$B$22,0))</f>
        <v/>
      </c>
      <c r="H117" s="128">
        <f>INDEX($B$5:$B$11,MATCH($B117,$A$5:$A$11,0))</f>
        <v/>
      </c>
      <c r="I117" s="153">
        <f>ROUND(F117*H117*K117,0)</f>
        <v/>
      </c>
      <c r="J117" s="153">
        <f>ROUND(G117*H117*K117,0)</f>
        <v/>
      </c>
      <c r="K117" s="154" t="n">
        <v>1</v>
      </c>
      <c r="L117" s="115">
        <f>ROUND(I117*8,0)</f>
        <v/>
      </c>
      <c r="M117" s="115">
        <f>ROUND(J117*10,0)</f>
        <v/>
      </c>
    </row>
    <row r="118" ht="15" customHeight="1" s="116">
      <c r="A118" s="128" t="inlineStr">
        <is>
          <t>Aco Elfico</t>
        </is>
      </c>
      <c r="B118" s="128" t="inlineStr">
        <is>
          <t>Maca</t>
        </is>
      </c>
      <c r="C118" s="128" t="inlineStr">
        <is>
          <t>Maça de Aço Élfico</t>
        </is>
      </c>
      <c r="D118" s="135" t="n"/>
      <c r="E118" s="128" t="inlineStr">
        <is>
          <t>Rara entre os elfos — preferem lâmina, mas essa ainda tem lugar.</t>
        </is>
      </c>
      <c r="F118" s="128">
        <f>INDEX(Tiers!$G$9:$G$22,MATCH($A118,Tiers!$B$9:$B$22,0))</f>
        <v/>
      </c>
      <c r="G118" s="128">
        <f>INDEX(Tiers!$H$9:$H$22,MATCH($A118,Tiers!$B$9:$B$22,0))</f>
        <v/>
      </c>
      <c r="H118" s="128">
        <f>INDEX($B$5:$B$11,MATCH($B118,$A$5:$A$11,0))</f>
        <v/>
      </c>
      <c r="I118" s="153">
        <f>ROUND(F118*H118*K118,0)</f>
        <v/>
      </c>
      <c r="J118" s="153">
        <f>ROUND(G118*H118*K118,0)</f>
        <v/>
      </c>
      <c r="K118" s="154" t="n">
        <v>1</v>
      </c>
      <c r="L118" s="115">
        <f>ROUND(I118*8,0)</f>
        <v/>
      </c>
      <c r="M118" s="115">
        <f>ROUND(J118*10,0)</f>
        <v/>
      </c>
    </row>
    <row r="119" ht="15" customHeight="1" s="116">
      <c r="A119" s="128" t="inlineStr">
        <is>
          <t>Aco Elfico</t>
        </is>
      </c>
      <c r="B119" s="128" t="inlineStr">
        <is>
          <t>Maca</t>
        </is>
      </c>
      <c r="C119" s="128" t="inlineStr">
        <is>
          <t>Maça de Guarda Florestal</t>
        </is>
      </c>
      <c r="D119" s="135" t="n"/>
      <c r="E119" s="128" t="inlineStr">
        <is>
          <t>Pesada o suficiente pra afastar fera, leve o suficiente pra não cansar a patrulha.</t>
        </is>
      </c>
      <c r="F119" s="128">
        <f>INDEX(Tiers!$G$9:$G$22,MATCH($A119,Tiers!$B$9:$B$22,0))</f>
        <v/>
      </c>
      <c r="G119" s="128">
        <f>INDEX(Tiers!$H$9:$H$22,MATCH($A119,Tiers!$B$9:$B$22,0))</f>
        <v/>
      </c>
      <c r="H119" s="128">
        <f>INDEX($B$5:$B$11,MATCH($B119,$A$5:$A$11,0))</f>
        <v/>
      </c>
      <c r="I119" s="153">
        <f>ROUND(F119*H119*K119,0)</f>
        <v/>
      </c>
      <c r="J119" s="153">
        <f>ROUND(G119*H119*K119,0)</f>
        <v/>
      </c>
      <c r="K119" s="154" t="n">
        <v>1</v>
      </c>
      <c r="L119" s="115">
        <f>ROUND(I119*8,0)</f>
        <v/>
      </c>
      <c r="M119" s="115">
        <f>ROUND(J119*10,0)</f>
        <v/>
      </c>
    </row>
    <row r="120" ht="15" customHeight="1" s="116">
      <c r="A120" s="128" t="inlineStr">
        <is>
          <t>Aco Elfico</t>
        </is>
      </c>
      <c r="B120" s="128" t="inlineStr">
        <is>
          <t>Maca</t>
        </is>
      </c>
      <c r="C120" s="128" t="inlineStr">
        <is>
          <t>Maça Ressonante</t>
        </is>
      </c>
      <c r="D120" s="135" t="n"/>
      <c r="E120" s="128" t="inlineStr">
        <is>
          <t>Vibra por um instante após o golpe, como se o impacto ecoasse mais que devia.</t>
        </is>
      </c>
      <c r="F120" s="128">
        <f>INDEX(Tiers!$G$9:$G$22,MATCH($A120,Tiers!$B$9:$B$22,0))</f>
        <v/>
      </c>
      <c r="G120" s="128">
        <f>INDEX(Tiers!$H$9:$H$22,MATCH($A120,Tiers!$B$9:$B$22,0))</f>
        <v/>
      </c>
      <c r="H120" s="128">
        <f>INDEX($B$5:$B$11,MATCH($B120,$A$5:$A$11,0))</f>
        <v/>
      </c>
      <c r="I120" s="153">
        <f>ROUND(F120*H120*K120,0)</f>
        <v/>
      </c>
      <c r="J120" s="153">
        <f>ROUND(G120*H120*K120,0)</f>
        <v/>
      </c>
      <c r="K120" s="154" t="n">
        <v>1</v>
      </c>
      <c r="L120" s="115">
        <f>ROUND(I120*8,0)</f>
        <v/>
      </c>
      <c r="M120" s="115">
        <f>ROUND(J120*10,0)</f>
        <v/>
      </c>
    </row>
    <row r="121" ht="15" customHeight="1" s="116">
      <c r="A121" s="128" t="inlineStr">
        <is>
          <t>Aco Elfico</t>
        </is>
      </c>
      <c r="B121" s="128" t="inlineStr">
        <is>
          <t>Manopla</t>
        </is>
      </c>
      <c r="C121" s="128" t="inlineStr">
        <is>
          <t>Manopla de Aço Élfico</t>
        </is>
      </c>
      <c r="D121" s="135" t="n"/>
      <c r="E121" s="128" t="inlineStr">
        <is>
          <t>Fina, quase decorativa — até alguém apanhar de verdade.</t>
        </is>
      </c>
      <c r="F121" s="128">
        <f>INDEX(Tiers!$G$9:$G$22,MATCH($A121,Tiers!$B$9:$B$22,0))</f>
        <v/>
      </c>
      <c r="G121" s="128">
        <f>INDEX(Tiers!$H$9:$H$22,MATCH($A121,Tiers!$B$9:$B$22,0))</f>
        <v/>
      </c>
      <c r="H121" s="128">
        <f>INDEX($B$5:$B$11,MATCH($B121,$A$5:$A$11,0))</f>
        <v/>
      </c>
      <c r="I121" s="153">
        <f>ROUND(F121*H121*K121,0)</f>
        <v/>
      </c>
      <c r="J121" s="153">
        <f>ROUND(G121*H121*K121,0)</f>
        <v/>
      </c>
      <c r="K121" s="154" t="n">
        <v>1</v>
      </c>
      <c r="L121" s="115">
        <f>ROUND(I121*8,0)</f>
        <v/>
      </c>
      <c r="M121" s="115">
        <f>ROUND(J121*10,0)</f>
        <v/>
      </c>
    </row>
    <row r="122" ht="15" customHeight="1" s="116">
      <c r="A122" s="128" t="inlineStr">
        <is>
          <t>Aco Elfico</t>
        </is>
      </c>
      <c r="B122" s="128" t="inlineStr">
        <is>
          <t>Manopla</t>
        </is>
      </c>
      <c r="C122" s="128" t="inlineStr">
        <is>
          <t>Manopla dos Ecos</t>
        </is>
      </c>
      <c r="D122" s="135" t="n"/>
      <c r="E122" s="128" t="inlineStr">
        <is>
          <t>Emite uma vibração leve a cada soco, sentida mais do que ouvida.</t>
        </is>
      </c>
      <c r="F122" s="128">
        <f>INDEX(Tiers!$G$9:$G$22,MATCH($A122,Tiers!$B$9:$B$22,0))</f>
        <v/>
      </c>
      <c r="G122" s="128">
        <f>INDEX(Tiers!$H$9:$H$22,MATCH($A122,Tiers!$B$9:$B$22,0))</f>
        <v/>
      </c>
      <c r="H122" s="128">
        <f>INDEX($B$5:$B$11,MATCH($B122,$A$5:$A$11,0))</f>
        <v/>
      </c>
      <c r="I122" s="153">
        <f>ROUND(F122*H122*K122,0)</f>
        <v/>
      </c>
      <c r="J122" s="153">
        <f>ROUND(G122*H122*K122,0)</f>
        <v/>
      </c>
      <c r="K122" s="154" t="n">
        <v>1</v>
      </c>
      <c r="L122" s="115">
        <f>ROUND(I122*8,0)</f>
        <v/>
      </c>
      <c r="M122" s="115">
        <f>ROUND(J122*10,0)</f>
        <v/>
      </c>
    </row>
    <row r="123" ht="15" customHeight="1" s="116">
      <c r="A123" s="128" t="inlineStr">
        <is>
          <t>Aco Elfico</t>
        </is>
      </c>
      <c r="B123" s="128" t="inlineStr">
        <is>
          <t>Cetro</t>
        </is>
      </c>
      <c r="C123" s="128" t="inlineStr">
        <is>
          <t>Cetro de Aço Élfico</t>
        </is>
      </c>
      <c r="D123" s="135" t="n"/>
      <c r="E123" s="128" t="inlineStr">
        <is>
          <t>Longo, fino, cristal embutido na ponta — feito pra canalizar sem esforço.</t>
        </is>
      </c>
      <c r="F123" s="128">
        <f>INDEX(Tiers!$G$9:$G$22,MATCH($A123,Tiers!$B$9:$B$22,0))</f>
        <v/>
      </c>
      <c r="G123" s="128">
        <f>INDEX(Tiers!$H$9:$H$22,MATCH($A123,Tiers!$B$9:$B$22,0))</f>
        <v/>
      </c>
      <c r="H123" s="128">
        <f>INDEX($B$5:$B$11,MATCH($B123,$A$5:$A$11,0))</f>
        <v/>
      </c>
      <c r="I123" s="153">
        <f>ROUND(F123*H123*K123,0)</f>
        <v/>
      </c>
      <c r="J123" s="153">
        <f>ROUND(G123*H123*K123,0)</f>
        <v/>
      </c>
      <c r="K123" s="154" t="n">
        <v>1</v>
      </c>
      <c r="L123" s="115">
        <f>ROUND(I123*8,0)</f>
        <v/>
      </c>
      <c r="M123" s="115">
        <f>ROUND(J123*10,0)</f>
        <v/>
      </c>
    </row>
    <row r="124" ht="15" customHeight="1" s="116">
      <c r="A124" s="128" t="inlineStr">
        <is>
          <t>Aco Elfico</t>
        </is>
      </c>
      <c r="B124" s="128" t="inlineStr">
        <is>
          <t>Cetro</t>
        </is>
      </c>
      <c r="C124" s="128" t="inlineStr">
        <is>
          <t>Cetro da Vigília</t>
        </is>
      </c>
      <c r="D124" s="135" t="n"/>
      <c r="E124" s="128" t="inlineStr">
        <is>
          <t>Usado pelos conjuradores da Vigília das Folhas de Prata em rituais de proteção da floresta.</t>
        </is>
      </c>
      <c r="F124" s="128">
        <f>INDEX(Tiers!$G$9:$G$22,MATCH($A124,Tiers!$B$9:$B$22,0))</f>
        <v/>
      </c>
      <c r="G124" s="128">
        <f>INDEX(Tiers!$H$9:$H$22,MATCH($A124,Tiers!$B$9:$B$22,0))</f>
        <v/>
      </c>
      <c r="H124" s="128">
        <f>INDEX($B$5:$B$11,MATCH($B124,$A$5:$A$11,0))</f>
        <v/>
      </c>
      <c r="I124" s="153">
        <f>ROUND(F124*H124*K124,0)</f>
        <v/>
      </c>
      <c r="J124" s="153">
        <f>ROUND(G124*H124*K124,0)</f>
        <v/>
      </c>
      <c r="K124" s="154" t="n">
        <v>1</v>
      </c>
      <c r="L124" s="115">
        <f>ROUND(I124*8,0)</f>
        <v/>
      </c>
      <c r="M124" s="115">
        <f>ROUND(J124*10,0)</f>
        <v/>
      </c>
    </row>
    <row r="125" ht="15" customHeight="1" s="116">
      <c r="A125" s="128" t="inlineStr">
        <is>
          <t>Mecanismo Anao</t>
        </is>
      </c>
      <c r="B125" s="128" t="inlineStr">
        <is>
          <t>Espada</t>
        </is>
      </c>
      <c r="C125" s="128" t="inlineStr">
        <is>
          <t>Espada de Mecanismo Anão</t>
        </is>
      </c>
      <c r="D125" s="135" t="n"/>
      <c r="E125" s="128" t="inlineStr">
        <is>
          <t>Lâmina articulada com micromecanismos que aumentam o torque do impacto.</t>
        </is>
      </c>
      <c r="F125" s="128">
        <f>INDEX(Tiers!$G$9:$G$22,MATCH($A125,Tiers!$B$9:$B$22,0))</f>
        <v/>
      </c>
      <c r="G125" s="128">
        <f>INDEX(Tiers!$H$9:$H$22,MATCH($A125,Tiers!$B$9:$B$22,0))</f>
        <v/>
      </c>
      <c r="H125" s="128">
        <f>INDEX($B$5:$B$11,MATCH($B125,$A$5:$A$11,0))</f>
        <v/>
      </c>
      <c r="I125" s="153">
        <f>ROUND(F125*H125*K125,0)</f>
        <v/>
      </c>
      <c r="J125" s="153">
        <f>ROUND(G125*H125*K125,0)</f>
        <v/>
      </c>
      <c r="K125" s="154" t="n">
        <v>1</v>
      </c>
      <c r="L125" s="115">
        <f>ROUND(I125*8,0)</f>
        <v/>
      </c>
      <c r="M125" s="115">
        <f>ROUND(J125*10,0)</f>
        <v/>
      </c>
    </row>
    <row r="126" ht="15" customHeight="1" s="116">
      <c r="A126" s="128" t="inlineStr">
        <is>
          <t>Mecanismo Anao</t>
        </is>
      </c>
      <c r="B126" s="128" t="inlineStr">
        <is>
          <t>Espada</t>
        </is>
      </c>
      <c r="C126" s="128" t="inlineStr">
        <is>
          <t>Espada a Vapor</t>
        </is>
      </c>
      <c r="D126" s="135" t="inlineStr">
        <is>
          <t>Atordoamento</t>
        </is>
      </c>
      <c r="E126" s="128" t="inlineStr">
        <is>
          <t>Libera um jato de vapor no impacto — não corta mais fundo, mas deixa zonzo.</t>
        </is>
      </c>
      <c r="F126" s="128">
        <f>INDEX(Tiers!$G$9:$G$22,MATCH($A126,Tiers!$B$9:$B$22,0))</f>
        <v/>
      </c>
      <c r="G126" s="128">
        <f>INDEX(Tiers!$H$9:$H$22,MATCH($A126,Tiers!$B$9:$B$22,0))</f>
        <v/>
      </c>
      <c r="H126" s="128">
        <f>INDEX($B$5:$B$11,MATCH($B126,$A$5:$A$11,0))</f>
        <v/>
      </c>
      <c r="I126" s="153">
        <f>ROUND(F126*H126*K126,0)</f>
        <v/>
      </c>
      <c r="J126" s="153">
        <f>ROUND(G126*H126*K126,0)</f>
        <v/>
      </c>
      <c r="K126" s="154" t="n">
        <v>0.95</v>
      </c>
      <c r="L126" s="115">
        <f>ROUND(I126*8,0)</f>
        <v/>
      </c>
      <c r="M126" s="115">
        <f>ROUND(J126*10,0)</f>
        <v/>
      </c>
    </row>
    <row r="127" ht="15" customHeight="1" s="116">
      <c r="A127" s="128" t="inlineStr">
        <is>
          <t>Mecanismo Anao</t>
        </is>
      </c>
      <c r="B127" s="128" t="inlineStr">
        <is>
          <t>Espada</t>
        </is>
      </c>
      <c r="C127" s="128" t="inlineStr">
        <is>
          <t>Espada de Engrenagem Trava-Lâmina</t>
        </is>
      </c>
      <c r="D127" s="135" t="n"/>
      <c r="E127" s="128" t="inlineStr">
        <is>
          <t>Um mecanismo trava a lâmina no ângulo certo, sempre.</t>
        </is>
      </c>
      <c r="F127" s="128">
        <f>INDEX(Tiers!$G$9:$G$22,MATCH($A127,Tiers!$B$9:$B$22,0))</f>
        <v/>
      </c>
      <c r="G127" s="128">
        <f>INDEX(Tiers!$H$9:$H$22,MATCH($A127,Tiers!$B$9:$B$22,0))</f>
        <v/>
      </c>
      <c r="H127" s="128">
        <f>INDEX($B$5:$B$11,MATCH($B127,$A$5:$A$11,0))</f>
        <v/>
      </c>
      <c r="I127" s="153">
        <f>ROUND(F127*H127*K127,0)</f>
        <v/>
      </c>
      <c r="J127" s="153">
        <f>ROUND(G127*H127*K127,0)</f>
        <v/>
      </c>
      <c r="K127" s="154" t="n">
        <v>1</v>
      </c>
      <c r="L127" s="115">
        <f>ROUND(I127*8,0)</f>
        <v/>
      </c>
      <c r="M127" s="115">
        <f>ROUND(J127*10,0)</f>
        <v/>
      </c>
    </row>
    <row r="128" ht="15" customHeight="1" s="116">
      <c r="A128" s="128" t="inlineStr">
        <is>
          <t>Mecanismo Anao</t>
        </is>
      </c>
      <c r="B128" s="128" t="inlineStr">
        <is>
          <t>Espada</t>
        </is>
      </c>
      <c r="C128" s="128" t="inlineStr">
        <is>
          <t>Espada Articulada</t>
        </is>
      </c>
      <c r="D128" s="135" t="n"/>
      <c r="E128" s="128" t="inlineStr">
        <is>
          <t>Dobra levemente no meio — ninguém entende como ainda corta reto.</t>
        </is>
      </c>
      <c r="F128" s="128">
        <f>INDEX(Tiers!$G$9:$G$22,MATCH($A128,Tiers!$B$9:$B$22,0))</f>
        <v/>
      </c>
      <c r="G128" s="128">
        <f>INDEX(Tiers!$H$9:$H$22,MATCH($A128,Tiers!$B$9:$B$22,0))</f>
        <v/>
      </c>
      <c r="H128" s="128">
        <f>INDEX($B$5:$B$11,MATCH($B128,$A$5:$A$11,0))</f>
        <v/>
      </c>
      <c r="I128" s="153">
        <f>ROUND(F128*H128*K128,0)</f>
        <v/>
      </c>
      <c r="J128" s="153">
        <f>ROUND(G128*H128*K128,0)</f>
        <v/>
      </c>
      <c r="K128" s="154" t="n">
        <v>1</v>
      </c>
      <c r="L128" s="115">
        <f>ROUND(I128*8,0)</f>
        <v/>
      </c>
      <c r="M128" s="115">
        <f>ROUND(J128*10,0)</f>
        <v/>
      </c>
    </row>
    <row r="129" ht="15" customHeight="1" s="116">
      <c r="A129" s="128" t="inlineStr">
        <is>
          <t>Mecanismo Anao</t>
        </is>
      </c>
      <c r="B129" s="128" t="inlineStr">
        <is>
          <t>Machado</t>
        </is>
      </c>
      <c r="C129" s="128" t="inlineStr">
        <is>
          <t>Machado de Mecanismo Anão</t>
        </is>
      </c>
      <c r="D129" s="135" t="n"/>
      <c r="E129" s="128" t="inlineStr">
        <is>
          <t>Cabeça articulada, ajusta o ângulo do golpe sozinha.</t>
        </is>
      </c>
      <c r="F129" s="128">
        <f>INDEX(Tiers!$G$9:$G$22,MATCH($A129,Tiers!$B$9:$B$22,0))</f>
        <v/>
      </c>
      <c r="G129" s="128">
        <f>INDEX(Tiers!$H$9:$H$22,MATCH($A129,Tiers!$B$9:$B$22,0))</f>
        <v/>
      </c>
      <c r="H129" s="128">
        <f>INDEX($B$5:$B$11,MATCH($B129,$A$5:$A$11,0))</f>
        <v/>
      </c>
      <c r="I129" s="153">
        <f>ROUND(F129*H129*K129,0)</f>
        <v/>
      </c>
      <c r="J129" s="153">
        <f>ROUND(G129*H129*K129,0)</f>
        <v/>
      </c>
      <c r="K129" s="154" t="n">
        <v>1</v>
      </c>
      <c r="L129" s="115">
        <f>ROUND(I129*8,0)</f>
        <v/>
      </c>
      <c r="M129" s="115">
        <f>ROUND(J129*10,0)</f>
        <v/>
      </c>
    </row>
    <row r="130" ht="15" customHeight="1" s="116">
      <c r="A130" s="128" t="inlineStr">
        <is>
          <t>Mecanismo Anao</t>
        </is>
      </c>
      <c r="B130" s="128" t="inlineStr">
        <is>
          <t>Machado</t>
        </is>
      </c>
      <c r="C130" s="128" t="inlineStr">
        <is>
          <t>Machado a Pressão</t>
        </is>
      </c>
      <c r="D130" s="135" t="inlineStr">
        <is>
          <t>Ignora Defesa</t>
        </is>
      </c>
      <c r="E130" s="128" t="inlineStr">
        <is>
          <t>Um pistão interno acelera o golpe no último instante, passando direto pela guarda.</t>
        </is>
      </c>
      <c r="F130" s="128">
        <f>INDEX(Tiers!$G$9:$G$22,MATCH($A130,Tiers!$B$9:$B$22,0))</f>
        <v/>
      </c>
      <c r="G130" s="128">
        <f>INDEX(Tiers!$H$9:$H$22,MATCH($A130,Tiers!$B$9:$B$22,0))</f>
        <v/>
      </c>
      <c r="H130" s="128">
        <f>INDEX($B$5:$B$11,MATCH($B130,$A$5:$A$11,0))</f>
        <v/>
      </c>
      <c r="I130" s="153">
        <f>ROUND(F130*H130*K130,0)</f>
        <v/>
      </c>
      <c r="J130" s="153">
        <f>ROUND(G130*H130*K130,0)</f>
        <v/>
      </c>
      <c r="K130" s="154" t="n">
        <v>0.96</v>
      </c>
      <c r="L130" s="115">
        <f>ROUND(I130*8,0)</f>
        <v/>
      </c>
      <c r="M130" s="115">
        <f>ROUND(J130*10,0)</f>
        <v/>
      </c>
    </row>
    <row r="131" ht="15" customHeight="1" s="116">
      <c r="A131" s="128" t="inlineStr">
        <is>
          <t>Mecanismo Anao</t>
        </is>
      </c>
      <c r="B131" s="128" t="inlineStr">
        <is>
          <t>Machado</t>
        </is>
      </c>
      <c r="C131" s="128" t="inlineStr">
        <is>
          <t>Machado de Pistão Duplo</t>
        </is>
      </c>
      <c r="D131" s="135" t="n"/>
      <c r="E131" s="128" t="inlineStr">
        <is>
          <t>Dois pistões, um golpe só — o excesso de força é o ponto.</t>
        </is>
      </c>
      <c r="F131" s="128">
        <f>INDEX(Tiers!$G$9:$G$22,MATCH($A131,Tiers!$B$9:$B$22,0))</f>
        <v/>
      </c>
      <c r="G131" s="128">
        <f>INDEX(Tiers!$H$9:$H$22,MATCH($A131,Tiers!$B$9:$B$22,0))</f>
        <v/>
      </c>
      <c r="H131" s="128">
        <f>INDEX($B$5:$B$11,MATCH($B131,$A$5:$A$11,0))</f>
        <v/>
      </c>
      <c r="I131" s="153">
        <f>ROUND(F131*H131*K131,0)</f>
        <v/>
      </c>
      <c r="J131" s="153">
        <f>ROUND(G131*H131*K131,0)</f>
        <v/>
      </c>
      <c r="K131" s="154" t="n">
        <v>1.05</v>
      </c>
      <c r="L131" s="115">
        <f>ROUND(I131*8,0)</f>
        <v/>
      </c>
      <c r="M131" s="115">
        <f>ROUND(J131*10,0)</f>
        <v/>
      </c>
    </row>
    <row r="132" ht="15" customHeight="1" s="116">
      <c r="A132" s="128" t="inlineStr">
        <is>
          <t>Mecanismo Anao</t>
        </is>
      </c>
      <c r="B132" s="128" t="inlineStr">
        <is>
          <t>Machado</t>
        </is>
      </c>
      <c r="C132" s="128" t="inlineStr">
        <is>
          <t>Machado Cravado de Parafusos</t>
        </is>
      </c>
      <c r="D132" s="135" t="n"/>
      <c r="E132" s="128" t="inlineStr">
        <is>
          <t>Parafusos expostos na cabeça — ninguém sabe se é defeito ou design.</t>
        </is>
      </c>
      <c r="F132" s="128">
        <f>INDEX(Tiers!$G$9:$G$22,MATCH($A132,Tiers!$B$9:$B$22,0))</f>
        <v/>
      </c>
      <c r="G132" s="128">
        <f>INDEX(Tiers!$H$9:$H$22,MATCH($A132,Tiers!$B$9:$B$22,0))</f>
        <v/>
      </c>
      <c r="H132" s="128">
        <f>INDEX($B$5:$B$11,MATCH($B132,$A$5:$A$11,0))</f>
        <v/>
      </c>
      <c r="I132" s="153">
        <f>ROUND(F132*H132*K132,0)</f>
        <v/>
      </c>
      <c r="J132" s="153">
        <f>ROUND(G132*H132*K132,0)</f>
        <v/>
      </c>
      <c r="K132" s="154" t="n">
        <v>1</v>
      </c>
      <c r="L132" s="115">
        <f>ROUND(I132*8,0)</f>
        <v/>
      </c>
      <c r="M132" s="115">
        <f>ROUND(J132*10,0)</f>
        <v/>
      </c>
    </row>
    <row r="133" ht="15" customHeight="1" s="116">
      <c r="A133" s="128" t="inlineStr">
        <is>
          <t>Mecanismo Anao</t>
        </is>
      </c>
      <c r="B133" s="128" t="inlineStr">
        <is>
          <t>Arco</t>
        </is>
      </c>
      <c r="C133" s="128" t="inlineStr">
        <is>
          <t>Arco de Mecanismo Anão</t>
        </is>
      </c>
      <c r="D133" s="135" t="n"/>
      <c r="E133" s="128" t="inlineStr">
        <is>
          <t>Mira ajustada por um pequeno mecanismo de precisão embutido.</t>
        </is>
      </c>
      <c r="F133" s="128">
        <f>INDEX(Tiers!$G$9:$G$22,MATCH($A133,Tiers!$B$9:$B$22,0))</f>
        <v/>
      </c>
      <c r="G133" s="128">
        <f>INDEX(Tiers!$H$9:$H$22,MATCH($A133,Tiers!$B$9:$B$22,0))</f>
        <v/>
      </c>
      <c r="H133" s="128">
        <f>INDEX($B$5:$B$11,MATCH($B133,$A$5:$A$11,0))</f>
        <v/>
      </c>
      <c r="I133" s="153">
        <f>ROUND(F133*H133*K133,0)</f>
        <v/>
      </c>
      <c r="J133" s="153">
        <f>ROUND(G133*H133*K133,0)</f>
        <v/>
      </c>
      <c r="K133" s="154" t="n">
        <v>1</v>
      </c>
      <c r="L133" s="115">
        <f>ROUND(I133*8,0)</f>
        <v/>
      </c>
      <c r="M133" s="115">
        <f>ROUND(J133*10,0)</f>
        <v/>
      </c>
    </row>
    <row r="134" ht="15" customHeight="1" s="116">
      <c r="A134" s="128" t="inlineStr">
        <is>
          <t>Mecanismo Anao</t>
        </is>
      </c>
      <c r="B134" s="128" t="inlineStr">
        <is>
          <t>Arco</t>
        </is>
      </c>
      <c r="C134" s="128" t="inlineStr">
        <is>
          <t>Besta de Repetição</t>
        </is>
      </c>
      <c r="D134" s="135" t="n"/>
      <c r="E134" s="128" t="inlineStr">
        <is>
          <t>Dispara em sequência rápida — a manivela nunca para de girar.</t>
        </is>
      </c>
      <c r="F134" s="128">
        <f>INDEX(Tiers!$G$9:$G$22,MATCH($A134,Tiers!$B$9:$B$22,0))</f>
        <v/>
      </c>
      <c r="G134" s="128">
        <f>INDEX(Tiers!$H$9:$H$22,MATCH($A134,Tiers!$B$9:$B$22,0))</f>
        <v/>
      </c>
      <c r="H134" s="128">
        <f>INDEX($B$5:$B$11,MATCH($B134,$A$5:$A$11,0))</f>
        <v/>
      </c>
      <c r="I134" s="153">
        <f>ROUND(F134*H134*K134,0)</f>
        <v/>
      </c>
      <c r="J134" s="153">
        <f>ROUND(G134*H134*K134,0)</f>
        <v/>
      </c>
      <c r="K134" s="154" t="n">
        <v>1</v>
      </c>
      <c r="L134" s="115">
        <f>ROUND(I134*8,0)</f>
        <v/>
      </c>
      <c r="M134" s="115">
        <f>ROUND(J134*10,0)</f>
        <v/>
      </c>
    </row>
    <row r="135" ht="15" customHeight="1" s="116">
      <c r="A135" s="128" t="inlineStr">
        <is>
          <t>Mecanismo Anao</t>
        </is>
      </c>
      <c r="B135" s="128" t="inlineStr">
        <is>
          <t>Arco</t>
        </is>
      </c>
      <c r="C135" s="128" t="inlineStr">
        <is>
          <t>Besta de Precisão Anã</t>
        </is>
      </c>
      <c r="D135" s="135" t="n"/>
      <c r="E135" s="128" t="inlineStr">
        <is>
          <t>Calibrada por engenheiros que nunca confiaram só no olho.</t>
        </is>
      </c>
      <c r="F135" s="128">
        <f>INDEX(Tiers!$G$9:$G$22,MATCH($A135,Tiers!$B$9:$B$22,0))</f>
        <v/>
      </c>
      <c r="G135" s="128">
        <f>INDEX(Tiers!$H$9:$H$22,MATCH($A135,Tiers!$B$9:$B$22,0))</f>
        <v/>
      </c>
      <c r="H135" s="128">
        <f>INDEX($B$5:$B$11,MATCH($B135,$A$5:$A$11,0))</f>
        <v/>
      </c>
      <c r="I135" s="153">
        <f>ROUND(F135*H135*K135,0)</f>
        <v/>
      </c>
      <c r="J135" s="153">
        <f>ROUND(G135*H135*K135,0)</f>
        <v/>
      </c>
      <c r="K135" s="154" t="n">
        <v>1</v>
      </c>
      <c r="L135" s="115">
        <f>ROUND(I135*8,0)</f>
        <v/>
      </c>
      <c r="M135" s="115">
        <f>ROUND(J135*10,0)</f>
        <v/>
      </c>
    </row>
    <row r="136" ht="15" customHeight="1" s="116">
      <c r="A136" s="128" t="inlineStr">
        <is>
          <t>Mecanismo Anao</t>
        </is>
      </c>
      <c r="B136" s="128" t="inlineStr">
        <is>
          <t>Arco</t>
        </is>
      </c>
      <c r="C136" s="128" t="inlineStr">
        <is>
          <t>Arco de Mola Reforçada</t>
        </is>
      </c>
      <c r="D136" s="135" t="n"/>
      <c r="E136" s="128" t="inlineStr">
        <is>
          <t>A mola interna faz o trabalho que o braço não precisa mais fazer.</t>
        </is>
      </c>
      <c r="F136" s="128">
        <f>INDEX(Tiers!$G$9:$G$22,MATCH($A136,Tiers!$B$9:$B$22,0))</f>
        <v/>
      </c>
      <c r="G136" s="128">
        <f>INDEX(Tiers!$H$9:$H$22,MATCH($A136,Tiers!$B$9:$B$22,0))</f>
        <v/>
      </c>
      <c r="H136" s="128">
        <f>INDEX($B$5:$B$11,MATCH($B136,$A$5:$A$11,0))</f>
        <v/>
      </c>
      <c r="I136" s="153">
        <f>ROUND(F136*H136*K136,0)</f>
        <v/>
      </c>
      <c r="J136" s="153">
        <f>ROUND(G136*H136*K136,0)</f>
        <v/>
      </c>
      <c r="K136" s="154" t="n">
        <v>1.05</v>
      </c>
      <c r="L136" s="115">
        <f>ROUND(I136*8,0)</f>
        <v/>
      </c>
      <c r="M136" s="115">
        <f>ROUND(J136*10,0)</f>
        <v/>
      </c>
    </row>
    <row r="137" ht="15" customHeight="1" s="116">
      <c r="A137" s="128" t="inlineStr">
        <is>
          <t>Mecanismo Anao</t>
        </is>
      </c>
      <c r="B137" s="128" t="inlineStr">
        <is>
          <t>Adaga</t>
        </is>
      </c>
      <c r="C137" s="128" t="inlineStr">
        <is>
          <t>Adaga de Mecanismo Anão</t>
        </is>
      </c>
      <c r="D137" s="135" t="n"/>
      <c r="E137" s="128" t="inlineStr">
        <is>
          <t>Pequena, precisa, com um leve clique a cada uso.</t>
        </is>
      </c>
      <c r="F137" s="128">
        <f>INDEX(Tiers!$G$9:$G$22,MATCH($A137,Tiers!$B$9:$B$22,0))</f>
        <v/>
      </c>
      <c r="G137" s="128">
        <f>INDEX(Tiers!$H$9:$H$22,MATCH($A137,Tiers!$B$9:$B$22,0))</f>
        <v/>
      </c>
      <c r="H137" s="128">
        <f>INDEX($B$5:$B$11,MATCH($B137,$A$5:$A$11,0))</f>
        <v/>
      </c>
      <c r="I137" s="153">
        <f>ROUND(F137*H137*K137,0)</f>
        <v/>
      </c>
      <c r="J137" s="153">
        <f>ROUND(G137*H137*K137,0)</f>
        <v/>
      </c>
      <c r="K137" s="154" t="n">
        <v>1</v>
      </c>
      <c r="L137" s="115">
        <f>ROUND(I137*8,0)</f>
        <v/>
      </c>
      <c r="M137" s="115">
        <f>ROUND(J137*10,0)</f>
        <v/>
      </c>
    </row>
    <row r="138" ht="15" customHeight="1" s="116">
      <c r="A138" s="128" t="inlineStr">
        <is>
          <t>Mecanismo Anao</t>
        </is>
      </c>
      <c r="B138" s="128" t="inlineStr">
        <is>
          <t>Adaga</t>
        </is>
      </c>
      <c r="C138" s="128" t="inlineStr">
        <is>
          <t>Adaga de Lâmina Retrátil</t>
        </is>
      </c>
      <c r="D138" s="135" t="n"/>
      <c r="E138" s="128" t="inlineStr">
        <is>
          <t>Recolhe com um clique — surpresa garantida.</t>
        </is>
      </c>
      <c r="F138" s="128">
        <f>INDEX(Tiers!$G$9:$G$22,MATCH($A138,Tiers!$B$9:$B$22,0))</f>
        <v/>
      </c>
      <c r="G138" s="128">
        <f>INDEX(Tiers!$H$9:$H$22,MATCH($A138,Tiers!$B$9:$B$22,0))</f>
        <v/>
      </c>
      <c r="H138" s="128">
        <f>INDEX($B$5:$B$11,MATCH($B138,$A$5:$A$11,0))</f>
        <v/>
      </c>
      <c r="I138" s="153">
        <f>ROUND(F138*H138*K138,0)</f>
        <v/>
      </c>
      <c r="J138" s="153">
        <f>ROUND(G138*H138*K138,0)</f>
        <v/>
      </c>
      <c r="K138" s="154" t="n">
        <v>1</v>
      </c>
      <c r="L138" s="115">
        <f>ROUND(I138*8,0)</f>
        <v/>
      </c>
      <c r="M138" s="115">
        <f>ROUND(J138*10,0)</f>
        <v/>
      </c>
    </row>
    <row r="139" ht="15" customHeight="1" s="116">
      <c r="A139" s="128" t="inlineStr">
        <is>
          <t>Mecanismo Anao</t>
        </is>
      </c>
      <c r="B139" s="128" t="inlineStr">
        <is>
          <t>Adaga</t>
        </is>
      </c>
      <c r="C139" s="128" t="inlineStr">
        <is>
          <t>Adaga a Mola</t>
        </is>
      </c>
      <c r="D139" s="135" t="n"/>
      <c r="E139" s="128" t="inlineStr">
        <is>
          <t>A lâmina salta com força extra no primeiro golpe.</t>
        </is>
      </c>
      <c r="F139" s="128">
        <f>INDEX(Tiers!$G$9:$G$22,MATCH($A139,Tiers!$B$9:$B$22,0))</f>
        <v/>
      </c>
      <c r="G139" s="128">
        <f>INDEX(Tiers!$H$9:$H$22,MATCH($A139,Tiers!$B$9:$B$22,0))</f>
        <v/>
      </c>
      <c r="H139" s="128">
        <f>INDEX($B$5:$B$11,MATCH($B139,$A$5:$A$11,0))</f>
        <v/>
      </c>
      <c r="I139" s="153">
        <f>ROUND(F139*H139*K139,0)</f>
        <v/>
      </c>
      <c r="J139" s="153">
        <f>ROUND(G139*H139*K139,0)</f>
        <v/>
      </c>
      <c r="K139" s="154" t="n">
        <v>1</v>
      </c>
      <c r="L139" s="115">
        <f>ROUND(I139*8,0)</f>
        <v/>
      </c>
      <c r="M139" s="115">
        <f>ROUND(J139*10,0)</f>
        <v/>
      </c>
    </row>
    <row r="140" ht="15" customHeight="1" s="116">
      <c r="A140" s="128" t="inlineStr">
        <is>
          <t>Mecanismo Anao</t>
        </is>
      </c>
      <c r="B140" s="128" t="inlineStr">
        <is>
          <t>Maca</t>
        </is>
      </c>
      <c r="C140" s="128" t="inlineStr">
        <is>
          <t>Maça de Mecanismo Anão</t>
        </is>
      </c>
      <c r="D140" s="135" t="n"/>
      <c r="E140" s="128" t="inlineStr">
        <is>
          <t>Cabeça balanceada por um contrapeso interno.</t>
        </is>
      </c>
      <c r="F140" s="128">
        <f>INDEX(Tiers!$G$9:$G$22,MATCH($A140,Tiers!$B$9:$B$22,0))</f>
        <v/>
      </c>
      <c r="G140" s="128">
        <f>INDEX(Tiers!$H$9:$H$22,MATCH($A140,Tiers!$B$9:$B$22,0))</f>
        <v/>
      </c>
      <c r="H140" s="128">
        <f>INDEX($B$5:$B$11,MATCH($B140,$A$5:$A$11,0))</f>
        <v/>
      </c>
      <c r="I140" s="153">
        <f>ROUND(F140*H140*K140,0)</f>
        <v/>
      </c>
      <c r="J140" s="153">
        <f>ROUND(G140*H140*K140,0)</f>
        <v/>
      </c>
      <c r="K140" s="154" t="n">
        <v>1</v>
      </c>
      <c r="L140" s="115">
        <f>ROUND(I140*8,0)</f>
        <v/>
      </c>
      <c r="M140" s="115">
        <f>ROUND(J140*10,0)</f>
        <v/>
      </c>
    </row>
    <row r="141" ht="15" customHeight="1" s="116">
      <c r="A141" s="128" t="inlineStr">
        <is>
          <t>Mecanismo Anao</t>
        </is>
      </c>
      <c r="B141" s="128" t="inlineStr">
        <is>
          <t>Maca</t>
        </is>
      </c>
      <c r="C141" s="128" t="inlineStr">
        <is>
          <t>Maça de Percussão a Vapor</t>
        </is>
      </c>
      <c r="D141" s="135" t="inlineStr">
        <is>
          <t>Atordoamento</t>
        </is>
      </c>
      <c r="E141" s="128" t="inlineStr">
        <is>
          <t>Libera um estouro de vapor no impacto — machuca e atordoa.</t>
        </is>
      </c>
      <c r="F141" s="128">
        <f>INDEX(Tiers!$G$9:$G$22,MATCH($A141,Tiers!$B$9:$B$22,0))</f>
        <v/>
      </c>
      <c r="G141" s="128">
        <f>INDEX(Tiers!$H$9:$H$22,MATCH($A141,Tiers!$B$9:$B$22,0))</f>
        <v/>
      </c>
      <c r="H141" s="128">
        <f>INDEX($B$5:$B$11,MATCH($B141,$A$5:$A$11,0))</f>
        <v/>
      </c>
      <c r="I141" s="153">
        <f>ROUND(F141*H141*K141,0)</f>
        <v/>
      </c>
      <c r="J141" s="153">
        <f>ROUND(G141*H141*K141,0)</f>
        <v/>
      </c>
      <c r="K141" s="154" t="n">
        <v>0.96</v>
      </c>
      <c r="L141" s="115">
        <f>ROUND(I141*8,0)</f>
        <v/>
      </c>
      <c r="M141" s="115">
        <f>ROUND(J141*10,0)</f>
        <v/>
      </c>
    </row>
    <row r="142" ht="15" customHeight="1" s="116">
      <c r="A142" s="128" t="inlineStr">
        <is>
          <t>Mecanismo Anao</t>
        </is>
      </c>
      <c r="B142" s="128" t="inlineStr">
        <is>
          <t>Maca</t>
        </is>
      </c>
      <c r="C142" s="128" t="inlineStr">
        <is>
          <t>Maça de Engrenagem Trancada</t>
        </is>
      </c>
      <c r="D142" s="135" t="n"/>
      <c r="E142" s="128" t="inlineStr">
        <is>
          <t>Trava no ponto de maior impacto antes de golpear.</t>
        </is>
      </c>
      <c r="F142" s="128">
        <f>INDEX(Tiers!$G$9:$G$22,MATCH($A142,Tiers!$B$9:$B$22,0))</f>
        <v/>
      </c>
      <c r="G142" s="128">
        <f>INDEX(Tiers!$H$9:$H$22,MATCH($A142,Tiers!$B$9:$B$22,0))</f>
        <v/>
      </c>
      <c r="H142" s="128">
        <f>INDEX($B$5:$B$11,MATCH($B142,$A$5:$A$11,0))</f>
        <v/>
      </c>
      <c r="I142" s="153">
        <f>ROUND(F142*H142*K142,0)</f>
        <v/>
      </c>
      <c r="J142" s="153">
        <f>ROUND(G142*H142*K142,0)</f>
        <v/>
      </c>
      <c r="K142" s="154" t="n">
        <v>1</v>
      </c>
      <c r="L142" s="115">
        <f>ROUND(I142*8,0)</f>
        <v/>
      </c>
      <c r="M142" s="115">
        <f>ROUND(J142*10,0)</f>
        <v/>
      </c>
    </row>
    <row r="143" ht="15" customHeight="1" s="116">
      <c r="A143" s="128" t="inlineStr">
        <is>
          <t>Mecanismo Anao</t>
        </is>
      </c>
      <c r="B143" s="128" t="inlineStr">
        <is>
          <t>Manopla</t>
        </is>
      </c>
      <c r="C143" s="128" t="inlineStr">
        <is>
          <t>Manopla de Mecanismo Anão</t>
        </is>
      </c>
      <c r="D143" s="135" t="n"/>
      <c r="E143" s="128" t="inlineStr">
        <is>
          <t>Nós reforçados com pequenas molas de impacto.</t>
        </is>
      </c>
      <c r="F143" s="128">
        <f>INDEX(Tiers!$G$9:$G$22,MATCH($A143,Tiers!$B$9:$B$22,0))</f>
        <v/>
      </c>
      <c r="G143" s="128">
        <f>INDEX(Tiers!$H$9:$H$22,MATCH($A143,Tiers!$B$9:$B$22,0))</f>
        <v/>
      </c>
      <c r="H143" s="128">
        <f>INDEX($B$5:$B$11,MATCH($B143,$A$5:$A$11,0))</f>
        <v/>
      </c>
      <c r="I143" s="153">
        <f>ROUND(F143*H143*K143,0)</f>
        <v/>
      </c>
      <c r="J143" s="153">
        <f>ROUND(G143*H143*K143,0)</f>
        <v/>
      </c>
      <c r="K143" s="154" t="n">
        <v>1</v>
      </c>
      <c r="L143" s="115">
        <f>ROUND(I143*8,0)</f>
        <v/>
      </c>
      <c r="M143" s="115">
        <f>ROUND(J143*10,0)</f>
        <v/>
      </c>
    </row>
    <row r="144" ht="15" customHeight="1" s="116">
      <c r="A144" s="128" t="inlineStr">
        <is>
          <t>Mecanismo Anao</t>
        </is>
      </c>
      <c r="B144" s="128" t="inlineStr">
        <is>
          <t>Manopla</t>
        </is>
      </c>
      <c r="C144" s="128" t="inlineStr">
        <is>
          <t>Manopla de Soco Pneumático</t>
        </is>
      </c>
      <c r="D144" s="135" t="inlineStr">
        <is>
          <t>Atordoamento</t>
        </is>
      </c>
      <c r="E144" s="128" t="inlineStr">
        <is>
          <t>Um pistão de ar comprimido soca junto com o punho.</t>
        </is>
      </c>
      <c r="F144" s="128">
        <f>INDEX(Tiers!$G$9:$G$22,MATCH($A144,Tiers!$B$9:$B$22,0))</f>
        <v/>
      </c>
      <c r="G144" s="128">
        <f>INDEX(Tiers!$H$9:$H$22,MATCH($A144,Tiers!$B$9:$B$22,0))</f>
        <v/>
      </c>
      <c r="H144" s="128">
        <f>INDEX($B$5:$B$11,MATCH($B144,$A$5:$A$11,0))</f>
        <v/>
      </c>
      <c r="I144" s="153">
        <f>ROUND(F144*H144*K144,0)</f>
        <v/>
      </c>
      <c r="J144" s="153">
        <f>ROUND(G144*H144*K144,0)</f>
        <v/>
      </c>
      <c r="K144" s="154" t="n">
        <v>0.97</v>
      </c>
      <c r="L144" s="115">
        <f>ROUND(I144*8,0)</f>
        <v/>
      </c>
      <c r="M144" s="115">
        <f>ROUND(J144*10,0)</f>
        <v/>
      </c>
    </row>
    <row r="145" ht="15" customHeight="1" s="116">
      <c r="A145" s="128" t="inlineStr">
        <is>
          <t>Mecanismo Anao</t>
        </is>
      </c>
      <c r="B145" s="128" t="inlineStr">
        <is>
          <t>Cetro</t>
        </is>
      </c>
      <c r="C145" s="128" t="inlineStr">
        <is>
          <t>Cetro de Mecanismo Anão</t>
        </is>
      </c>
      <c r="D145" s="135" t="n"/>
      <c r="E145" s="128" t="inlineStr">
        <is>
          <t>Cristal preso por engrenagens visíveis — função acima de estética.</t>
        </is>
      </c>
      <c r="F145" s="128">
        <f>INDEX(Tiers!$G$9:$G$22,MATCH($A145,Tiers!$B$9:$B$22,0))</f>
        <v/>
      </c>
      <c r="G145" s="128">
        <f>INDEX(Tiers!$H$9:$H$22,MATCH($A145,Tiers!$B$9:$B$22,0))</f>
        <v/>
      </c>
      <c r="H145" s="128">
        <f>INDEX($B$5:$B$11,MATCH($B145,$A$5:$A$11,0))</f>
        <v/>
      </c>
      <c r="I145" s="153">
        <f>ROUND(F145*H145*K145,0)</f>
        <v/>
      </c>
      <c r="J145" s="153">
        <f>ROUND(G145*H145*K145,0)</f>
        <v/>
      </c>
      <c r="K145" s="154" t="n">
        <v>1</v>
      </c>
      <c r="L145" s="115">
        <f>ROUND(I145*8,0)</f>
        <v/>
      </c>
      <c r="M145" s="115">
        <f>ROUND(J145*10,0)</f>
        <v/>
      </c>
    </row>
    <row r="146" ht="15" customHeight="1" s="116">
      <c r="A146" s="128" t="inlineStr">
        <is>
          <t>Mecanismo Anao</t>
        </is>
      </c>
      <c r="B146" s="128" t="inlineStr">
        <is>
          <t>Cetro</t>
        </is>
      </c>
      <c r="C146" s="128" t="inlineStr">
        <is>
          <t>Cetro de Engrenagens Cantantes</t>
        </is>
      </c>
      <c r="D146" s="135" t="n"/>
      <c r="E146" s="128" t="inlineStr">
        <is>
          <t>As engrenagens giram com um som quase musical ao canalizar.</t>
        </is>
      </c>
      <c r="F146" s="128">
        <f>INDEX(Tiers!$G$9:$G$22,MATCH($A146,Tiers!$B$9:$B$22,0))</f>
        <v/>
      </c>
      <c r="G146" s="128">
        <f>INDEX(Tiers!$H$9:$H$22,MATCH($A146,Tiers!$B$9:$B$22,0))</f>
        <v/>
      </c>
      <c r="H146" s="128">
        <f>INDEX($B$5:$B$11,MATCH($B146,$A$5:$A$11,0))</f>
        <v/>
      </c>
      <c r="I146" s="153">
        <f>ROUND(F146*H146*K146,0)</f>
        <v/>
      </c>
      <c r="J146" s="153">
        <f>ROUND(G146*H146*K146,0)</f>
        <v/>
      </c>
      <c r="K146" s="154" t="n">
        <v>1</v>
      </c>
      <c r="L146" s="115">
        <f>ROUND(I146*8,0)</f>
        <v/>
      </c>
      <c r="M146" s="115">
        <f>ROUND(J146*10,0)</f>
        <v/>
      </c>
    </row>
    <row r="147" ht="15" customHeight="1" s="116">
      <c r="A147" s="128" t="inlineStr">
        <is>
          <t>Vidro Vulcanico</t>
        </is>
      </c>
      <c r="B147" s="128" t="inlineStr">
        <is>
          <t>Espada</t>
        </is>
      </c>
      <c r="C147" s="128" t="inlineStr">
        <is>
          <t>Espada de Vidro Vulcânico</t>
        </is>
      </c>
      <c r="D147" s="135" t="n"/>
      <c r="E147" s="128" t="inlineStr">
        <is>
          <t>Forjada em temperatura extrema — afiada a nível quase invisível.</t>
        </is>
      </c>
      <c r="F147" s="128">
        <f>INDEX(Tiers!$G$9:$G$22,MATCH($A147,Tiers!$B$9:$B$22,0))</f>
        <v/>
      </c>
      <c r="G147" s="128">
        <f>INDEX(Tiers!$H$9:$H$22,MATCH($A147,Tiers!$B$9:$B$22,0))</f>
        <v/>
      </c>
      <c r="H147" s="128">
        <f>INDEX($B$5:$B$11,MATCH($B147,$A$5:$A$11,0))</f>
        <v/>
      </c>
      <c r="I147" s="153">
        <f>ROUND(F147*H147*K147,0)</f>
        <v/>
      </c>
      <c r="J147" s="153">
        <f>ROUND(G147*H147*K147,0)</f>
        <v/>
      </c>
      <c r="K147" s="154" t="n">
        <v>1</v>
      </c>
      <c r="L147" s="115">
        <f>ROUND(I147*8,0)</f>
        <v/>
      </c>
      <c r="M147" s="115">
        <f>ROUND(J147*10,0)</f>
        <v/>
      </c>
    </row>
    <row r="148" ht="15" customHeight="1" s="116">
      <c r="A148" s="128" t="inlineStr">
        <is>
          <t>Vidro Vulcanico</t>
        </is>
      </c>
      <c r="B148" s="128" t="inlineStr">
        <is>
          <t>Espada</t>
        </is>
      </c>
      <c r="C148" s="128" t="inlineStr">
        <is>
          <t>Espada de Obsidiana Polida</t>
        </is>
      </c>
      <c r="D148" s="135" t="inlineStr">
        <is>
          <t>Fragilidade</t>
        </is>
      </c>
      <c r="E148" s="128" t="inlineStr">
        <is>
          <t>Corta limpo, mas racha se usada sem cuidado.</t>
        </is>
      </c>
      <c r="F148" s="128">
        <f>INDEX(Tiers!$G$9:$G$22,MATCH($A148,Tiers!$B$9:$B$22,0))</f>
        <v/>
      </c>
      <c r="G148" s="128">
        <f>INDEX(Tiers!$H$9:$H$22,MATCH($A148,Tiers!$B$9:$B$22,0))</f>
        <v/>
      </c>
      <c r="H148" s="128">
        <f>INDEX($B$5:$B$11,MATCH($B148,$A$5:$A$11,0))</f>
        <v/>
      </c>
      <c r="I148" s="153">
        <f>ROUND(F148*H148*K148,0)</f>
        <v/>
      </c>
      <c r="J148" s="153">
        <f>ROUND(G148*H148*K148,0)</f>
        <v/>
      </c>
      <c r="K148" s="154" t="n">
        <v>1.05</v>
      </c>
      <c r="L148" s="115">
        <f>ROUND(I148*8,0)</f>
        <v/>
      </c>
      <c r="M148" s="115">
        <f>ROUND(J148*10,0)</f>
        <v/>
      </c>
    </row>
    <row r="149" ht="15" customHeight="1" s="116">
      <c r="A149" s="128" t="inlineStr">
        <is>
          <t>Vidro Vulcanico</t>
        </is>
      </c>
      <c r="B149" s="128" t="inlineStr">
        <is>
          <t>Espada</t>
        </is>
      </c>
      <c r="C149" s="128" t="inlineStr">
        <is>
          <t>Espada em Brasa</t>
        </is>
      </c>
      <c r="D149" s="135" t="inlineStr">
        <is>
          <t>Queimadura</t>
        </is>
      </c>
      <c r="E149" s="128" t="inlineStr">
        <is>
          <t>Ainda soltando fumaça fina — quem segura sente o calor através do cabo.</t>
        </is>
      </c>
      <c r="F149" s="128">
        <f>INDEX(Tiers!$G$9:$G$22,MATCH($A149,Tiers!$B$9:$B$22,0))</f>
        <v/>
      </c>
      <c r="G149" s="128">
        <f>INDEX(Tiers!$H$9:$H$22,MATCH($A149,Tiers!$B$9:$B$22,0))</f>
        <v/>
      </c>
      <c r="H149" s="128">
        <f>INDEX($B$5:$B$11,MATCH($B149,$A$5:$A$11,0))</f>
        <v/>
      </c>
      <c r="I149" s="153">
        <f>ROUND(F149*H149*K149,0)</f>
        <v/>
      </c>
      <c r="J149" s="153">
        <f>ROUND(G149*H149*K149,0)</f>
        <v/>
      </c>
      <c r="K149" s="154" t="n">
        <v>0.95</v>
      </c>
      <c r="L149" s="115">
        <f>ROUND(I149*8,0)</f>
        <v/>
      </c>
      <c r="M149" s="115">
        <f>ROUND(J149*10,0)</f>
        <v/>
      </c>
    </row>
    <row r="150" ht="15" customHeight="1" s="116">
      <c r="A150" s="128" t="inlineStr">
        <is>
          <t>Vidro Vulcanico</t>
        </is>
      </c>
      <c r="B150" s="128" t="inlineStr">
        <is>
          <t>Espada</t>
        </is>
      </c>
      <c r="C150" s="128" t="inlineStr">
        <is>
          <t>Espada de Vidro Negro</t>
        </is>
      </c>
      <c r="D150" s="135" t="n"/>
      <c r="E150" s="128" t="inlineStr">
        <is>
          <t>Escura como a rocha que a gerou, quase invisível na penumbra do Sultanato.</t>
        </is>
      </c>
      <c r="F150" s="128">
        <f>INDEX(Tiers!$G$9:$G$22,MATCH($A150,Tiers!$B$9:$B$22,0))</f>
        <v/>
      </c>
      <c r="G150" s="128">
        <f>INDEX(Tiers!$H$9:$H$22,MATCH($A150,Tiers!$B$9:$B$22,0))</f>
        <v/>
      </c>
      <c r="H150" s="128">
        <f>INDEX($B$5:$B$11,MATCH($B150,$A$5:$A$11,0))</f>
        <v/>
      </c>
      <c r="I150" s="153">
        <f>ROUND(F150*H150*K150,0)</f>
        <v/>
      </c>
      <c r="J150" s="153">
        <f>ROUND(G150*H150*K150,0)</f>
        <v/>
      </c>
      <c r="K150" s="154" t="n">
        <v>1</v>
      </c>
      <c r="L150" s="115">
        <f>ROUND(I150*8,0)</f>
        <v/>
      </c>
      <c r="M150" s="115">
        <f>ROUND(J150*10,0)</f>
        <v/>
      </c>
    </row>
    <row r="151" ht="15" customHeight="1" s="116">
      <c r="A151" s="128" t="inlineStr">
        <is>
          <t>Vidro Vulcanico</t>
        </is>
      </c>
      <c r="B151" s="128" t="inlineStr">
        <is>
          <t>Machado</t>
        </is>
      </c>
      <c r="C151" s="128" t="inlineStr">
        <is>
          <t>Machado de Vidro Vulcânico</t>
        </is>
      </c>
      <c r="D151" s="135" t="n"/>
      <c r="E151" s="128" t="inlineStr">
        <is>
          <t>Pesado o bastante pra rachar rocha resfriada.</t>
        </is>
      </c>
      <c r="F151" s="128">
        <f>INDEX(Tiers!$G$9:$G$22,MATCH($A151,Tiers!$B$9:$B$22,0))</f>
        <v/>
      </c>
      <c r="G151" s="128">
        <f>INDEX(Tiers!$H$9:$H$22,MATCH($A151,Tiers!$B$9:$B$22,0))</f>
        <v/>
      </c>
      <c r="H151" s="128">
        <f>INDEX($B$5:$B$11,MATCH($B151,$A$5:$A$11,0))</f>
        <v/>
      </c>
      <c r="I151" s="153">
        <f>ROUND(F151*H151*K151,0)</f>
        <v/>
      </c>
      <c r="J151" s="153">
        <f>ROUND(G151*H151*K151,0)</f>
        <v/>
      </c>
      <c r="K151" s="154" t="n">
        <v>1</v>
      </c>
      <c r="L151" s="115">
        <f>ROUND(I151*8,0)</f>
        <v/>
      </c>
      <c r="M151" s="115">
        <f>ROUND(J151*10,0)</f>
        <v/>
      </c>
    </row>
    <row r="152" ht="15" customHeight="1" s="116">
      <c r="A152" s="128" t="inlineStr">
        <is>
          <t>Vidro Vulcanico</t>
        </is>
      </c>
      <c r="B152" s="128" t="inlineStr">
        <is>
          <t>Machado</t>
        </is>
      </c>
      <c r="C152" s="128" t="inlineStr">
        <is>
          <t>Machado Incandescente</t>
        </is>
      </c>
      <c r="D152" s="135" t="inlineStr">
        <is>
          <t>Queimadura</t>
        </is>
      </c>
      <c r="E152" s="128" t="inlineStr">
        <is>
          <t>A cabeça ainda brilha fraco, como se nunca tivesse esfriado de verdade.</t>
        </is>
      </c>
      <c r="F152" s="128">
        <f>INDEX(Tiers!$G$9:$G$22,MATCH($A152,Tiers!$B$9:$B$22,0))</f>
        <v/>
      </c>
      <c r="G152" s="128">
        <f>INDEX(Tiers!$H$9:$H$22,MATCH($A152,Tiers!$B$9:$B$22,0))</f>
        <v/>
      </c>
      <c r="H152" s="128">
        <f>INDEX($B$5:$B$11,MATCH($B152,$A$5:$A$11,0))</f>
        <v/>
      </c>
      <c r="I152" s="153">
        <f>ROUND(F152*H152*K152,0)</f>
        <v/>
      </c>
      <c r="J152" s="153">
        <f>ROUND(G152*H152*K152,0)</f>
        <v/>
      </c>
      <c r="K152" s="154" t="n">
        <v>0.96</v>
      </c>
      <c r="L152" s="115">
        <f>ROUND(I152*8,0)</f>
        <v/>
      </c>
      <c r="M152" s="115">
        <f>ROUND(J152*10,0)</f>
        <v/>
      </c>
    </row>
    <row r="153" ht="15" customHeight="1" s="116">
      <c r="A153" s="128" t="inlineStr">
        <is>
          <t>Vidro Vulcanico</t>
        </is>
      </c>
      <c r="B153" s="128" t="inlineStr">
        <is>
          <t>Machado</t>
        </is>
      </c>
      <c r="C153" s="128" t="inlineStr">
        <is>
          <t>Machado de Obsidiana Serrilhada</t>
        </is>
      </c>
      <c r="D153" s="135" t="n"/>
      <c r="E153" s="128" t="inlineStr">
        <is>
          <t>Bordas irregulares, cortadas direto da rocha — nunca duas iguais.</t>
        </is>
      </c>
      <c r="F153" s="128">
        <f>INDEX(Tiers!$G$9:$G$22,MATCH($A153,Tiers!$B$9:$B$22,0))</f>
        <v/>
      </c>
      <c r="G153" s="128">
        <f>INDEX(Tiers!$H$9:$H$22,MATCH($A153,Tiers!$B$9:$B$22,0))</f>
        <v/>
      </c>
      <c r="H153" s="128">
        <f>INDEX($B$5:$B$11,MATCH($B153,$A$5:$A$11,0))</f>
        <v/>
      </c>
      <c r="I153" s="153">
        <f>ROUND(F153*H153*K153,0)</f>
        <v/>
      </c>
      <c r="J153" s="153">
        <f>ROUND(G153*H153*K153,0)</f>
        <v/>
      </c>
      <c r="K153" s="154" t="n">
        <v>1</v>
      </c>
      <c r="L153" s="115">
        <f>ROUND(I153*8,0)</f>
        <v/>
      </c>
      <c r="M153" s="115">
        <f>ROUND(J153*10,0)</f>
        <v/>
      </c>
    </row>
    <row r="154" ht="15" customHeight="1" s="116">
      <c r="A154" s="128" t="inlineStr">
        <is>
          <t>Vidro Vulcanico</t>
        </is>
      </c>
      <c r="B154" s="128" t="inlineStr">
        <is>
          <t>Machado</t>
        </is>
      </c>
      <c r="C154" s="128" t="inlineStr">
        <is>
          <t>Machado Frágil de Vidro</t>
        </is>
      </c>
      <c r="D154" s="135" t="inlineStr">
        <is>
          <t>Fragilidade</t>
        </is>
      </c>
      <c r="E154" s="128" t="inlineStr">
        <is>
          <t>Corta fundo. Quebra fácil também.</t>
        </is>
      </c>
      <c r="F154" s="128">
        <f>INDEX(Tiers!$G$9:$G$22,MATCH($A154,Tiers!$B$9:$B$22,0))</f>
        <v/>
      </c>
      <c r="G154" s="128">
        <f>INDEX(Tiers!$H$9:$H$22,MATCH($A154,Tiers!$B$9:$B$22,0))</f>
        <v/>
      </c>
      <c r="H154" s="128">
        <f>INDEX($B$5:$B$11,MATCH($B154,$A$5:$A$11,0))</f>
        <v/>
      </c>
      <c r="I154" s="153">
        <f>ROUND(F154*H154*K154,0)</f>
        <v/>
      </c>
      <c r="J154" s="153">
        <f>ROUND(G154*H154*K154,0)</f>
        <v/>
      </c>
      <c r="K154" s="154" t="n">
        <v>1.05</v>
      </c>
      <c r="L154" s="115">
        <f>ROUND(I154*8,0)</f>
        <v/>
      </c>
      <c r="M154" s="115">
        <f>ROUND(J154*10,0)</f>
        <v/>
      </c>
    </row>
    <row r="155" ht="15" customHeight="1" s="116">
      <c r="A155" s="128" t="inlineStr">
        <is>
          <t>Vidro Vulcanico</t>
        </is>
      </c>
      <c r="B155" s="128" t="inlineStr">
        <is>
          <t>Arco</t>
        </is>
      </c>
      <c r="C155" s="128" t="inlineStr">
        <is>
          <t>Arco de Vidro Vulcânico</t>
        </is>
      </c>
      <c r="D155" s="135" t="n"/>
      <c r="E155" s="128" t="inlineStr">
        <is>
          <t>Curvado ainda quente, endurecido rápido demais pra ficar perfeito.</t>
        </is>
      </c>
      <c r="F155" s="128">
        <f>INDEX(Tiers!$G$9:$G$22,MATCH($A155,Tiers!$B$9:$B$22,0))</f>
        <v/>
      </c>
      <c r="G155" s="128">
        <f>INDEX(Tiers!$H$9:$H$22,MATCH($A155,Tiers!$B$9:$B$22,0))</f>
        <v/>
      </c>
      <c r="H155" s="128">
        <f>INDEX($B$5:$B$11,MATCH($B155,$A$5:$A$11,0))</f>
        <v/>
      </c>
      <c r="I155" s="153">
        <f>ROUND(F155*H155*K155,0)</f>
        <v/>
      </c>
      <c r="J155" s="153">
        <f>ROUND(G155*H155*K155,0)</f>
        <v/>
      </c>
      <c r="K155" s="154" t="n">
        <v>1</v>
      </c>
      <c r="L155" s="115">
        <f>ROUND(I155*8,0)</f>
        <v/>
      </c>
      <c r="M155" s="115">
        <f>ROUND(J155*10,0)</f>
        <v/>
      </c>
    </row>
    <row r="156" ht="15" customHeight="1" s="116">
      <c r="A156" s="128" t="inlineStr">
        <is>
          <t>Vidro Vulcanico</t>
        </is>
      </c>
      <c r="B156" s="128" t="inlineStr">
        <is>
          <t>Arco</t>
        </is>
      </c>
      <c r="C156" s="128" t="inlineStr">
        <is>
          <t>Arco com Pontas de Obsidiana</t>
        </is>
      </c>
      <c r="D156" s="135" t="n"/>
      <c r="E156" s="128" t="inlineStr">
        <is>
          <t>As flechas cortam antes de perfurar.</t>
        </is>
      </c>
      <c r="F156" s="128">
        <f>INDEX(Tiers!$G$9:$G$22,MATCH($A156,Tiers!$B$9:$B$22,0))</f>
        <v/>
      </c>
      <c r="G156" s="128">
        <f>INDEX(Tiers!$H$9:$H$22,MATCH($A156,Tiers!$B$9:$B$22,0))</f>
        <v/>
      </c>
      <c r="H156" s="128">
        <f>INDEX($B$5:$B$11,MATCH($B156,$A$5:$A$11,0))</f>
        <v/>
      </c>
      <c r="I156" s="153">
        <f>ROUND(F156*H156*K156,0)</f>
        <v/>
      </c>
      <c r="J156" s="153">
        <f>ROUND(G156*H156*K156,0)</f>
        <v/>
      </c>
      <c r="K156" s="154" t="n">
        <v>1</v>
      </c>
      <c r="L156" s="115">
        <f>ROUND(I156*8,0)</f>
        <v/>
      </c>
      <c r="M156" s="115">
        <f>ROUND(J156*10,0)</f>
        <v/>
      </c>
    </row>
    <row r="157" ht="15" customHeight="1" s="116">
      <c r="A157" s="128" t="inlineStr">
        <is>
          <t>Vidro Vulcanico</t>
        </is>
      </c>
      <c r="B157" s="128" t="inlineStr">
        <is>
          <t>Arco</t>
        </is>
      </c>
      <c r="C157" s="128" t="inlineStr">
        <is>
          <t>Arco Forjado na Fenda</t>
        </is>
      </c>
      <c r="D157" s="135" t="n"/>
      <c r="E157" s="128" t="inlineStr">
        <is>
          <t>Moldado na borda da lava viva — ninguém repete o processo duas vezes igual.</t>
        </is>
      </c>
      <c r="F157" s="128">
        <f>INDEX(Tiers!$G$9:$G$22,MATCH($A157,Tiers!$B$9:$B$22,0))</f>
        <v/>
      </c>
      <c r="G157" s="128">
        <f>INDEX(Tiers!$H$9:$H$22,MATCH($A157,Tiers!$B$9:$B$22,0))</f>
        <v/>
      </c>
      <c r="H157" s="128">
        <f>INDEX($B$5:$B$11,MATCH($B157,$A$5:$A$11,0))</f>
        <v/>
      </c>
      <c r="I157" s="153">
        <f>ROUND(F157*H157*K157,0)</f>
        <v/>
      </c>
      <c r="J157" s="153">
        <f>ROUND(G157*H157*K157,0)</f>
        <v/>
      </c>
      <c r="K157" s="154" t="n">
        <v>1</v>
      </c>
      <c r="L157" s="115">
        <f>ROUND(I157*8,0)</f>
        <v/>
      </c>
      <c r="M157" s="115">
        <f>ROUND(J157*10,0)</f>
        <v/>
      </c>
    </row>
    <row r="158" ht="15" customHeight="1" s="116">
      <c r="A158" s="128" t="inlineStr">
        <is>
          <t>Vidro Vulcanico</t>
        </is>
      </c>
      <c r="B158" s="128" t="inlineStr">
        <is>
          <t>Arco</t>
        </is>
      </c>
      <c r="C158" s="128" t="inlineStr">
        <is>
          <t>Arco Rachado pelo Calor</t>
        </is>
      </c>
      <c r="D158" s="135" t="inlineStr">
        <is>
          <t>Fragilidade</t>
        </is>
      </c>
      <c r="E158" s="128" t="inlineStr">
        <is>
          <t>Uma rachadura fina corre pela madeira — ainda atira, por enquanto.</t>
        </is>
      </c>
      <c r="F158" s="128">
        <f>INDEX(Tiers!$G$9:$G$22,MATCH($A158,Tiers!$B$9:$B$22,0))</f>
        <v/>
      </c>
      <c r="G158" s="128">
        <f>INDEX(Tiers!$H$9:$H$22,MATCH($A158,Tiers!$B$9:$B$22,0))</f>
        <v/>
      </c>
      <c r="H158" s="128">
        <f>INDEX($B$5:$B$11,MATCH($B158,$A$5:$A$11,0))</f>
        <v/>
      </c>
      <c r="I158" s="153">
        <f>ROUND(F158*H158*K158,0)</f>
        <v/>
      </c>
      <c r="J158" s="153">
        <f>ROUND(G158*H158*K158,0)</f>
        <v/>
      </c>
      <c r="K158" s="154" t="n">
        <v>1.05</v>
      </c>
      <c r="L158" s="115">
        <f>ROUND(I158*8,0)</f>
        <v/>
      </c>
      <c r="M158" s="115">
        <f>ROUND(J158*10,0)</f>
        <v/>
      </c>
    </row>
    <row r="159" ht="15" customHeight="1" s="116">
      <c r="A159" s="128" t="inlineStr">
        <is>
          <t>Vidro Vulcanico</t>
        </is>
      </c>
      <c r="B159" s="128" t="inlineStr">
        <is>
          <t>Adaga</t>
        </is>
      </c>
      <c r="C159" s="128" t="inlineStr">
        <is>
          <t>Adaga de Vidro Vulcânico</t>
        </is>
      </c>
      <c r="D159" s="135" t="n"/>
      <c r="E159" s="128" t="inlineStr">
        <is>
          <t>Fina, translúcida nas bordas, afiada o bastante pra assustar.</t>
        </is>
      </c>
      <c r="F159" s="128">
        <f>INDEX(Tiers!$G$9:$G$22,MATCH($A159,Tiers!$B$9:$B$22,0))</f>
        <v/>
      </c>
      <c r="G159" s="128">
        <f>INDEX(Tiers!$H$9:$H$22,MATCH($A159,Tiers!$B$9:$B$22,0))</f>
        <v/>
      </c>
      <c r="H159" s="128">
        <f>INDEX($B$5:$B$11,MATCH($B159,$A$5:$A$11,0))</f>
        <v/>
      </c>
      <c r="I159" s="153">
        <f>ROUND(F159*H159*K159,0)</f>
        <v/>
      </c>
      <c r="J159" s="153">
        <f>ROUND(G159*H159*K159,0)</f>
        <v/>
      </c>
      <c r="K159" s="154" t="n">
        <v>1</v>
      </c>
      <c r="L159" s="115">
        <f>ROUND(I159*8,0)</f>
        <v/>
      </c>
      <c r="M159" s="115">
        <f>ROUND(J159*10,0)</f>
        <v/>
      </c>
    </row>
    <row r="160" ht="15" customHeight="1" s="116">
      <c r="A160" s="128" t="inlineStr">
        <is>
          <t>Vidro Vulcanico</t>
        </is>
      </c>
      <c r="B160" s="128" t="inlineStr">
        <is>
          <t>Adaga</t>
        </is>
      </c>
      <c r="C160" s="128" t="inlineStr">
        <is>
          <t>Adaga de Obsidiana</t>
        </is>
      </c>
      <c r="D160" s="135" t="n"/>
      <c r="E160" s="128" t="inlineStr">
        <is>
          <t>Lâmina de vidro negro, mais afiada que qualquer metal comum.</t>
        </is>
      </c>
      <c r="F160" s="128">
        <f>INDEX(Tiers!$G$9:$G$22,MATCH($A160,Tiers!$B$9:$B$22,0))</f>
        <v/>
      </c>
      <c r="G160" s="128">
        <f>INDEX(Tiers!$H$9:$H$22,MATCH($A160,Tiers!$B$9:$B$22,0))</f>
        <v/>
      </c>
      <c r="H160" s="128">
        <f>INDEX($B$5:$B$11,MATCH($B160,$A$5:$A$11,0))</f>
        <v/>
      </c>
      <c r="I160" s="153">
        <f>ROUND(F160*H160*K160,0)</f>
        <v/>
      </c>
      <c r="J160" s="153">
        <f>ROUND(G160*H160*K160,0)</f>
        <v/>
      </c>
      <c r="K160" s="154" t="n">
        <v>1</v>
      </c>
      <c r="L160" s="115">
        <f>ROUND(I160*8,0)</f>
        <v/>
      </c>
      <c r="M160" s="115">
        <f>ROUND(J160*10,0)</f>
        <v/>
      </c>
    </row>
    <row r="161" ht="15" customHeight="1" s="116">
      <c r="A161" s="128" t="inlineStr">
        <is>
          <t>Vidro Vulcanico</t>
        </is>
      </c>
      <c r="B161" s="128" t="inlineStr">
        <is>
          <t>Adaga</t>
        </is>
      </c>
      <c r="C161" s="128" t="inlineStr">
        <is>
          <t>Adaga em Brasa</t>
        </is>
      </c>
      <c r="D161" s="135" t="inlineStr">
        <is>
          <t>Queimadura</t>
        </is>
      </c>
      <c r="E161" s="128" t="inlineStr">
        <is>
          <t>Corta e queima ao mesmo tempo — o ferimento demora a fechar.</t>
        </is>
      </c>
      <c r="F161" s="128">
        <f>INDEX(Tiers!$G$9:$G$22,MATCH($A161,Tiers!$B$9:$B$22,0))</f>
        <v/>
      </c>
      <c r="G161" s="128">
        <f>INDEX(Tiers!$H$9:$H$22,MATCH($A161,Tiers!$B$9:$B$22,0))</f>
        <v/>
      </c>
      <c r="H161" s="128">
        <f>INDEX($B$5:$B$11,MATCH($B161,$A$5:$A$11,0))</f>
        <v/>
      </c>
      <c r="I161" s="153">
        <f>ROUND(F161*H161*K161,0)</f>
        <v/>
      </c>
      <c r="J161" s="153">
        <f>ROUND(G161*H161*K161,0)</f>
        <v/>
      </c>
      <c r="K161" s="154" t="n">
        <v>0.9399999999999999</v>
      </c>
      <c r="L161" s="115">
        <f>ROUND(I161*8,0)</f>
        <v/>
      </c>
      <c r="M161" s="115">
        <f>ROUND(J161*10,0)</f>
        <v/>
      </c>
    </row>
    <row r="162" ht="15" customHeight="1" s="116">
      <c r="A162" s="128" t="inlineStr">
        <is>
          <t>Vidro Vulcanico</t>
        </is>
      </c>
      <c r="B162" s="128" t="inlineStr">
        <is>
          <t>Maca</t>
        </is>
      </c>
      <c r="C162" s="128" t="inlineStr">
        <is>
          <t>Maça de Vidro Vulcânico</t>
        </is>
      </c>
      <c r="D162" s="135" t="n"/>
      <c r="E162" s="128" t="inlineStr">
        <is>
          <t>Cabeça de rocha vulcânica endurecida — pesada e implacável.</t>
        </is>
      </c>
      <c r="F162" s="128">
        <f>INDEX(Tiers!$G$9:$G$22,MATCH($A162,Tiers!$B$9:$B$22,0))</f>
        <v/>
      </c>
      <c r="G162" s="128">
        <f>INDEX(Tiers!$H$9:$H$22,MATCH($A162,Tiers!$B$9:$B$22,0))</f>
        <v/>
      </c>
      <c r="H162" s="128">
        <f>INDEX($B$5:$B$11,MATCH($B162,$A$5:$A$11,0))</f>
        <v/>
      </c>
      <c r="I162" s="153">
        <f>ROUND(F162*H162*K162,0)</f>
        <v/>
      </c>
      <c r="J162" s="153">
        <f>ROUND(G162*H162*K162,0)</f>
        <v/>
      </c>
      <c r="K162" s="154" t="n">
        <v>1</v>
      </c>
      <c r="L162" s="115">
        <f>ROUND(I162*8,0)</f>
        <v/>
      </c>
      <c r="M162" s="115">
        <f>ROUND(J162*10,0)</f>
        <v/>
      </c>
    </row>
    <row r="163" ht="15" customHeight="1" s="116">
      <c r="A163" s="128" t="inlineStr">
        <is>
          <t>Vidro Vulcanico</t>
        </is>
      </c>
      <c r="B163" s="128" t="inlineStr">
        <is>
          <t>Maca</t>
        </is>
      </c>
      <c r="C163" s="128" t="inlineStr">
        <is>
          <t>Maça de Obsidiana Bruta</t>
        </is>
      </c>
      <c r="D163" s="135" t="n"/>
      <c r="E163" s="128" t="inlineStr">
        <is>
          <t>Talhada direto da rocha, sem polimento — funciona mesmo feia.</t>
        </is>
      </c>
      <c r="F163" s="128">
        <f>INDEX(Tiers!$G$9:$G$22,MATCH($A163,Tiers!$B$9:$B$22,0))</f>
        <v/>
      </c>
      <c r="G163" s="128">
        <f>INDEX(Tiers!$H$9:$H$22,MATCH($A163,Tiers!$B$9:$B$22,0))</f>
        <v/>
      </c>
      <c r="H163" s="128">
        <f>INDEX($B$5:$B$11,MATCH($B163,$A$5:$A$11,0))</f>
        <v/>
      </c>
      <c r="I163" s="153">
        <f>ROUND(F163*H163*K163,0)</f>
        <v/>
      </c>
      <c r="J163" s="153">
        <f>ROUND(G163*H163*K163,0)</f>
        <v/>
      </c>
      <c r="K163" s="154" t="n">
        <v>1.04</v>
      </c>
      <c r="L163" s="115">
        <f>ROUND(I163*8,0)</f>
        <v/>
      </c>
      <c r="M163" s="115">
        <f>ROUND(J163*10,0)</f>
        <v/>
      </c>
    </row>
    <row r="164" ht="15" customHeight="1" s="116">
      <c r="A164" s="128" t="inlineStr">
        <is>
          <t>Vidro Vulcanico</t>
        </is>
      </c>
      <c r="B164" s="128" t="inlineStr">
        <is>
          <t>Maca</t>
        </is>
      </c>
      <c r="C164" s="128" t="inlineStr">
        <is>
          <t>Maça Rachada pelo Fogo</t>
        </is>
      </c>
      <c r="D164" s="135" t="inlineStr">
        <is>
          <t>Fragilidade</t>
        </is>
      </c>
      <c r="E164" s="128" t="inlineStr">
        <is>
          <t>Já sobreviveu a uma explosão de vapor perto da fenda.</t>
        </is>
      </c>
      <c r="F164" s="128">
        <f>INDEX(Tiers!$G$9:$G$22,MATCH($A164,Tiers!$B$9:$B$22,0))</f>
        <v/>
      </c>
      <c r="G164" s="128">
        <f>INDEX(Tiers!$H$9:$H$22,MATCH($A164,Tiers!$B$9:$B$22,0))</f>
        <v/>
      </c>
      <c r="H164" s="128">
        <f>INDEX($B$5:$B$11,MATCH($B164,$A$5:$A$11,0))</f>
        <v/>
      </c>
      <c r="I164" s="153">
        <f>ROUND(F164*H164*K164,0)</f>
        <v/>
      </c>
      <c r="J164" s="153">
        <f>ROUND(G164*H164*K164,0)</f>
        <v/>
      </c>
      <c r="K164" s="154" t="n">
        <v>1.04</v>
      </c>
      <c r="L164" s="115">
        <f>ROUND(I164*8,0)</f>
        <v/>
      </c>
      <c r="M164" s="115">
        <f>ROUND(J164*10,0)</f>
        <v/>
      </c>
    </row>
    <row r="165" ht="15" customHeight="1" s="116">
      <c r="A165" s="128" t="inlineStr">
        <is>
          <t>Vidro Vulcanico</t>
        </is>
      </c>
      <c r="B165" s="128" t="inlineStr">
        <is>
          <t>Manopla</t>
        </is>
      </c>
      <c r="C165" s="128" t="inlineStr">
        <is>
          <t>Manopla de Vidro Vulcânico</t>
        </is>
      </c>
      <c r="D165" s="135" t="n"/>
      <c r="E165" s="128" t="inlineStr">
        <is>
          <t>Placas de rocha vulcânica presas nos nós dos dedos.</t>
        </is>
      </c>
      <c r="F165" s="128">
        <f>INDEX(Tiers!$G$9:$G$22,MATCH($A165,Tiers!$B$9:$B$22,0))</f>
        <v/>
      </c>
      <c r="G165" s="128">
        <f>INDEX(Tiers!$H$9:$H$22,MATCH($A165,Tiers!$B$9:$B$22,0))</f>
        <v/>
      </c>
      <c r="H165" s="128">
        <f>INDEX($B$5:$B$11,MATCH($B165,$A$5:$A$11,0))</f>
        <v/>
      </c>
      <c r="I165" s="153">
        <f>ROUND(F165*H165*K165,0)</f>
        <v/>
      </c>
      <c r="J165" s="153">
        <f>ROUND(G165*H165*K165,0)</f>
        <v/>
      </c>
      <c r="K165" s="154" t="n">
        <v>1</v>
      </c>
      <c r="L165" s="115">
        <f>ROUND(I165*8,0)</f>
        <v/>
      </c>
      <c r="M165" s="115">
        <f>ROUND(J165*10,0)</f>
        <v/>
      </c>
    </row>
    <row r="166" ht="15" customHeight="1" s="116">
      <c r="A166" s="128" t="inlineStr">
        <is>
          <t>Vidro Vulcanico</t>
        </is>
      </c>
      <c r="B166" s="128" t="inlineStr">
        <is>
          <t>Manopla</t>
        </is>
      </c>
      <c r="C166" s="128" t="inlineStr">
        <is>
          <t>Manopla em Brasa</t>
        </is>
      </c>
      <c r="D166" s="135" t="inlineStr">
        <is>
          <t>Queimadura</t>
        </is>
      </c>
      <c r="E166" s="128" t="inlineStr">
        <is>
          <t>Ainda quente ao toque — queima quem apanha.</t>
        </is>
      </c>
      <c r="F166" s="128">
        <f>INDEX(Tiers!$G$9:$G$22,MATCH($A166,Tiers!$B$9:$B$22,0))</f>
        <v/>
      </c>
      <c r="G166" s="128">
        <f>INDEX(Tiers!$H$9:$H$22,MATCH($A166,Tiers!$B$9:$B$22,0))</f>
        <v/>
      </c>
      <c r="H166" s="128">
        <f>INDEX($B$5:$B$11,MATCH($B166,$A$5:$A$11,0))</f>
        <v/>
      </c>
      <c r="I166" s="153">
        <f>ROUND(F166*H166*K166,0)</f>
        <v/>
      </c>
      <c r="J166" s="153">
        <f>ROUND(G166*H166*K166,0)</f>
        <v/>
      </c>
      <c r="K166" s="154" t="n">
        <v>0.97</v>
      </c>
      <c r="L166" s="115">
        <f>ROUND(I166*8,0)</f>
        <v/>
      </c>
      <c r="M166" s="115">
        <f>ROUND(J166*10,0)</f>
        <v/>
      </c>
    </row>
    <row r="167" ht="15" customHeight="1" s="116">
      <c r="A167" s="128" t="inlineStr">
        <is>
          <t>Vidro Vulcanico</t>
        </is>
      </c>
      <c r="B167" s="128" t="inlineStr">
        <is>
          <t>Cetro</t>
        </is>
      </c>
      <c r="C167" s="128" t="inlineStr">
        <is>
          <t>Cetro de Vidro Vulcânico</t>
        </is>
      </c>
      <c r="D167" s="135" t="n"/>
      <c r="E167" s="128" t="inlineStr">
        <is>
          <t>Cristal vulcânico na ponta, ainda pulsando calor residual.</t>
        </is>
      </c>
      <c r="F167" s="128">
        <f>INDEX(Tiers!$G$9:$G$22,MATCH($A167,Tiers!$B$9:$B$22,0))</f>
        <v/>
      </c>
      <c r="G167" s="128">
        <f>INDEX(Tiers!$H$9:$H$22,MATCH($A167,Tiers!$B$9:$B$22,0))</f>
        <v/>
      </c>
      <c r="H167" s="128">
        <f>INDEX($B$5:$B$11,MATCH($B167,$A$5:$A$11,0))</f>
        <v/>
      </c>
      <c r="I167" s="153">
        <f>ROUND(F167*H167*K167,0)</f>
        <v/>
      </c>
      <c r="J167" s="153">
        <f>ROUND(G167*H167*K167,0)</f>
        <v/>
      </c>
      <c r="K167" s="154" t="n">
        <v>1</v>
      </c>
      <c r="L167" s="115">
        <f>ROUND(I167*8,0)</f>
        <v/>
      </c>
      <c r="M167" s="115">
        <f>ROUND(J167*10,0)</f>
        <v/>
      </c>
    </row>
    <row r="168" ht="15" customHeight="1" s="116">
      <c r="A168" s="128" t="inlineStr">
        <is>
          <t>Vidro Vulcanico</t>
        </is>
      </c>
      <c r="B168" s="128" t="inlineStr">
        <is>
          <t>Cetro</t>
        </is>
      </c>
      <c r="C168" s="128" t="inlineStr">
        <is>
          <t>Cetro da Fenda Ativa</t>
        </is>
      </c>
      <c r="D168" s="135" t="n"/>
      <c r="E168" s="128" t="inlineStr">
        <is>
          <t>Forjado tão perto da lava que ninguém sabe como sobreviveu ao processo.</t>
        </is>
      </c>
      <c r="F168" s="128">
        <f>INDEX(Tiers!$G$9:$G$22,MATCH($A168,Tiers!$B$9:$B$22,0))</f>
        <v/>
      </c>
      <c r="G168" s="128">
        <f>INDEX(Tiers!$H$9:$H$22,MATCH($A168,Tiers!$B$9:$B$22,0))</f>
        <v/>
      </c>
      <c r="H168" s="128">
        <f>INDEX($B$5:$B$11,MATCH($B168,$A$5:$A$11,0))</f>
        <v/>
      </c>
      <c r="I168" s="153">
        <f>ROUND(F168*H168*K168,0)</f>
        <v/>
      </c>
      <c r="J168" s="153">
        <f>ROUND(G168*H168*K168,0)</f>
        <v/>
      </c>
      <c r="K168" s="154" t="n">
        <v>1</v>
      </c>
      <c r="L168" s="115">
        <f>ROUND(I168*8,0)</f>
        <v/>
      </c>
      <c r="M168" s="115">
        <f>ROUND(J168*10,0)</f>
        <v/>
      </c>
    </row>
    <row r="169" ht="15" customHeight="1" s="116">
      <c r="A169" s="128" t="inlineStr">
        <is>
          <t>Ferro Orquico</t>
        </is>
      </c>
      <c r="B169" s="128" t="inlineStr">
        <is>
          <t>Espada</t>
        </is>
      </c>
      <c r="C169" s="128" t="inlineStr">
        <is>
          <t>Espada de Ferro Órquico</t>
        </is>
      </c>
      <c r="D169" s="135" t="n"/>
      <c r="E169" s="128" t="inlineStr">
        <is>
          <t>Pesada, sem enfeite — feita pra golpe bruto, não pra estilo.</t>
        </is>
      </c>
      <c r="F169" s="128">
        <f>INDEX(Tiers!$G$9:$G$22,MATCH($A169,Tiers!$B$9:$B$22,0))</f>
        <v/>
      </c>
      <c r="G169" s="128">
        <f>INDEX(Tiers!$H$9:$H$22,MATCH($A169,Tiers!$B$9:$B$22,0))</f>
        <v/>
      </c>
      <c r="H169" s="128">
        <f>INDEX($B$5:$B$11,MATCH($B169,$A$5:$A$11,0))</f>
        <v/>
      </c>
      <c r="I169" s="153">
        <f>ROUND(F169*H169*K169,0)</f>
        <v/>
      </c>
      <c r="J169" s="153">
        <f>ROUND(G169*H169*K169,0)</f>
        <v/>
      </c>
      <c r="K169" s="154" t="n">
        <v>1</v>
      </c>
      <c r="L169" s="115">
        <f>ROUND(I169*8,0)</f>
        <v/>
      </c>
      <c r="M169" s="115">
        <f>ROUND(J169*10,0)</f>
        <v/>
      </c>
    </row>
    <row r="170" ht="15" customHeight="1" s="116">
      <c r="A170" s="128" t="inlineStr">
        <is>
          <t>Ferro Orquico</t>
        </is>
      </c>
      <c r="B170" s="128" t="inlineStr">
        <is>
          <t>Espada</t>
        </is>
      </c>
      <c r="C170" s="128" t="inlineStr">
        <is>
          <t>Espada Dentada</t>
        </is>
      </c>
      <c r="D170" s="135" t="inlineStr">
        <is>
          <t>Sangramento</t>
        </is>
      </c>
      <c r="E170" s="128" t="inlineStr">
        <is>
          <t>Bordas irregulares deixadas de propósito — o ferimento não fecha limpo.</t>
        </is>
      </c>
      <c r="F170" s="128">
        <f>INDEX(Tiers!$G$9:$G$22,MATCH($A170,Tiers!$B$9:$B$22,0))</f>
        <v/>
      </c>
      <c r="G170" s="128">
        <f>INDEX(Tiers!$H$9:$H$22,MATCH($A170,Tiers!$B$9:$B$22,0))</f>
        <v/>
      </c>
      <c r="H170" s="128">
        <f>INDEX($B$5:$B$11,MATCH($B170,$A$5:$A$11,0))</f>
        <v/>
      </c>
      <c r="I170" s="153">
        <f>ROUND(F170*H170*K170,0)</f>
        <v/>
      </c>
      <c r="J170" s="153">
        <f>ROUND(G170*H170*K170,0)</f>
        <v/>
      </c>
      <c r="K170" s="154" t="n">
        <v>0.95</v>
      </c>
      <c r="L170" s="115">
        <f>ROUND(I170*8,0)</f>
        <v/>
      </c>
      <c r="M170" s="115">
        <f>ROUND(J170*10,0)</f>
        <v/>
      </c>
    </row>
    <row r="171" ht="15" customHeight="1" s="116">
      <c r="A171" s="128" t="inlineStr">
        <is>
          <t>Ferro Orquico</t>
        </is>
      </c>
      <c r="B171" s="128" t="inlineStr">
        <is>
          <t>Espada</t>
        </is>
      </c>
      <c r="C171" s="128" t="inlineStr">
        <is>
          <t>Espada de Saque</t>
        </is>
      </c>
      <c r="D171" s="135" t="n"/>
      <c r="E171" s="128" t="inlineStr">
        <is>
          <t>Tirada de um cadáver que não precisava mais dela.</t>
        </is>
      </c>
      <c r="F171" s="128">
        <f>INDEX(Tiers!$G$9:$G$22,MATCH($A171,Tiers!$B$9:$B$22,0))</f>
        <v/>
      </c>
      <c r="G171" s="128">
        <f>INDEX(Tiers!$H$9:$H$22,MATCH($A171,Tiers!$B$9:$B$22,0))</f>
        <v/>
      </c>
      <c r="H171" s="128">
        <f>INDEX($B$5:$B$11,MATCH($B171,$A$5:$A$11,0))</f>
        <v/>
      </c>
      <c r="I171" s="153">
        <f>ROUND(F171*H171*K171,0)</f>
        <v/>
      </c>
      <c r="J171" s="153">
        <f>ROUND(G171*H171*K171,0)</f>
        <v/>
      </c>
      <c r="K171" s="154" t="n">
        <v>1</v>
      </c>
      <c r="L171" s="115">
        <f>ROUND(I171*8,0)</f>
        <v/>
      </c>
      <c r="M171" s="115">
        <f>ROUND(J171*10,0)</f>
        <v/>
      </c>
    </row>
    <row r="172" ht="15" customHeight="1" s="116">
      <c r="A172" s="128" t="inlineStr">
        <is>
          <t>Ferro Orquico</t>
        </is>
      </c>
      <c r="B172" s="128" t="inlineStr">
        <is>
          <t>Espada</t>
        </is>
      </c>
      <c r="C172" s="128" t="inlineStr">
        <is>
          <t>Espada Cravejada de Ossos</t>
        </is>
      </c>
      <c r="D172" s="135" t="n"/>
      <c r="E172" s="128" t="inlineStr">
        <is>
          <t>Pequenos fragmentos de osso incrustados no cabo — troféu de quem já venceu antes.</t>
        </is>
      </c>
      <c r="F172" s="128">
        <f>INDEX(Tiers!$G$9:$G$22,MATCH($A172,Tiers!$B$9:$B$22,0))</f>
        <v/>
      </c>
      <c r="G172" s="128">
        <f>INDEX(Tiers!$H$9:$H$22,MATCH($A172,Tiers!$B$9:$B$22,0))</f>
        <v/>
      </c>
      <c r="H172" s="128">
        <f>INDEX($B$5:$B$11,MATCH($B172,$A$5:$A$11,0))</f>
        <v/>
      </c>
      <c r="I172" s="153">
        <f>ROUND(F172*H172*K172,0)</f>
        <v/>
      </c>
      <c r="J172" s="153">
        <f>ROUND(G172*H172*K172,0)</f>
        <v/>
      </c>
      <c r="K172" s="154" t="n">
        <v>1.05</v>
      </c>
      <c r="L172" s="115">
        <f>ROUND(I172*8,0)</f>
        <v/>
      </c>
      <c r="M172" s="115">
        <f>ROUND(J172*10,0)</f>
        <v/>
      </c>
    </row>
    <row r="173" ht="15" customHeight="1" s="116">
      <c r="A173" s="128" t="inlineStr">
        <is>
          <t>Ferro Orquico</t>
        </is>
      </c>
      <c r="B173" s="128" t="inlineStr">
        <is>
          <t>Machado</t>
        </is>
      </c>
      <c r="C173" s="128" t="inlineStr">
        <is>
          <t>Machado de Ferro Órquico</t>
        </is>
      </c>
      <c r="D173" s="135" t="n"/>
      <c r="E173" s="128" t="inlineStr">
        <is>
          <t>Cabeça pesada, cabo curto — feito pra briga de perto.</t>
        </is>
      </c>
      <c r="F173" s="128">
        <f>INDEX(Tiers!$G$9:$G$22,MATCH($A173,Tiers!$B$9:$B$22,0))</f>
        <v/>
      </c>
      <c r="G173" s="128">
        <f>INDEX(Tiers!$H$9:$H$22,MATCH($A173,Tiers!$B$9:$B$22,0))</f>
        <v/>
      </c>
      <c r="H173" s="128">
        <f>INDEX($B$5:$B$11,MATCH($B173,$A$5:$A$11,0))</f>
        <v/>
      </c>
      <c r="I173" s="153">
        <f>ROUND(F173*H173*K173,0)</f>
        <v/>
      </c>
      <c r="J173" s="153">
        <f>ROUND(G173*H173*K173,0)</f>
        <v/>
      </c>
      <c r="K173" s="154" t="n">
        <v>1</v>
      </c>
      <c r="L173" s="115">
        <f>ROUND(I173*8,0)</f>
        <v/>
      </c>
      <c r="M173" s="115">
        <f>ROUND(J173*10,0)</f>
        <v/>
      </c>
    </row>
    <row r="174" ht="15" customHeight="1" s="116">
      <c r="A174" s="128" t="inlineStr">
        <is>
          <t>Ferro Orquico</t>
        </is>
      </c>
      <c r="B174" s="128" t="inlineStr">
        <is>
          <t>Machado</t>
        </is>
      </c>
      <c r="C174" s="128" t="inlineStr">
        <is>
          <t>Machado Bárbaro</t>
        </is>
      </c>
      <c r="D174" s="135" t="n"/>
      <c r="E174" s="128" t="inlineStr">
        <is>
          <t>Grande o bastante pra precisar das duas mãos, e ainda assim alguns usam com uma só.</t>
        </is>
      </c>
      <c r="F174" s="128">
        <f>INDEX(Tiers!$G$9:$G$22,MATCH($A174,Tiers!$B$9:$B$22,0))</f>
        <v/>
      </c>
      <c r="G174" s="128">
        <f>INDEX(Tiers!$H$9:$H$22,MATCH($A174,Tiers!$B$9:$B$22,0))</f>
        <v/>
      </c>
      <c r="H174" s="128">
        <f>INDEX($B$5:$B$11,MATCH($B174,$A$5:$A$11,0))</f>
        <v/>
      </c>
      <c r="I174" s="153">
        <f>ROUND(F174*H174*K174,0)</f>
        <v/>
      </c>
      <c r="J174" s="153">
        <f>ROUND(G174*H174*K174,0)</f>
        <v/>
      </c>
      <c r="K174" s="154" t="n">
        <v>1.05</v>
      </c>
      <c r="L174" s="115">
        <f>ROUND(I174*8,0)</f>
        <v/>
      </c>
      <c r="M174" s="115">
        <f>ROUND(J174*10,0)</f>
        <v/>
      </c>
    </row>
    <row r="175" ht="15" customHeight="1" s="116">
      <c r="A175" s="128" t="inlineStr">
        <is>
          <t>Ferro Orquico</t>
        </is>
      </c>
      <c r="B175" s="128" t="inlineStr">
        <is>
          <t>Machado</t>
        </is>
      </c>
      <c r="C175" s="128" t="inlineStr">
        <is>
          <t>Machado Serrilhado de Guerra</t>
        </is>
      </c>
      <c r="D175" s="135" t="inlineStr">
        <is>
          <t>Sangramento</t>
        </is>
      </c>
      <c r="E175" s="128" t="inlineStr">
        <is>
          <t>Dentes grosseiros na lâmina — não corta, rasga.</t>
        </is>
      </c>
      <c r="F175" s="128">
        <f>INDEX(Tiers!$G$9:$G$22,MATCH($A175,Tiers!$B$9:$B$22,0))</f>
        <v/>
      </c>
      <c r="G175" s="128">
        <f>INDEX(Tiers!$H$9:$H$22,MATCH($A175,Tiers!$B$9:$B$22,0))</f>
        <v/>
      </c>
      <c r="H175" s="128">
        <f>INDEX($B$5:$B$11,MATCH($B175,$A$5:$A$11,0))</f>
        <v/>
      </c>
      <c r="I175" s="153">
        <f>ROUND(F175*H175*K175,0)</f>
        <v/>
      </c>
      <c r="J175" s="153">
        <f>ROUND(G175*H175*K175,0)</f>
        <v/>
      </c>
      <c r="K175" s="154" t="n">
        <v>0.96</v>
      </c>
      <c r="L175" s="115">
        <f>ROUND(I175*8,0)</f>
        <v/>
      </c>
      <c r="M175" s="115">
        <f>ROUND(J175*10,0)</f>
        <v/>
      </c>
    </row>
    <row r="176" ht="15" customHeight="1" s="116">
      <c r="A176" s="128" t="inlineStr">
        <is>
          <t>Ferro Orquico</t>
        </is>
      </c>
      <c r="B176" s="128" t="inlineStr">
        <is>
          <t>Machado</t>
        </is>
      </c>
      <c r="C176" s="128" t="inlineStr">
        <is>
          <t>Machado de Duas Cabeças</t>
        </is>
      </c>
      <c r="D176" s="135" t="n"/>
      <c r="E176" s="128" t="inlineStr">
        <is>
          <t>Uma lâmina de cada lado — sem lado errado pra golpear.</t>
        </is>
      </c>
      <c r="F176" s="128">
        <f>INDEX(Tiers!$G$9:$G$22,MATCH($A176,Tiers!$B$9:$B$22,0))</f>
        <v/>
      </c>
      <c r="G176" s="128">
        <f>INDEX(Tiers!$H$9:$H$22,MATCH($A176,Tiers!$B$9:$B$22,0))</f>
        <v/>
      </c>
      <c r="H176" s="128">
        <f>INDEX($B$5:$B$11,MATCH($B176,$A$5:$A$11,0))</f>
        <v/>
      </c>
      <c r="I176" s="153">
        <f>ROUND(F176*H176*K176,0)</f>
        <v/>
      </c>
      <c r="J176" s="153">
        <f>ROUND(G176*H176*K176,0)</f>
        <v/>
      </c>
      <c r="K176" s="154" t="n">
        <v>1.05</v>
      </c>
      <c r="L176" s="115">
        <f>ROUND(I176*8,0)</f>
        <v/>
      </c>
      <c r="M176" s="115">
        <f>ROUND(J176*10,0)</f>
        <v/>
      </c>
    </row>
    <row r="177" ht="15" customHeight="1" s="116">
      <c r="A177" s="128" t="inlineStr">
        <is>
          <t>Ferro Orquico</t>
        </is>
      </c>
      <c r="B177" s="128" t="inlineStr">
        <is>
          <t>Arco</t>
        </is>
      </c>
      <c r="C177" s="128" t="inlineStr">
        <is>
          <t>Arco de Ferro Órquico</t>
        </is>
      </c>
      <c r="D177" s="135" t="n"/>
      <c r="E177" s="128" t="inlineStr">
        <is>
          <t>Rústico, forte — feito pra atirar rápido, não bonito.</t>
        </is>
      </c>
      <c r="F177" s="128">
        <f>INDEX(Tiers!$G$9:$G$22,MATCH($A177,Tiers!$B$9:$B$22,0))</f>
        <v/>
      </c>
      <c r="G177" s="128">
        <f>INDEX(Tiers!$H$9:$H$22,MATCH($A177,Tiers!$B$9:$B$22,0))</f>
        <v/>
      </c>
      <c r="H177" s="128">
        <f>INDEX($B$5:$B$11,MATCH($B177,$A$5:$A$11,0))</f>
        <v/>
      </c>
      <c r="I177" s="153">
        <f>ROUND(F177*H177*K177,0)</f>
        <v/>
      </c>
      <c r="J177" s="153">
        <f>ROUND(G177*H177*K177,0)</f>
        <v/>
      </c>
      <c r="K177" s="154" t="n">
        <v>1</v>
      </c>
      <c r="L177" s="115">
        <f>ROUND(I177*8,0)</f>
        <v/>
      </c>
      <c r="M177" s="115">
        <f>ROUND(J177*10,0)</f>
        <v/>
      </c>
    </row>
    <row r="178" ht="15" customHeight="1" s="116">
      <c r="A178" s="128" t="inlineStr">
        <is>
          <t>Ferro Orquico</t>
        </is>
      </c>
      <c r="B178" s="128" t="inlineStr">
        <is>
          <t>Arco</t>
        </is>
      </c>
      <c r="C178" s="128" t="inlineStr">
        <is>
          <t>Arco de Caça de Guerra</t>
        </is>
      </c>
      <c r="D178" s="135" t="n"/>
      <c r="E178" s="128" t="inlineStr">
        <is>
          <t>Usado pra caçar antes das batalhas — a mira não distingue muito.</t>
        </is>
      </c>
      <c r="F178" s="128">
        <f>INDEX(Tiers!$G$9:$G$22,MATCH($A178,Tiers!$B$9:$B$22,0))</f>
        <v/>
      </c>
      <c r="G178" s="128">
        <f>INDEX(Tiers!$H$9:$H$22,MATCH($A178,Tiers!$B$9:$B$22,0))</f>
        <v/>
      </c>
      <c r="H178" s="128">
        <f>INDEX($B$5:$B$11,MATCH($B178,$A$5:$A$11,0))</f>
        <v/>
      </c>
      <c r="I178" s="153">
        <f>ROUND(F178*H178*K178,0)</f>
        <v/>
      </c>
      <c r="J178" s="153">
        <f>ROUND(G178*H178*K178,0)</f>
        <v/>
      </c>
      <c r="K178" s="154" t="n">
        <v>1.05</v>
      </c>
      <c r="L178" s="115">
        <f>ROUND(I178*8,0)</f>
        <v/>
      </c>
      <c r="M178" s="115">
        <f>ROUND(J178*10,0)</f>
        <v/>
      </c>
    </row>
    <row r="179" ht="15" customHeight="1" s="116">
      <c r="A179" s="128" t="inlineStr">
        <is>
          <t>Ferro Orquico</t>
        </is>
      </c>
      <c r="B179" s="128" t="inlineStr">
        <is>
          <t>Arco</t>
        </is>
      </c>
      <c r="C179" s="128" t="inlineStr">
        <is>
          <t>Arco Reforçado com Osso</t>
        </is>
      </c>
      <c r="D179" s="135" t="n"/>
      <c r="E179" s="128" t="inlineStr">
        <is>
          <t>Reforçado com osso de fera abatida — aguenta mais tensão que madeira sozinha.</t>
        </is>
      </c>
      <c r="F179" s="128">
        <f>INDEX(Tiers!$G$9:$G$22,MATCH($A179,Tiers!$B$9:$B$22,0))</f>
        <v/>
      </c>
      <c r="G179" s="128">
        <f>INDEX(Tiers!$H$9:$H$22,MATCH($A179,Tiers!$B$9:$B$22,0))</f>
        <v/>
      </c>
      <c r="H179" s="128">
        <f>INDEX($B$5:$B$11,MATCH($B179,$A$5:$A$11,0))</f>
        <v/>
      </c>
      <c r="I179" s="153">
        <f>ROUND(F179*H179*K179,0)</f>
        <v/>
      </c>
      <c r="J179" s="153">
        <f>ROUND(G179*H179*K179,0)</f>
        <v/>
      </c>
      <c r="K179" s="154" t="n">
        <v>1.05</v>
      </c>
      <c r="L179" s="115">
        <f>ROUND(I179*8,0)</f>
        <v/>
      </c>
      <c r="M179" s="115">
        <f>ROUND(J179*10,0)</f>
        <v/>
      </c>
    </row>
    <row r="180" ht="15" customHeight="1" s="116">
      <c r="A180" s="128" t="inlineStr">
        <is>
          <t>Ferro Orquico</t>
        </is>
      </c>
      <c r="B180" s="128" t="inlineStr">
        <is>
          <t>Arco</t>
        </is>
      </c>
      <c r="C180" s="128" t="inlineStr">
        <is>
          <t>Arco Cravado de Ferro</t>
        </is>
      </c>
      <c r="D180" s="135" t="inlineStr">
        <is>
          <t>Sangramento</t>
        </is>
      </c>
      <c r="E180" s="128" t="inlineStr">
        <is>
          <t>Pontas de flecha grosseiras, feitas pra ferir fundo, não perfurar limpo.</t>
        </is>
      </c>
      <c r="F180" s="128">
        <f>INDEX(Tiers!$G$9:$G$22,MATCH($A180,Tiers!$B$9:$B$22,0))</f>
        <v/>
      </c>
      <c r="G180" s="128">
        <f>INDEX(Tiers!$H$9:$H$22,MATCH($A180,Tiers!$B$9:$B$22,0))</f>
        <v/>
      </c>
      <c r="H180" s="128">
        <f>INDEX($B$5:$B$11,MATCH($B180,$A$5:$A$11,0))</f>
        <v/>
      </c>
      <c r="I180" s="153">
        <f>ROUND(F180*H180*K180,0)</f>
        <v/>
      </c>
      <c r="J180" s="153">
        <f>ROUND(G180*H180*K180,0)</f>
        <v/>
      </c>
      <c r="K180" s="154" t="n">
        <v>0.97</v>
      </c>
      <c r="L180" s="115">
        <f>ROUND(I180*8,0)</f>
        <v/>
      </c>
      <c r="M180" s="115">
        <f>ROUND(J180*10,0)</f>
        <v/>
      </c>
    </row>
    <row r="181" ht="15" customHeight="1" s="116">
      <c r="A181" s="128" t="inlineStr">
        <is>
          <t>Ferro Orquico</t>
        </is>
      </c>
      <c r="B181" s="128" t="inlineStr">
        <is>
          <t>Adaga</t>
        </is>
      </c>
      <c r="C181" s="128" t="inlineStr">
        <is>
          <t>Adaga de Ferro Órquico</t>
        </is>
      </c>
      <c r="D181" s="135" t="n"/>
      <c r="E181" s="128" t="inlineStr">
        <is>
          <t>Curta, brutal, sem sutileza.</t>
        </is>
      </c>
      <c r="F181" s="128">
        <f>INDEX(Tiers!$G$9:$G$22,MATCH($A181,Tiers!$B$9:$B$22,0))</f>
        <v/>
      </c>
      <c r="G181" s="128">
        <f>INDEX(Tiers!$H$9:$H$22,MATCH($A181,Tiers!$B$9:$B$22,0))</f>
        <v/>
      </c>
      <c r="H181" s="128">
        <f>INDEX($B$5:$B$11,MATCH($B181,$A$5:$A$11,0))</f>
        <v/>
      </c>
      <c r="I181" s="153">
        <f>ROUND(F181*H181*K181,0)</f>
        <v/>
      </c>
      <c r="J181" s="153">
        <f>ROUND(G181*H181*K181,0)</f>
        <v/>
      </c>
      <c r="K181" s="154" t="n">
        <v>1</v>
      </c>
      <c r="L181" s="115">
        <f>ROUND(I181*8,0)</f>
        <v/>
      </c>
      <c r="M181" s="115">
        <f>ROUND(J181*10,0)</f>
        <v/>
      </c>
    </row>
    <row r="182" ht="15" customHeight="1" s="116">
      <c r="A182" s="128" t="inlineStr">
        <is>
          <t>Ferro Orquico</t>
        </is>
      </c>
      <c r="B182" s="128" t="inlineStr">
        <is>
          <t>Adaga</t>
        </is>
      </c>
      <c r="C182" s="128" t="inlineStr">
        <is>
          <t>Adaga de Saque</t>
        </is>
      </c>
      <c r="D182" s="135" t="n"/>
      <c r="E182" s="128" t="inlineStr">
        <is>
          <t>Boa pra cortar corda de prisioneiro. Melhor ainda pra outra coisa.</t>
        </is>
      </c>
      <c r="F182" s="128">
        <f>INDEX(Tiers!$G$9:$G$22,MATCH($A182,Tiers!$B$9:$B$22,0))</f>
        <v/>
      </c>
      <c r="G182" s="128">
        <f>INDEX(Tiers!$H$9:$H$22,MATCH($A182,Tiers!$B$9:$B$22,0))</f>
        <v/>
      </c>
      <c r="H182" s="128">
        <f>INDEX($B$5:$B$11,MATCH($B182,$A$5:$A$11,0))</f>
        <v/>
      </c>
      <c r="I182" s="153">
        <f>ROUND(F182*H182*K182,0)</f>
        <v/>
      </c>
      <c r="J182" s="153">
        <f>ROUND(G182*H182*K182,0)</f>
        <v/>
      </c>
      <c r="K182" s="154" t="n">
        <v>1</v>
      </c>
      <c r="L182" s="115">
        <f>ROUND(I182*8,0)</f>
        <v/>
      </c>
      <c r="M182" s="115">
        <f>ROUND(J182*10,0)</f>
        <v/>
      </c>
    </row>
    <row r="183" ht="15" customHeight="1" s="116">
      <c r="A183" s="128" t="inlineStr">
        <is>
          <t>Ferro Orquico</t>
        </is>
      </c>
      <c r="B183" s="128" t="inlineStr">
        <is>
          <t>Adaga</t>
        </is>
      </c>
      <c r="C183" s="128" t="inlineStr">
        <is>
          <t>Adaga Serrilhada</t>
        </is>
      </c>
      <c r="D183" s="135" t="inlineStr">
        <is>
          <t>Sangramento</t>
        </is>
      </c>
      <c r="E183" s="128" t="inlineStr">
        <is>
          <t>Corte irregular — dói mais do que devia.</t>
        </is>
      </c>
      <c r="F183" s="128">
        <f>INDEX(Tiers!$G$9:$G$22,MATCH($A183,Tiers!$B$9:$B$22,0))</f>
        <v/>
      </c>
      <c r="G183" s="128">
        <f>INDEX(Tiers!$H$9:$H$22,MATCH($A183,Tiers!$B$9:$B$22,0))</f>
        <v/>
      </c>
      <c r="H183" s="128">
        <f>INDEX($B$5:$B$11,MATCH($B183,$A$5:$A$11,0))</f>
        <v/>
      </c>
      <c r="I183" s="153">
        <f>ROUND(F183*H183*K183,0)</f>
        <v/>
      </c>
      <c r="J183" s="153">
        <f>ROUND(G183*H183*K183,0)</f>
        <v/>
      </c>
      <c r="K183" s="154" t="n">
        <v>0.9399999999999999</v>
      </c>
      <c r="L183" s="115">
        <f>ROUND(I183*8,0)</f>
        <v/>
      </c>
      <c r="M183" s="115">
        <f>ROUND(J183*10,0)</f>
        <v/>
      </c>
    </row>
    <row r="184" ht="15" customHeight="1" s="116">
      <c r="A184" s="128" t="inlineStr">
        <is>
          <t>Ferro Orquico</t>
        </is>
      </c>
      <c r="B184" s="128" t="inlineStr">
        <is>
          <t>Maca</t>
        </is>
      </c>
      <c r="C184" s="128" t="inlineStr">
        <is>
          <t>Maça de Ferro Órquico</t>
        </is>
      </c>
      <c r="D184" s="135" t="n"/>
      <c r="E184" s="128" t="inlineStr">
        <is>
          <t>Cabeça maciça, sem enfeite — machuca por peso puro.</t>
        </is>
      </c>
      <c r="F184" s="128">
        <f>INDEX(Tiers!$G$9:$G$22,MATCH($A184,Tiers!$B$9:$B$22,0))</f>
        <v/>
      </c>
      <c r="G184" s="128">
        <f>INDEX(Tiers!$H$9:$H$22,MATCH($A184,Tiers!$B$9:$B$22,0))</f>
        <v/>
      </c>
      <c r="H184" s="128">
        <f>INDEX($B$5:$B$11,MATCH($B184,$A$5:$A$11,0))</f>
        <v/>
      </c>
      <c r="I184" s="153">
        <f>ROUND(F184*H184*K184,0)</f>
        <v/>
      </c>
      <c r="J184" s="153">
        <f>ROUND(G184*H184*K184,0)</f>
        <v/>
      </c>
      <c r="K184" s="154" t="n">
        <v>1</v>
      </c>
      <c r="L184" s="115">
        <f>ROUND(I184*8,0)</f>
        <v/>
      </c>
      <c r="M184" s="115">
        <f>ROUND(J184*10,0)</f>
        <v/>
      </c>
    </row>
    <row r="185" ht="15" customHeight="1" s="116">
      <c r="A185" s="128" t="inlineStr">
        <is>
          <t>Ferro Orquico</t>
        </is>
      </c>
      <c r="B185" s="128" t="inlineStr">
        <is>
          <t>Maca</t>
        </is>
      </c>
      <c r="C185" s="128" t="inlineStr">
        <is>
          <t>Maça de Guerra Bárbara</t>
        </is>
      </c>
      <c r="D185" s="135" t="inlineStr">
        <is>
          <t>Ignora Defesa</t>
        </is>
      </c>
      <c r="E185" s="128" t="inlineStr">
        <is>
          <t>Pesada o bastante pra quebrar escudo em vez de contorná-lo.</t>
        </is>
      </c>
      <c r="F185" s="128">
        <f>INDEX(Tiers!$G$9:$G$22,MATCH($A185,Tiers!$B$9:$B$22,0))</f>
        <v/>
      </c>
      <c r="G185" s="128">
        <f>INDEX(Tiers!$H$9:$H$22,MATCH($A185,Tiers!$B$9:$B$22,0))</f>
        <v/>
      </c>
      <c r="H185" s="128">
        <f>INDEX($B$5:$B$11,MATCH($B185,$A$5:$A$11,0))</f>
        <v/>
      </c>
      <c r="I185" s="153">
        <f>ROUND(F185*H185*K185,0)</f>
        <v/>
      </c>
      <c r="J185" s="153">
        <f>ROUND(G185*H185*K185,0)</f>
        <v/>
      </c>
      <c r="K185" s="154" t="n">
        <v>0.96</v>
      </c>
      <c r="L185" s="115">
        <f>ROUND(I185*8,0)</f>
        <v/>
      </c>
      <c r="M185" s="115">
        <f>ROUND(J185*10,0)</f>
        <v/>
      </c>
    </row>
    <row r="186" ht="15" customHeight="1" s="116">
      <c r="A186" s="128" t="inlineStr">
        <is>
          <t>Ferro Orquico</t>
        </is>
      </c>
      <c r="B186" s="128" t="inlineStr">
        <is>
          <t>Maca</t>
        </is>
      </c>
      <c r="C186" s="128" t="inlineStr">
        <is>
          <t>Maça Cravejada de Presas</t>
        </is>
      </c>
      <c r="D186" s="135" t="n"/>
      <c r="E186" s="128" t="inlineStr">
        <is>
          <t>Presas de fera incrustadas na cabeça — troféu e arma ao mesmo tempo.</t>
        </is>
      </c>
      <c r="F186" s="128">
        <f>INDEX(Tiers!$G$9:$G$22,MATCH($A186,Tiers!$B$9:$B$22,0))</f>
        <v/>
      </c>
      <c r="G186" s="128">
        <f>INDEX(Tiers!$H$9:$H$22,MATCH($A186,Tiers!$B$9:$B$22,0))</f>
        <v/>
      </c>
      <c r="H186" s="128">
        <f>INDEX($B$5:$B$11,MATCH($B186,$A$5:$A$11,0))</f>
        <v/>
      </c>
      <c r="I186" s="153">
        <f>ROUND(F186*H186*K186,0)</f>
        <v/>
      </c>
      <c r="J186" s="153">
        <f>ROUND(G186*H186*K186,0)</f>
        <v/>
      </c>
      <c r="K186" s="154" t="n">
        <v>1.04</v>
      </c>
      <c r="L186" s="115">
        <f>ROUND(I186*8,0)</f>
        <v/>
      </c>
      <c r="M186" s="115">
        <f>ROUND(J186*10,0)</f>
        <v/>
      </c>
    </row>
    <row r="187" ht="15" customHeight="1" s="116">
      <c r="A187" s="128" t="inlineStr">
        <is>
          <t>Ferro Orquico</t>
        </is>
      </c>
      <c r="B187" s="128" t="inlineStr">
        <is>
          <t>Manopla</t>
        </is>
      </c>
      <c r="C187" s="128" t="inlineStr">
        <is>
          <t>Manopla de Ferro Órquico</t>
        </is>
      </c>
      <c r="D187" s="135" t="n"/>
      <c r="E187" s="128" t="inlineStr">
        <is>
          <t>Nós reforçados, pesados — feita pra briga corpo a corpo.</t>
        </is>
      </c>
      <c r="F187" s="128">
        <f>INDEX(Tiers!$G$9:$G$22,MATCH($A187,Tiers!$B$9:$B$22,0))</f>
        <v/>
      </c>
      <c r="G187" s="128">
        <f>INDEX(Tiers!$H$9:$H$22,MATCH($A187,Tiers!$B$9:$B$22,0))</f>
        <v/>
      </c>
      <c r="H187" s="128">
        <f>INDEX($B$5:$B$11,MATCH($B187,$A$5:$A$11,0))</f>
        <v/>
      </c>
      <c r="I187" s="153">
        <f>ROUND(F187*H187*K187,0)</f>
        <v/>
      </c>
      <c r="J187" s="153">
        <f>ROUND(G187*H187*K187,0)</f>
        <v/>
      </c>
      <c r="K187" s="154" t="n">
        <v>1</v>
      </c>
      <c r="L187" s="115">
        <f>ROUND(I187*8,0)</f>
        <v/>
      </c>
      <c r="M187" s="115">
        <f>ROUND(J187*10,0)</f>
        <v/>
      </c>
    </row>
    <row r="188" ht="15" customHeight="1" s="116">
      <c r="A188" s="128" t="inlineStr">
        <is>
          <t>Ferro Orquico</t>
        </is>
      </c>
      <c r="B188" s="128" t="inlineStr">
        <is>
          <t>Manopla</t>
        </is>
      </c>
      <c r="C188" s="128" t="inlineStr">
        <is>
          <t>Manopla Cravejada de Ferro</t>
        </is>
      </c>
      <c r="D188" s="135" t="inlineStr">
        <is>
          <t>Sangramento</t>
        </is>
      </c>
      <c r="E188" s="128" t="inlineStr">
        <is>
          <t>Pontas de metal viradas pra fora — aperto de mão fatal.</t>
        </is>
      </c>
      <c r="F188" s="128">
        <f>INDEX(Tiers!$G$9:$G$22,MATCH($A188,Tiers!$B$9:$B$22,0))</f>
        <v/>
      </c>
      <c r="G188" s="128">
        <f>INDEX(Tiers!$H$9:$H$22,MATCH($A188,Tiers!$B$9:$B$22,0))</f>
        <v/>
      </c>
      <c r="H188" s="128">
        <f>INDEX($B$5:$B$11,MATCH($B188,$A$5:$A$11,0))</f>
        <v/>
      </c>
      <c r="I188" s="153">
        <f>ROUND(F188*H188*K188,0)</f>
        <v/>
      </c>
      <c r="J188" s="153">
        <f>ROUND(G188*H188*K188,0)</f>
        <v/>
      </c>
      <c r="K188" s="154" t="n">
        <v>0.97</v>
      </c>
      <c r="L188" s="115">
        <f>ROUND(I188*8,0)</f>
        <v/>
      </c>
      <c r="M188" s="115">
        <f>ROUND(J188*10,0)</f>
        <v/>
      </c>
    </row>
    <row r="189" ht="15" customHeight="1" s="116">
      <c r="A189" s="128" t="inlineStr">
        <is>
          <t>Ferro Orquico</t>
        </is>
      </c>
      <c r="B189" s="128" t="inlineStr">
        <is>
          <t>Cetro</t>
        </is>
      </c>
      <c r="C189" s="128" t="inlineStr">
        <is>
          <t>Cetro de Ferro Órquico</t>
        </is>
      </c>
      <c r="D189" s="135" t="n"/>
      <c r="E189" s="128" t="inlineStr">
        <is>
          <t>Vara grosseira, cristal preso com corda — magia de guerra, não de estudo.</t>
        </is>
      </c>
      <c r="F189" s="128">
        <f>INDEX(Tiers!$G$9:$G$22,MATCH($A189,Tiers!$B$9:$B$22,0))</f>
        <v/>
      </c>
      <c r="G189" s="128">
        <f>INDEX(Tiers!$H$9:$H$22,MATCH($A189,Tiers!$B$9:$B$22,0))</f>
        <v/>
      </c>
      <c r="H189" s="128">
        <f>INDEX($B$5:$B$11,MATCH($B189,$A$5:$A$11,0))</f>
        <v/>
      </c>
      <c r="I189" s="153">
        <f>ROUND(F189*H189*K189,0)</f>
        <v/>
      </c>
      <c r="J189" s="153">
        <f>ROUND(G189*H189*K189,0)</f>
        <v/>
      </c>
      <c r="K189" s="154" t="n">
        <v>1</v>
      </c>
      <c r="L189" s="115">
        <f>ROUND(I189*8,0)</f>
        <v/>
      </c>
      <c r="M189" s="115">
        <f>ROUND(J189*10,0)</f>
        <v/>
      </c>
    </row>
    <row r="190" ht="15" customHeight="1" s="116">
      <c r="A190" s="128" t="inlineStr">
        <is>
          <t>Ferro Orquico</t>
        </is>
      </c>
      <c r="B190" s="128" t="inlineStr">
        <is>
          <t>Cetro</t>
        </is>
      </c>
      <c r="C190" s="128" t="inlineStr">
        <is>
          <t>Cetro do Xamã de Guerra</t>
        </is>
      </c>
      <c r="D190" s="135" t="n"/>
      <c r="E190" s="128" t="inlineStr">
        <is>
          <t>Usado em rituais antes da batalha, pra invocar fúria no bando.</t>
        </is>
      </c>
      <c r="F190" s="128">
        <f>INDEX(Tiers!$G$9:$G$22,MATCH($A190,Tiers!$B$9:$B$22,0))</f>
        <v/>
      </c>
      <c r="G190" s="128">
        <f>INDEX(Tiers!$H$9:$H$22,MATCH($A190,Tiers!$B$9:$B$22,0))</f>
        <v/>
      </c>
      <c r="H190" s="128">
        <f>INDEX($B$5:$B$11,MATCH($B190,$A$5:$A$11,0))</f>
        <v/>
      </c>
      <c r="I190" s="153">
        <f>ROUND(F190*H190*K190,0)</f>
        <v/>
      </c>
      <c r="J190" s="153">
        <f>ROUND(G190*H190*K190,0)</f>
        <v/>
      </c>
      <c r="K190" s="154" t="n">
        <v>1.07</v>
      </c>
      <c r="L190" s="115">
        <f>ROUND(I190*8,0)</f>
        <v/>
      </c>
      <c r="M190" s="115">
        <f>ROUND(J190*10,0)</f>
        <v/>
      </c>
    </row>
    <row r="191" ht="15" customHeight="1" s="116">
      <c r="A191" s="128" t="inlineStr">
        <is>
          <t>Mithril</t>
        </is>
      </c>
      <c r="B191" s="128" t="inlineStr">
        <is>
          <t>Espada</t>
        </is>
      </c>
      <c r="C191" s="128" t="inlineStr">
        <is>
          <t>Espada de Mithril</t>
        </is>
      </c>
      <c r="D191" s="135" t="n"/>
      <c r="E191" s="128" t="inlineStr">
        <is>
          <t>Metal prateado luminescente que quase não possui peso, porém supera o aço em dureza.</t>
        </is>
      </c>
      <c r="F191" s="128">
        <f>INDEX(Tiers!$G$9:$G$22,MATCH($A191,Tiers!$B$9:$B$22,0))</f>
        <v/>
      </c>
      <c r="G191" s="128">
        <f>INDEX(Tiers!$H$9:$H$22,MATCH($A191,Tiers!$B$9:$B$22,0))</f>
        <v/>
      </c>
      <c r="H191" s="128">
        <f>INDEX($B$5:$B$11,MATCH($B191,$A$5:$A$11,0))</f>
        <v/>
      </c>
      <c r="I191" s="153">
        <f>ROUND(F191*H191*K191,0)</f>
        <v/>
      </c>
      <c r="J191" s="153">
        <f>ROUND(G191*H191*K191,0)</f>
        <v/>
      </c>
      <c r="K191" s="154" t="n">
        <v>1</v>
      </c>
      <c r="L191" s="115">
        <f>ROUND(I191*8,0)</f>
        <v/>
      </c>
      <c r="M191" s="115">
        <f>ROUND(J191*10,0)</f>
        <v/>
      </c>
    </row>
    <row r="192" ht="15" customHeight="1" s="116">
      <c r="A192" s="128" t="inlineStr">
        <is>
          <t>Mithril</t>
        </is>
      </c>
      <c r="B192" s="128" t="inlineStr">
        <is>
          <t>Espada</t>
        </is>
      </c>
      <c r="C192" s="128" t="inlineStr">
        <is>
          <t>Espada Élfica Abissal</t>
        </is>
      </c>
      <c r="D192" s="135" t="n"/>
      <c r="E192" s="128" t="inlineStr">
        <is>
          <t>Trazida por navegadores que a acharam num naufrágio antigo — ninguém sabe de onde veio antes disso.</t>
        </is>
      </c>
      <c r="F192" s="128">
        <f>INDEX(Tiers!$G$9:$G$22,MATCH($A192,Tiers!$B$9:$B$22,0))</f>
        <v/>
      </c>
      <c r="G192" s="128">
        <f>INDEX(Tiers!$H$9:$H$22,MATCH($A192,Tiers!$B$9:$B$22,0))</f>
        <v/>
      </c>
      <c r="H192" s="128">
        <f>INDEX($B$5:$B$11,MATCH($B192,$A$5:$A$11,0))</f>
        <v/>
      </c>
      <c r="I192" s="153">
        <f>ROUND(F192*H192*K192,0)</f>
        <v/>
      </c>
      <c r="J192" s="153">
        <f>ROUND(G192*H192*K192,0)</f>
        <v/>
      </c>
      <c r="K192" s="154" t="n">
        <v>1</v>
      </c>
      <c r="L192" s="115">
        <f>ROUND(I192*8,0)</f>
        <v/>
      </c>
      <c r="M192" s="115">
        <f>ROUND(J192*10,0)</f>
        <v/>
      </c>
    </row>
    <row r="193" ht="15" customHeight="1" s="116">
      <c r="A193" s="128" t="inlineStr">
        <is>
          <t>Mithril</t>
        </is>
      </c>
      <c r="B193" s="128" t="inlineStr">
        <is>
          <t>Espada</t>
        </is>
      </c>
      <c r="C193" s="128" t="inlineStr">
        <is>
          <t>Espada Sussurrante das Profundezas</t>
        </is>
      </c>
      <c r="D193" s="135" t="n"/>
      <c r="E193" s="128" t="inlineStr">
        <is>
          <t>Faz um som baixo perto de água parada — ninguém explica direito por quê.</t>
        </is>
      </c>
      <c r="F193" s="128">
        <f>INDEX(Tiers!$G$9:$G$22,MATCH($A193,Tiers!$B$9:$B$22,0))</f>
        <v/>
      </c>
      <c r="G193" s="128">
        <f>INDEX(Tiers!$H$9:$H$22,MATCH($A193,Tiers!$B$9:$B$22,0))</f>
        <v/>
      </c>
      <c r="H193" s="128">
        <f>INDEX($B$5:$B$11,MATCH($B193,$A$5:$A$11,0))</f>
        <v/>
      </c>
      <c r="I193" s="153">
        <f>ROUND(F193*H193*K193,0)</f>
        <v/>
      </c>
      <c r="J193" s="153">
        <f>ROUND(G193*H193*K193,0)</f>
        <v/>
      </c>
      <c r="K193" s="154" t="n">
        <v>1</v>
      </c>
      <c r="L193" s="115">
        <f>ROUND(I193*8,0)</f>
        <v/>
      </c>
      <c r="M193" s="115">
        <f>ROUND(J193*10,0)</f>
        <v/>
      </c>
    </row>
    <row r="194" ht="15" customHeight="1" s="116">
      <c r="A194" s="128" t="inlineStr">
        <is>
          <t>Mithril</t>
        </is>
      </c>
      <c r="B194" s="128" t="inlineStr">
        <is>
          <t>Espada</t>
        </is>
      </c>
      <c r="C194" s="128" t="inlineStr">
        <is>
          <t>Espada Leve como Névoa</t>
        </is>
      </c>
      <c r="D194" s="135" t="n"/>
      <c r="E194" s="128" t="inlineStr">
        <is>
          <t>Tão leve que corta antes de anunciar que chegou.</t>
        </is>
      </c>
      <c r="F194" s="128">
        <f>INDEX(Tiers!$G$9:$G$22,MATCH($A194,Tiers!$B$9:$B$22,0))</f>
        <v/>
      </c>
      <c r="G194" s="128">
        <f>INDEX(Tiers!$H$9:$H$22,MATCH($A194,Tiers!$B$9:$B$22,0))</f>
        <v/>
      </c>
      <c r="H194" s="128">
        <f>INDEX($B$5:$B$11,MATCH($B194,$A$5:$A$11,0))</f>
        <v/>
      </c>
      <c r="I194" s="153">
        <f>ROUND(F194*H194*K194,0)</f>
        <v/>
      </c>
      <c r="J194" s="153">
        <f>ROUND(G194*H194*K194,0)</f>
        <v/>
      </c>
      <c r="K194" s="154" t="n">
        <v>1</v>
      </c>
      <c r="L194" s="115">
        <f>ROUND(I194*8,0)</f>
        <v/>
      </c>
      <c r="M194" s="115">
        <f>ROUND(J194*10,0)</f>
        <v/>
      </c>
    </row>
    <row r="195" ht="15" customHeight="1" s="116">
      <c r="A195" s="128" t="inlineStr">
        <is>
          <t>Mithril</t>
        </is>
      </c>
      <c r="B195" s="128" t="inlineStr">
        <is>
          <t>Machado</t>
        </is>
      </c>
      <c r="C195" s="128" t="inlineStr">
        <is>
          <t>Machado de Mithril</t>
        </is>
      </c>
      <c r="D195" s="135" t="n"/>
      <c r="E195" s="128" t="inlineStr">
        <is>
          <t>Cabeça fina, corte preciso — pesa menos que a maioria das adagas comuns.</t>
        </is>
      </c>
      <c r="F195" s="128">
        <f>INDEX(Tiers!$G$9:$G$22,MATCH($A195,Tiers!$B$9:$B$22,0))</f>
        <v/>
      </c>
      <c r="G195" s="128">
        <f>INDEX(Tiers!$H$9:$H$22,MATCH($A195,Tiers!$B$9:$B$22,0))</f>
        <v/>
      </c>
      <c r="H195" s="128">
        <f>INDEX($B$5:$B$11,MATCH($B195,$A$5:$A$11,0))</f>
        <v/>
      </c>
      <c r="I195" s="153">
        <f>ROUND(F195*H195*K195,0)</f>
        <v/>
      </c>
      <c r="J195" s="153">
        <f>ROUND(G195*H195*K195,0)</f>
        <v/>
      </c>
      <c r="K195" s="154" t="n">
        <v>1</v>
      </c>
      <c r="L195" s="115">
        <f>ROUND(I195*8,0)</f>
        <v/>
      </c>
      <c r="M195" s="115">
        <f>ROUND(J195*10,0)</f>
        <v/>
      </c>
    </row>
    <row r="196" ht="15" customHeight="1" s="116">
      <c r="A196" s="128" t="inlineStr">
        <is>
          <t>Mithril</t>
        </is>
      </c>
      <c r="B196" s="128" t="inlineStr">
        <is>
          <t>Machado</t>
        </is>
      </c>
      <c r="C196" s="128" t="inlineStr">
        <is>
          <t>Machado Afiado das Cavernas</t>
        </is>
      </c>
      <c r="D196" s="135" t="n"/>
      <c r="E196" s="128" t="inlineStr">
        <is>
          <t>Talhado numa veio profundo de mithril, ainda com o brilho da rocha.</t>
        </is>
      </c>
      <c r="F196" s="128">
        <f>INDEX(Tiers!$G$9:$G$22,MATCH($A196,Tiers!$B$9:$B$22,0))</f>
        <v/>
      </c>
      <c r="G196" s="128">
        <f>INDEX(Tiers!$H$9:$H$22,MATCH($A196,Tiers!$B$9:$B$22,0))</f>
        <v/>
      </c>
      <c r="H196" s="128">
        <f>INDEX($B$5:$B$11,MATCH($B196,$A$5:$A$11,0))</f>
        <v/>
      </c>
      <c r="I196" s="153">
        <f>ROUND(F196*H196*K196,0)</f>
        <v/>
      </c>
      <c r="J196" s="153">
        <f>ROUND(G196*H196*K196,0)</f>
        <v/>
      </c>
      <c r="K196" s="154" t="n">
        <v>1</v>
      </c>
      <c r="L196" s="115">
        <f>ROUND(I196*8,0)</f>
        <v/>
      </c>
      <c r="M196" s="115">
        <f>ROUND(J196*10,0)</f>
        <v/>
      </c>
    </row>
    <row r="197" ht="15" customHeight="1" s="116">
      <c r="A197" s="128" t="inlineStr">
        <is>
          <t>Mithril</t>
        </is>
      </c>
      <c r="B197" s="128" t="inlineStr">
        <is>
          <t>Machado</t>
        </is>
      </c>
      <c r="C197" s="128" t="inlineStr">
        <is>
          <t>Machado Silencioso das Profundezas</t>
        </is>
      </c>
      <c r="D197" s="135" t="n"/>
      <c r="E197" s="128" t="inlineStr">
        <is>
          <t>O golpe não faz ruído — só o resultado dele.</t>
        </is>
      </c>
      <c r="F197" s="128">
        <f>INDEX(Tiers!$G$9:$G$22,MATCH($A197,Tiers!$B$9:$B$22,0))</f>
        <v/>
      </c>
      <c r="G197" s="128">
        <f>INDEX(Tiers!$H$9:$H$22,MATCH($A197,Tiers!$B$9:$B$22,0))</f>
        <v/>
      </c>
      <c r="H197" s="128">
        <f>INDEX($B$5:$B$11,MATCH($B197,$A$5:$A$11,0))</f>
        <v/>
      </c>
      <c r="I197" s="153">
        <f>ROUND(F197*H197*K197,0)</f>
        <v/>
      </c>
      <c r="J197" s="153">
        <f>ROUND(G197*H197*K197,0)</f>
        <v/>
      </c>
      <c r="K197" s="154" t="n">
        <v>1</v>
      </c>
      <c r="L197" s="115">
        <f>ROUND(I197*8,0)</f>
        <v/>
      </c>
      <c r="M197" s="115">
        <f>ROUND(J197*10,0)</f>
        <v/>
      </c>
    </row>
    <row r="198" ht="15" customHeight="1" s="116">
      <c r="A198" s="128" t="inlineStr">
        <is>
          <t>Mithril</t>
        </is>
      </c>
      <c r="B198" s="128" t="inlineStr">
        <is>
          <t>Machado</t>
        </is>
      </c>
      <c r="C198" s="128" t="inlineStr">
        <is>
          <t>Machado de Corte Perfeito</t>
        </is>
      </c>
      <c r="D198" s="135" t="n"/>
      <c r="E198" s="128" t="inlineStr">
        <is>
          <t>Uma única dobra impecável — não existem duas iguais.</t>
        </is>
      </c>
      <c r="F198" s="128">
        <f>INDEX(Tiers!$G$9:$G$22,MATCH($A198,Tiers!$B$9:$B$22,0))</f>
        <v/>
      </c>
      <c r="G198" s="128">
        <f>INDEX(Tiers!$H$9:$H$22,MATCH($A198,Tiers!$B$9:$B$22,0))</f>
        <v/>
      </c>
      <c r="H198" s="128">
        <f>INDEX($B$5:$B$11,MATCH($B198,$A$5:$A$11,0))</f>
        <v/>
      </c>
      <c r="I198" s="153">
        <f>ROUND(F198*H198*K198,0)</f>
        <v/>
      </c>
      <c r="J198" s="153">
        <f>ROUND(G198*H198*K198,0)</f>
        <v/>
      </c>
      <c r="K198" s="154" t="n">
        <v>1</v>
      </c>
      <c r="L198" s="115">
        <f>ROUND(I198*8,0)</f>
        <v/>
      </c>
      <c r="M198" s="115">
        <f>ROUND(J198*10,0)</f>
        <v/>
      </c>
    </row>
    <row r="199" ht="15" customHeight="1" s="116">
      <c r="A199" s="128" t="inlineStr">
        <is>
          <t>Mithril</t>
        </is>
      </c>
      <c r="B199" s="128" t="inlineStr">
        <is>
          <t>Arco</t>
        </is>
      </c>
      <c r="C199" s="128" t="inlineStr">
        <is>
          <t>Arco de Mithril</t>
        </is>
      </c>
      <c r="D199" s="135" t="n"/>
      <c r="E199" s="128" t="inlineStr">
        <is>
          <t>Curva perfeita, quase sem peso — a mira nem sente o esforço.</t>
        </is>
      </c>
      <c r="F199" s="128">
        <f>INDEX(Tiers!$G$9:$G$22,MATCH($A199,Tiers!$B$9:$B$22,0))</f>
        <v/>
      </c>
      <c r="G199" s="128">
        <f>INDEX(Tiers!$H$9:$H$22,MATCH($A199,Tiers!$B$9:$B$22,0))</f>
        <v/>
      </c>
      <c r="H199" s="128">
        <f>INDEX($B$5:$B$11,MATCH($B199,$A$5:$A$11,0))</f>
        <v/>
      </c>
      <c r="I199" s="153">
        <f>ROUND(F199*H199*K199,0)</f>
        <v/>
      </c>
      <c r="J199" s="153">
        <f>ROUND(G199*H199*K199,0)</f>
        <v/>
      </c>
      <c r="K199" s="154" t="n">
        <v>1</v>
      </c>
      <c r="L199" s="115">
        <f>ROUND(I199*8,0)</f>
        <v/>
      </c>
      <c r="M199" s="115">
        <f>ROUND(J199*10,0)</f>
        <v/>
      </c>
    </row>
    <row r="200" ht="15" customHeight="1" s="116">
      <c r="A200" s="128" t="inlineStr">
        <is>
          <t>Mithril</t>
        </is>
      </c>
      <c r="B200" s="128" t="inlineStr">
        <is>
          <t>Arco</t>
        </is>
      </c>
      <c r="C200" s="128" t="inlineStr">
        <is>
          <t>Arco das Profundezas</t>
        </is>
      </c>
      <c r="D200" s="135" t="n"/>
      <c r="E200" s="128" t="inlineStr">
        <is>
          <t>Usado pelos batedores que exploram os túneis mais fundos do Porto.</t>
        </is>
      </c>
      <c r="F200" s="128">
        <f>INDEX(Tiers!$G$9:$G$22,MATCH($A200,Tiers!$B$9:$B$22,0))</f>
        <v/>
      </c>
      <c r="G200" s="128">
        <f>INDEX(Tiers!$H$9:$H$22,MATCH($A200,Tiers!$B$9:$B$22,0))</f>
        <v/>
      </c>
      <c r="H200" s="128">
        <f>INDEX($B$5:$B$11,MATCH($B200,$A$5:$A$11,0))</f>
        <v/>
      </c>
      <c r="I200" s="153">
        <f>ROUND(F200*H200*K200,0)</f>
        <v/>
      </c>
      <c r="J200" s="153">
        <f>ROUND(G200*H200*K200,0)</f>
        <v/>
      </c>
      <c r="K200" s="154" t="n">
        <v>1</v>
      </c>
      <c r="L200" s="115">
        <f>ROUND(I200*8,0)</f>
        <v/>
      </c>
      <c r="M200" s="115">
        <f>ROUND(J200*10,0)</f>
        <v/>
      </c>
    </row>
    <row r="201" ht="15" customHeight="1" s="116">
      <c r="A201" s="128" t="inlineStr">
        <is>
          <t>Mithril</t>
        </is>
      </c>
      <c r="B201" s="128" t="inlineStr">
        <is>
          <t>Arco</t>
        </is>
      </c>
      <c r="C201" s="128" t="inlineStr">
        <is>
          <t>Arco de Corda Cristalina</t>
        </is>
      </c>
      <c r="D201" s="135" t="n"/>
      <c r="E201" s="128" t="inlineStr">
        <is>
          <t>A corda parece de vidro, mas nunca arrebenta.</t>
        </is>
      </c>
      <c r="F201" s="128">
        <f>INDEX(Tiers!$G$9:$G$22,MATCH($A201,Tiers!$B$9:$B$22,0))</f>
        <v/>
      </c>
      <c r="G201" s="128">
        <f>INDEX(Tiers!$H$9:$H$22,MATCH($A201,Tiers!$B$9:$B$22,0))</f>
        <v/>
      </c>
      <c r="H201" s="128">
        <f>INDEX($B$5:$B$11,MATCH($B201,$A$5:$A$11,0))</f>
        <v/>
      </c>
      <c r="I201" s="153">
        <f>ROUND(F201*H201*K201,0)</f>
        <v/>
      </c>
      <c r="J201" s="153">
        <f>ROUND(G201*H201*K201,0)</f>
        <v/>
      </c>
      <c r="K201" s="154" t="n">
        <v>1</v>
      </c>
      <c r="L201" s="115">
        <f>ROUND(I201*8,0)</f>
        <v/>
      </c>
      <c r="M201" s="115">
        <f>ROUND(J201*10,0)</f>
        <v/>
      </c>
    </row>
    <row r="202" ht="15" customHeight="1" s="116">
      <c r="A202" s="128" t="inlineStr">
        <is>
          <t>Mithril</t>
        </is>
      </c>
      <c r="B202" s="128" t="inlineStr">
        <is>
          <t>Arco</t>
        </is>
      </c>
      <c r="C202" s="128" t="inlineStr">
        <is>
          <t>Arco Sem Peso</t>
        </is>
      </c>
      <c r="D202" s="135" t="n"/>
      <c r="E202" s="128" t="inlineStr">
        <is>
          <t>Você esquece que está carregando um arco até precisar dele.</t>
        </is>
      </c>
      <c r="F202" s="128">
        <f>INDEX(Tiers!$G$9:$G$22,MATCH($A202,Tiers!$B$9:$B$22,0))</f>
        <v/>
      </c>
      <c r="G202" s="128">
        <f>INDEX(Tiers!$H$9:$H$22,MATCH($A202,Tiers!$B$9:$B$22,0))</f>
        <v/>
      </c>
      <c r="H202" s="128">
        <f>INDEX($B$5:$B$11,MATCH($B202,$A$5:$A$11,0))</f>
        <v/>
      </c>
      <c r="I202" s="153">
        <f>ROUND(F202*H202*K202,0)</f>
        <v/>
      </c>
      <c r="J202" s="153">
        <f>ROUND(G202*H202*K202,0)</f>
        <v/>
      </c>
      <c r="K202" s="154" t="n">
        <v>1</v>
      </c>
      <c r="L202" s="115">
        <f>ROUND(I202*8,0)</f>
        <v/>
      </c>
      <c r="M202" s="115">
        <f>ROUND(J202*10,0)</f>
        <v/>
      </c>
    </row>
    <row r="203" ht="15" customHeight="1" s="116">
      <c r="A203" s="128" t="inlineStr">
        <is>
          <t>Mithril</t>
        </is>
      </c>
      <c r="B203" s="128" t="inlineStr">
        <is>
          <t>Adaga</t>
        </is>
      </c>
      <c r="C203" s="128" t="inlineStr">
        <is>
          <t>Adaga de Mithril</t>
        </is>
      </c>
      <c r="D203" s="135" t="n"/>
      <c r="E203" s="128" t="inlineStr">
        <is>
          <t>Pequena, fria, quase invisível na palma da mão.</t>
        </is>
      </c>
      <c r="F203" s="128">
        <f>INDEX(Tiers!$G$9:$G$22,MATCH($A203,Tiers!$B$9:$B$22,0))</f>
        <v/>
      </c>
      <c r="G203" s="128">
        <f>INDEX(Tiers!$H$9:$H$22,MATCH($A203,Tiers!$B$9:$B$22,0))</f>
        <v/>
      </c>
      <c r="H203" s="128">
        <f>INDEX($B$5:$B$11,MATCH($B203,$A$5:$A$11,0))</f>
        <v/>
      </c>
      <c r="I203" s="153">
        <f>ROUND(F203*H203*K203,0)</f>
        <v/>
      </c>
      <c r="J203" s="153">
        <f>ROUND(G203*H203*K203,0)</f>
        <v/>
      </c>
      <c r="K203" s="154" t="n">
        <v>1</v>
      </c>
      <c r="L203" s="115">
        <f>ROUND(I203*8,0)</f>
        <v/>
      </c>
      <c r="M203" s="115">
        <f>ROUND(J203*10,0)</f>
        <v/>
      </c>
    </row>
    <row r="204" ht="15" customHeight="1" s="116">
      <c r="A204" s="128" t="inlineStr">
        <is>
          <t>Mithril</t>
        </is>
      </c>
      <c r="B204" s="128" t="inlineStr">
        <is>
          <t>Adaga</t>
        </is>
      </c>
      <c r="C204" s="128" t="inlineStr">
        <is>
          <t>Adaga Abissal</t>
        </is>
      </c>
      <c r="D204" s="135" t="n"/>
      <c r="E204" s="128" t="inlineStr">
        <is>
          <t>Recuperada do fundo do Mar Sem Sol — ainda cheira a água parada.</t>
        </is>
      </c>
      <c r="F204" s="128">
        <f>INDEX(Tiers!$G$9:$G$22,MATCH($A204,Tiers!$B$9:$B$22,0))</f>
        <v/>
      </c>
      <c r="G204" s="128">
        <f>INDEX(Tiers!$H$9:$H$22,MATCH($A204,Tiers!$B$9:$B$22,0))</f>
        <v/>
      </c>
      <c r="H204" s="128">
        <f>INDEX($B$5:$B$11,MATCH($B204,$A$5:$A$11,0))</f>
        <v/>
      </c>
      <c r="I204" s="153">
        <f>ROUND(F204*H204*K204,0)</f>
        <v/>
      </c>
      <c r="J204" s="153">
        <f>ROUND(G204*H204*K204,0)</f>
        <v/>
      </c>
      <c r="K204" s="154" t="n">
        <v>1</v>
      </c>
      <c r="L204" s="115">
        <f>ROUND(I204*8,0)</f>
        <v/>
      </c>
      <c r="M204" s="115">
        <f>ROUND(J204*10,0)</f>
        <v/>
      </c>
    </row>
    <row r="205" ht="15" customHeight="1" s="116">
      <c r="A205" s="128" t="inlineStr">
        <is>
          <t>Mithril</t>
        </is>
      </c>
      <c r="B205" s="128" t="inlineStr">
        <is>
          <t>Adaga</t>
        </is>
      </c>
      <c r="C205" s="128" t="inlineStr">
        <is>
          <t>Adaga Quase Invisível</t>
        </is>
      </c>
      <c r="D205" s="135" t="n"/>
      <c r="E205" s="128" t="inlineStr">
        <is>
          <t>Reflete tão pouca luz que é fácil esquecer que ela existe.</t>
        </is>
      </c>
      <c r="F205" s="128">
        <f>INDEX(Tiers!$G$9:$G$22,MATCH($A205,Tiers!$B$9:$B$22,0))</f>
        <v/>
      </c>
      <c r="G205" s="128">
        <f>INDEX(Tiers!$H$9:$H$22,MATCH($A205,Tiers!$B$9:$B$22,0))</f>
        <v/>
      </c>
      <c r="H205" s="128">
        <f>INDEX($B$5:$B$11,MATCH($B205,$A$5:$A$11,0))</f>
        <v/>
      </c>
      <c r="I205" s="153">
        <f>ROUND(F205*H205*K205,0)</f>
        <v/>
      </c>
      <c r="J205" s="153">
        <f>ROUND(G205*H205*K205,0)</f>
        <v/>
      </c>
      <c r="K205" s="154" t="n">
        <v>1</v>
      </c>
      <c r="L205" s="115">
        <f>ROUND(I205*8,0)</f>
        <v/>
      </c>
      <c r="M205" s="115">
        <f>ROUND(J205*10,0)</f>
        <v/>
      </c>
    </row>
    <row r="206" ht="15" customHeight="1" s="116">
      <c r="A206" s="128" t="inlineStr">
        <is>
          <t>Mithril</t>
        </is>
      </c>
      <c r="B206" s="128" t="inlineStr">
        <is>
          <t>Maca</t>
        </is>
      </c>
      <c r="C206" s="128" t="inlineStr">
        <is>
          <t>Maça de Mithril</t>
        </is>
      </c>
      <c r="D206" s="135" t="n"/>
      <c r="E206" s="128" t="inlineStr">
        <is>
          <t>Rara entre os mineradores — poucos gastam mithril bruto numa maça.</t>
        </is>
      </c>
      <c r="F206" s="128">
        <f>INDEX(Tiers!$G$9:$G$22,MATCH($A206,Tiers!$B$9:$B$22,0))</f>
        <v/>
      </c>
      <c r="G206" s="128">
        <f>INDEX(Tiers!$H$9:$H$22,MATCH($A206,Tiers!$B$9:$B$22,0))</f>
        <v/>
      </c>
      <c r="H206" s="128">
        <f>INDEX($B$5:$B$11,MATCH($B206,$A$5:$A$11,0))</f>
        <v/>
      </c>
      <c r="I206" s="153">
        <f>ROUND(F206*H206*K206,0)</f>
        <v/>
      </c>
      <c r="J206" s="153">
        <f>ROUND(G206*H206*K206,0)</f>
        <v/>
      </c>
      <c r="K206" s="154" t="n">
        <v>1</v>
      </c>
      <c r="L206" s="115">
        <f>ROUND(I206*8,0)</f>
        <v/>
      </c>
      <c r="M206" s="115">
        <f>ROUND(J206*10,0)</f>
        <v/>
      </c>
    </row>
    <row r="207" ht="15" customHeight="1" s="116">
      <c r="A207" s="128" t="inlineStr">
        <is>
          <t>Mithril</t>
        </is>
      </c>
      <c r="B207" s="128" t="inlineStr">
        <is>
          <t>Maca</t>
        </is>
      </c>
      <c r="C207" s="128" t="inlineStr">
        <is>
          <t>Maça das Profundezas</t>
        </is>
      </c>
      <c r="D207" s="135" t="n"/>
      <c r="E207" s="128" t="inlineStr">
        <is>
          <t>Achada perto de um veio raro, longe demais da superfície.</t>
        </is>
      </c>
      <c r="F207" s="128">
        <f>INDEX(Tiers!$G$9:$G$22,MATCH($A207,Tiers!$B$9:$B$22,0))</f>
        <v/>
      </c>
      <c r="G207" s="128">
        <f>INDEX(Tiers!$H$9:$H$22,MATCH($A207,Tiers!$B$9:$B$22,0))</f>
        <v/>
      </c>
      <c r="H207" s="128">
        <f>INDEX($B$5:$B$11,MATCH($B207,$A$5:$A$11,0))</f>
        <v/>
      </c>
      <c r="I207" s="153">
        <f>ROUND(F207*H207*K207,0)</f>
        <v/>
      </c>
      <c r="J207" s="153">
        <f>ROUND(G207*H207*K207,0)</f>
        <v/>
      </c>
      <c r="K207" s="154" t="n">
        <v>1</v>
      </c>
      <c r="L207" s="115">
        <f>ROUND(I207*8,0)</f>
        <v/>
      </c>
      <c r="M207" s="115">
        <f>ROUND(J207*10,0)</f>
        <v/>
      </c>
    </row>
    <row r="208" ht="15" customHeight="1" s="116">
      <c r="A208" s="128" t="inlineStr">
        <is>
          <t>Mithril</t>
        </is>
      </c>
      <c r="B208" s="128" t="inlineStr">
        <is>
          <t>Maca</t>
        </is>
      </c>
      <c r="C208" s="128" t="inlineStr">
        <is>
          <t>Maça Leve de Impacto Certeiro</t>
        </is>
      </c>
      <c r="D208" s="135" t="n"/>
      <c r="E208" s="128" t="inlineStr">
        <is>
          <t>Leve na mão, pesada no resultado.</t>
        </is>
      </c>
      <c r="F208" s="128">
        <f>INDEX(Tiers!$G$9:$G$22,MATCH($A208,Tiers!$B$9:$B$22,0))</f>
        <v/>
      </c>
      <c r="G208" s="128">
        <f>INDEX(Tiers!$H$9:$H$22,MATCH($A208,Tiers!$B$9:$B$22,0))</f>
        <v/>
      </c>
      <c r="H208" s="128">
        <f>INDEX($B$5:$B$11,MATCH($B208,$A$5:$A$11,0))</f>
        <v/>
      </c>
      <c r="I208" s="153">
        <f>ROUND(F208*H208*K208,0)</f>
        <v/>
      </c>
      <c r="J208" s="153">
        <f>ROUND(G208*H208*K208,0)</f>
        <v/>
      </c>
      <c r="K208" s="154" t="n">
        <v>1</v>
      </c>
      <c r="L208" s="115">
        <f>ROUND(I208*8,0)</f>
        <v/>
      </c>
      <c r="M208" s="115">
        <f>ROUND(J208*10,0)</f>
        <v/>
      </c>
    </row>
    <row r="209" ht="15" customHeight="1" s="116">
      <c r="A209" s="128" t="inlineStr">
        <is>
          <t>Mithril</t>
        </is>
      </c>
      <c r="B209" s="128" t="inlineStr">
        <is>
          <t>Manopla</t>
        </is>
      </c>
      <c r="C209" s="128" t="inlineStr">
        <is>
          <t>Manopla de Mithril</t>
        </is>
      </c>
      <c r="D209" s="135" t="n"/>
      <c r="E209" s="128" t="inlineStr">
        <is>
          <t>Fina, quase decorativa — até o primeiro soco de verdade.</t>
        </is>
      </c>
      <c r="F209" s="128">
        <f>INDEX(Tiers!$G$9:$G$22,MATCH($A209,Tiers!$B$9:$B$22,0))</f>
        <v/>
      </c>
      <c r="G209" s="128">
        <f>INDEX(Tiers!$H$9:$H$22,MATCH($A209,Tiers!$B$9:$B$22,0))</f>
        <v/>
      </c>
      <c r="H209" s="128">
        <f>INDEX($B$5:$B$11,MATCH($B209,$A$5:$A$11,0))</f>
        <v/>
      </c>
      <c r="I209" s="153">
        <f>ROUND(F209*H209*K209,0)</f>
        <v/>
      </c>
      <c r="J209" s="153">
        <f>ROUND(G209*H209*K209,0)</f>
        <v/>
      </c>
      <c r="K209" s="154" t="n">
        <v>1</v>
      </c>
      <c r="L209" s="115">
        <f>ROUND(I209*8,0)</f>
        <v/>
      </c>
      <c r="M209" s="115">
        <f>ROUND(J209*10,0)</f>
        <v/>
      </c>
    </row>
    <row r="210" ht="15" customHeight="1" s="116">
      <c r="A210" s="128" t="inlineStr">
        <is>
          <t>Mithril</t>
        </is>
      </c>
      <c r="B210" s="128" t="inlineStr">
        <is>
          <t>Manopla</t>
        </is>
      </c>
      <c r="C210" s="128" t="inlineStr">
        <is>
          <t>Manopla Silenciosa das Profundezas</t>
        </is>
      </c>
      <c r="D210" s="135" t="n"/>
      <c r="E210" s="128" t="inlineStr">
        <is>
          <t>Não faz ruído nenhum ao acertar — nem o impacto denuncia.</t>
        </is>
      </c>
      <c r="F210" s="128">
        <f>INDEX(Tiers!$G$9:$G$22,MATCH($A210,Tiers!$B$9:$B$22,0))</f>
        <v/>
      </c>
      <c r="G210" s="128">
        <f>INDEX(Tiers!$H$9:$H$22,MATCH($A210,Tiers!$B$9:$B$22,0))</f>
        <v/>
      </c>
      <c r="H210" s="128">
        <f>INDEX($B$5:$B$11,MATCH($B210,$A$5:$A$11,0))</f>
        <v/>
      </c>
      <c r="I210" s="153">
        <f>ROUND(F210*H210*K210,0)</f>
        <v/>
      </c>
      <c r="J210" s="153">
        <f>ROUND(G210*H210*K210,0)</f>
        <v/>
      </c>
      <c r="K210" s="154" t="n">
        <v>1</v>
      </c>
      <c r="L210" s="115">
        <f>ROUND(I210*8,0)</f>
        <v/>
      </c>
      <c r="M210" s="115">
        <f>ROUND(J210*10,0)</f>
        <v/>
      </c>
    </row>
    <row r="211" ht="15" customHeight="1" s="116">
      <c r="A211" s="128" t="inlineStr">
        <is>
          <t>Mithril</t>
        </is>
      </c>
      <c r="B211" s="128" t="inlineStr">
        <is>
          <t>Cetro</t>
        </is>
      </c>
      <c r="C211" s="128" t="inlineStr">
        <is>
          <t>Cetro de Mithril</t>
        </is>
      </c>
      <c r="D211" s="135" t="n"/>
      <c r="E211" s="128" t="inlineStr">
        <is>
          <t>Longo, fino, quase sem peso — feito pra canalizar sem esforço.</t>
        </is>
      </c>
      <c r="F211" s="128">
        <f>INDEX(Tiers!$G$9:$G$22,MATCH($A211,Tiers!$B$9:$B$22,0))</f>
        <v/>
      </c>
      <c r="G211" s="128">
        <f>INDEX(Tiers!$H$9:$H$22,MATCH($A211,Tiers!$B$9:$B$22,0))</f>
        <v/>
      </c>
      <c r="H211" s="128">
        <f>INDEX($B$5:$B$11,MATCH($B211,$A$5:$A$11,0))</f>
        <v/>
      </c>
      <c r="I211" s="153">
        <f>ROUND(F211*H211*K211,0)</f>
        <v/>
      </c>
      <c r="J211" s="153">
        <f>ROUND(G211*H211*K211,0)</f>
        <v/>
      </c>
      <c r="K211" s="154" t="n">
        <v>1</v>
      </c>
      <c r="L211" s="115">
        <f>ROUND(I211*8,0)</f>
        <v/>
      </c>
      <c r="M211" s="115">
        <f>ROUND(J211*10,0)</f>
        <v/>
      </c>
    </row>
    <row r="212" ht="15" customHeight="1" s="116">
      <c r="A212" s="128" t="inlineStr">
        <is>
          <t>Mithril</t>
        </is>
      </c>
      <c r="B212" s="128" t="inlineStr">
        <is>
          <t>Cetro</t>
        </is>
      </c>
      <c r="C212" s="128" t="inlineStr">
        <is>
          <t>Cetro Ressonante das Profundezas</t>
        </is>
      </c>
      <c r="D212" s="135" t="n"/>
      <c r="E212" s="128" t="inlineStr">
        <is>
          <t>Vibra fraco perto de água parada, como se sentisse o Mar Sem Sol por perto.</t>
        </is>
      </c>
      <c r="F212" s="128">
        <f>INDEX(Tiers!$G$9:$G$22,MATCH($A212,Tiers!$B$9:$B$22,0))</f>
        <v/>
      </c>
      <c r="G212" s="128">
        <f>INDEX(Tiers!$H$9:$H$22,MATCH($A212,Tiers!$B$9:$B$22,0))</f>
        <v/>
      </c>
      <c r="H212" s="128">
        <f>INDEX($B$5:$B$11,MATCH($B212,$A$5:$A$11,0))</f>
        <v/>
      </c>
      <c r="I212" s="153">
        <f>ROUND(F212*H212*K212,0)</f>
        <v/>
      </c>
      <c r="J212" s="153">
        <f>ROUND(G212*H212*K212,0)</f>
        <v/>
      </c>
      <c r="K212" s="154" t="n">
        <v>1</v>
      </c>
      <c r="L212" s="115">
        <f>ROUND(I212*8,0)</f>
        <v/>
      </c>
      <c r="M212" s="115">
        <f>ROUND(J212*10,0)</f>
        <v/>
      </c>
    </row>
    <row r="213" ht="15" customHeight="1" s="116">
      <c r="A213" s="128" t="inlineStr">
        <is>
          <t>Ebano</t>
        </is>
      </c>
      <c r="B213" s="128" t="inlineStr">
        <is>
          <t>Espada</t>
        </is>
      </c>
      <c r="C213" s="128" t="inlineStr">
        <is>
          <t>Espada de Ébano</t>
        </is>
      </c>
      <c r="D213" s="135" t="n"/>
      <c r="E213" s="128" t="inlineStr">
        <is>
          <t>Lâmina fosca que absorve a luz ao redor — parece mais pesada que o próprio aço.</t>
        </is>
      </c>
      <c r="F213" s="128">
        <f>INDEX(Tiers!$G$9:$G$22,MATCH($A213,Tiers!$B$9:$B$22,0))</f>
        <v/>
      </c>
      <c r="G213" s="128">
        <f>INDEX(Tiers!$H$9:$H$22,MATCH($A213,Tiers!$B$9:$B$22,0))</f>
        <v/>
      </c>
      <c r="H213" s="128">
        <f>INDEX($B$5:$B$11,MATCH($B213,$A$5:$A$11,0))</f>
        <v/>
      </c>
      <c r="I213" s="153">
        <f>ROUND(F213*H213*K213,0)</f>
        <v/>
      </c>
      <c r="J213" s="153">
        <f>ROUND(G213*H213*K213,0)</f>
        <v/>
      </c>
      <c r="K213" s="154" t="n">
        <v>1</v>
      </c>
      <c r="L213" s="115">
        <f>ROUND(I213*8,0)</f>
        <v/>
      </c>
      <c r="M213" s="115">
        <f>ROUND(J213*10,0)</f>
        <v/>
      </c>
    </row>
    <row r="214" ht="15" customHeight="1" s="116">
      <c r="A214" s="128" t="inlineStr">
        <is>
          <t>Ebano</t>
        </is>
      </c>
      <c r="B214" s="128" t="inlineStr">
        <is>
          <t>Espada</t>
        </is>
      </c>
      <c r="C214" s="128" t="inlineStr">
        <is>
          <t>Espada de Cinza Amaldiçoada</t>
        </is>
      </c>
      <c r="D214" s="135" t="n"/>
      <c r="E214" s="128" t="inlineStr">
        <is>
          <t>Forjada nas cinzas da fenda morta — carrega o silêncio do lugar onde nasceu.</t>
        </is>
      </c>
      <c r="F214" s="128">
        <f>INDEX(Tiers!$G$9:$G$22,MATCH($A214,Tiers!$B$9:$B$22,0))</f>
        <v/>
      </c>
      <c r="G214" s="128">
        <f>INDEX(Tiers!$H$9:$H$22,MATCH($A214,Tiers!$B$9:$B$22,0))</f>
        <v/>
      </c>
      <c r="H214" s="128">
        <f>INDEX($B$5:$B$11,MATCH($B214,$A$5:$A$11,0))</f>
        <v/>
      </c>
      <c r="I214" s="153">
        <f>ROUND(F214*H214*K214,0)</f>
        <v/>
      </c>
      <c r="J214" s="153">
        <f>ROUND(G214*H214*K214,0)</f>
        <v/>
      </c>
      <c r="K214" s="154" t="n">
        <v>1</v>
      </c>
      <c r="L214" s="115">
        <f>ROUND(I214*8,0)</f>
        <v/>
      </c>
      <c r="M214" s="115">
        <f>ROUND(J214*10,0)</f>
        <v/>
      </c>
    </row>
    <row r="215" ht="15" customHeight="1" s="116">
      <c r="A215" s="128" t="inlineStr">
        <is>
          <t>Ebano</t>
        </is>
      </c>
      <c r="B215" s="128" t="inlineStr">
        <is>
          <t>Espada</t>
        </is>
      </c>
      <c r="C215" s="128" t="inlineStr">
        <is>
          <t>Espada que Suga a Luz</t>
        </is>
      </c>
      <c r="D215" s="135" t="inlineStr">
        <is>
          <t>Rouba Vida</t>
        </is>
      </c>
      <c r="E215" s="128" t="inlineStr">
        <is>
          <t>Escurece a lâmina a cada golpe — e devolve um pouco do que tira.</t>
        </is>
      </c>
      <c r="F215" s="128">
        <f>INDEX(Tiers!$G$9:$G$22,MATCH($A215,Tiers!$B$9:$B$22,0))</f>
        <v/>
      </c>
      <c r="G215" s="128">
        <f>INDEX(Tiers!$H$9:$H$22,MATCH($A215,Tiers!$B$9:$B$22,0))</f>
        <v/>
      </c>
      <c r="H215" s="128">
        <f>INDEX($B$5:$B$11,MATCH($B215,$A$5:$A$11,0))</f>
        <v/>
      </c>
      <c r="I215" s="153">
        <f>ROUND(F215*H215*K215,0)</f>
        <v/>
      </c>
      <c r="J215" s="153">
        <f>ROUND(G215*H215*K215,0)</f>
        <v/>
      </c>
      <c r="K215" s="154" t="n">
        <v>0.95</v>
      </c>
      <c r="L215" s="115">
        <f>ROUND(I215*8,0)</f>
        <v/>
      </c>
      <c r="M215" s="115">
        <f>ROUND(J215*10,0)</f>
        <v/>
      </c>
    </row>
    <row r="216" ht="15" customHeight="1" s="116">
      <c r="A216" s="128" t="inlineStr">
        <is>
          <t>Ebano</t>
        </is>
      </c>
      <c r="B216" s="128" t="inlineStr">
        <is>
          <t>Espada</t>
        </is>
      </c>
      <c r="C216" s="128" t="inlineStr">
        <is>
          <t>Espada Rachada pela Carne</t>
        </is>
      </c>
      <c r="D216" s="135" t="inlineStr">
        <is>
          <t>Fragilidade</t>
        </is>
      </c>
      <c r="E216" s="128" t="inlineStr">
        <is>
          <t>A carne assimilada que a tocou deixou marcas que nunca saem — e nunca fecham.</t>
        </is>
      </c>
      <c r="F216" s="128">
        <f>INDEX(Tiers!$G$9:$G$22,MATCH($A216,Tiers!$B$9:$B$22,0))</f>
        <v/>
      </c>
      <c r="G216" s="128">
        <f>INDEX(Tiers!$H$9:$H$22,MATCH($A216,Tiers!$B$9:$B$22,0))</f>
        <v/>
      </c>
      <c r="H216" s="128">
        <f>INDEX($B$5:$B$11,MATCH($B216,$A$5:$A$11,0))</f>
        <v/>
      </c>
      <c r="I216" s="153">
        <f>ROUND(F216*H216*K216,0)</f>
        <v/>
      </c>
      <c r="J216" s="153">
        <f>ROUND(G216*H216*K216,0)</f>
        <v/>
      </c>
      <c r="K216" s="154" t="n">
        <v>1.05</v>
      </c>
      <c r="L216" s="115">
        <f>ROUND(I216*8,0)</f>
        <v/>
      </c>
      <c r="M216" s="115">
        <f>ROUND(J216*10,0)</f>
        <v/>
      </c>
    </row>
    <row r="217" ht="15" customHeight="1" s="116">
      <c r="A217" s="128" t="inlineStr">
        <is>
          <t>Ebano</t>
        </is>
      </c>
      <c r="B217" s="128" t="inlineStr">
        <is>
          <t>Machado</t>
        </is>
      </c>
      <c r="C217" s="128" t="inlineStr">
        <is>
          <t>Machado de Ébano</t>
        </is>
      </c>
      <c r="D217" s="135" t="n"/>
      <c r="E217" s="128" t="inlineStr">
        <is>
          <t>Rocha vulcânica fria, pesada como chumbo, afiada como navalha.</t>
        </is>
      </c>
      <c r="F217" s="128">
        <f>INDEX(Tiers!$G$9:$G$22,MATCH($A217,Tiers!$B$9:$B$22,0))</f>
        <v/>
      </c>
      <c r="G217" s="128">
        <f>INDEX(Tiers!$H$9:$H$22,MATCH($A217,Tiers!$B$9:$B$22,0))</f>
        <v/>
      </c>
      <c r="H217" s="128">
        <f>INDEX($B$5:$B$11,MATCH($B217,$A$5:$A$11,0))</f>
        <v/>
      </c>
      <c r="I217" s="153">
        <f>ROUND(F217*H217*K217,0)</f>
        <v/>
      </c>
      <c r="J217" s="153">
        <f>ROUND(G217*H217*K217,0)</f>
        <v/>
      </c>
      <c r="K217" s="154" t="n">
        <v>1</v>
      </c>
      <c r="L217" s="115">
        <f>ROUND(I217*8,0)</f>
        <v/>
      </c>
      <c r="M217" s="115">
        <f>ROUND(J217*10,0)</f>
        <v/>
      </c>
    </row>
    <row r="218" ht="15" customHeight="1" s="116">
      <c r="A218" s="128" t="inlineStr">
        <is>
          <t>Ebano</t>
        </is>
      </c>
      <c r="B218" s="128" t="inlineStr">
        <is>
          <t>Machado</t>
        </is>
      </c>
      <c r="C218" s="128" t="inlineStr">
        <is>
          <t>Machado Negro da Fenda</t>
        </is>
      </c>
      <c r="D218" s="135" t="n"/>
      <c r="E218" s="128" t="inlineStr">
        <is>
          <t>Forjado tão perto da fenda extinta que ainda guarda o frio do lugar.</t>
        </is>
      </c>
      <c r="F218" s="128">
        <f>INDEX(Tiers!$G$9:$G$22,MATCH($A218,Tiers!$B$9:$B$22,0))</f>
        <v/>
      </c>
      <c r="G218" s="128">
        <f>INDEX(Tiers!$H$9:$H$22,MATCH($A218,Tiers!$B$9:$B$22,0))</f>
        <v/>
      </c>
      <c r="H218" s="128">
        <f>INDEX($B$5:$B$11,MATCH($B218,$A$5:$A$11,0))</f>
        <v/>
      </c>
      <c r="I218" s="153">
        <f>ROUND(F218*H218*K218,0)</f>
        <v/>
      </c>
      <c r="J218" s="153">
        <f>ROUND(G218*H218*K218,0)</f>
        <v/>
      </c>
      <c r="K218" s="154" t="n">
        <v>1</v>
      </c>
      <c r="L218" s="115">
        <f>ROUND(I218*8,0)</f>
        <v/>
      </c>
      <c r="M218" s="115">
        <f>ROUND(J218*10,0)</f>
        <v/>
      </c>
    </row>
    <row r="219" ht="15" customHeight="1" s="116">
      <c r="A219" s="128" t="inlineStr">
        <is>
          <t>Ebano</t>
        </is>
      </c>
      <c r="B219" s="128" t="inlineStr">
        <is>
          <t>Machado</t>
        </is>
      </c>
      <c r="C219" s="128" t="inlineStr">
        <is>
          <t>Machado de Cinza Morta</t>
        </is>
      </c>
      <c r="D219" s="135" t="n"/>
      <c r="E219" s="128" t="inlineStr">
        <is>
          <t>Talhado nas montanhas de cinza vulcânica que sufocam a região.</t>
        </is>
      </c>
      <c r="F219" s="128">
        <f>INDEX(Tiers!$G$9:$G$22,MATCH($A219,Tiers!$B$9:$B$22,0))</f>
        <v/>
      </c>
      <c r="G219" s="128">
        <f>INDEX(Tiers!$H$9:$H$22,MATCH($A219,Tiers!$B$9:$B$22,0))</f>
        <v/>
      </c>
      <c r="H219" s="128">
        <f>INDEX($B$5:$B$11,MATCH($B219,$A$5:$A$11,0))</f>
        <v/>
      </c>
      <c r="I219" s="153">
        <f>ROUND(F219*H219*K219,0)</f>
        <v/>
      </c>
      <c r="J219" s="153">
        <f>ROUND(G219*H219*K219,0)</f>
        <v/>
      </c>
      <c r="K219" s="154" t="n">
        <v>1</v>
      </c>
      <c r="L219" s="115">
        <f>ROUND(I219*8,0)</f>
        <v/>
      </c>
      <c r="M219" s="115">
        <f>ROUND(J219*10,0)</f>
        <v/>
      </c>
    </row>
    <row r="220" ht="15" customHeight="1" s="116">
      <c r="A220" s="128" t="inlineStr">
        <is>
          <t>Ebano</t>
        </is>
      </c>
      <c r="B220" s="128" t="inlineStr">
        <is>
          <t>Machado</t>
        </is>
      </c>
      <c r="C220" s="128" t="inlineStr">
        <is>
          <t>Machado Corroído</t>
        </is>
      </c>
      <c r="D220" s="135" t="inlineStr">
        <is>
          <t>Fragilidade</t>
        </is>
      </c>
      <c r="E220" s="128" t="inlineStr">
        <is>
          <t>A cabeça já não é lisa — algo comeu o metal por dentro, aos poucos.</t>
        </is>
      </c>
      <c r="F220" s="128">
        <f>INDEX(Tiers!$G$9:$G$22,MATCH($A220,Tiers!$B$9:$B$22,0))</f>
        <v/>
      </c>
      <c r="G220" s="128">
        <f>INDEX(Tiers!$H$9:$H$22,MATCH($A220,Tiers!$B$9:$B$22,0))</f>
        <v/>
      </c>
      <c r="H220" s="128">
        <f>INDEX($B$5:$B$11,MATCH($B220,$A$5:$A$11,0))</f>
        <v/>
      </c>
      <c r="I220" s="153">
        <f>ROUND(F220*H220*K220,0)</f>
        <v/>
      </c>
      <c r="J220" s="153">
        <f>ROUND(G220*H220*K220,0)</f>
        <v/>
      </c>
      <c r="K220" s="154" t="n">
        <v>1.05</v>
      </c>
      <c r="L220" s="115">
        <f>ROUND(I220*8,0)</f>
        <v/>
      </c>
      <c r="M220" s="115">
        <f>ROUND(J220*10,0)</f>
        <v/>
      </c>
    </row>
    <row r="221" ht="15" customHeight="1" s="116">
      <c r="A221" s="128" t="inlineStr">
        <is>
          <t>Ebano</t>
        </is>
      </c>
      <c r="B221" s="128" t="inlineStr">
        <is>
          <t>Arco</t>
        </is>
      </c>
      <c r="C221" s="128" t="inlineStr">
        <is>
          <t>Arco de Ébano</t>
        </is>
      </c>
      <c r="D221" s="135" t="n"/>
      <c r="E221" s="128" t="inlineStr">
        <is>
          <t>Curvado em madeira negra dessecada — não queima nem se contorce.</t>
        </is>
      </c>
      <c r="F221" s="128">
        <f>INDEX(Tiers!$G$9:$G$22,MATCH($A221,Tiers!$B$9:$B$22,0))</f>
        <v/>
      </c>
      <c r="G221" s="128">
        <f>INDEX(Tiers!$H$9:$H$22,MATCH($A221,Tiers!$B$9:$B$22,0))</f>
        <v/>
      </c>
      <c r="H221" s="128">
        <f>INDEX($B$5:$B$11,MATCH($B221,$A$5:$A$11,0))</f>
        <v/>
      </c>
      <c r="I221" s="153">
        <f>ROUND(F221*H221*K221,0)</f>
        <v/>
      </c>
      <c r="J221" s="153">
        <f>ROUND(G221*H221*K221,0)</f>
        <v/>
      </c>
      <c r="K221" s="154" t="n">
        <v>1</v>
      </c>
      <c r="L221" s="115">
        <f>ROUND(I221*8,0)</f>
        <v/>
      </c>
      <c r="M221" s="115">
        <f>ROUND(J221*10,0)</f>
        <v/>
      </c>
    </row>
    <row r="222" ht="15" customHeight="1" s="116">
      <c r="A222" s="128" t="inlineStr">
        <is>
          <t>Ebano</t>
        </is>
      </c>
      <c r="B222" s="128" t="inlineStr">
        <is>
          <t>Arco</t>
        </is>
      </c>
      <c r="C222" s="128" t="inlineStr">
        <is>
          <t>Arco de Cinza</t>
        </is>
      </c>
      <c r="D222" s="135" t="n"/>
      <c r="E222" s="128" t="inlineStr">
        <is>
          <t>Flechas que ele dispara saem cobertas de uma poeira negra fina.</t>
        </is>
      </c>
      <c r="F222" s="128">
        <f>INDEX(Tiers!$G$9:$G$22,MATCH($A222,Tiers!$B$9:$B$22,0))</f>
        <v/>
      </c>
      <c r="G222" s="128">
        <f>INDEX(Tiers!$H$9:$H$22,MATCH($A222,Tiers!$B$9:$B$22,0))</f>
        <v/>
      </c>
      <c r="H222" s="128">
        <f>INDEX($B$5:$B$11,MATCH($B222,$A$5:$A$11,0))</f>
        <v/>
      </c>
      <c r="I222" s="153">
        <f>ROUND(F222*H222*K222,0)</f>
        <v/>
      </c>
      <c r="J222" s="153">
        <f>ROUND(G222*H222*K222,0)</f>
        <v/>
      </c>
      <c r="K222" s="154" t="n">
        <v>1</v>
      </c>
      <c r="L222" s="115">
        <f>ROUND(I222*8,0)</f>
        <v/>
      </c>
      <c r="M222" s="115">
        <f>ROUND(J222*10,0)</f>
        <v/>
      </c>
    </row>
    <row r="223" ht="15" customHeight="1" s="116">
      <c r="A223" s="128" t="inlineStr">
        <is>
          <t>Ebano</t>
        </is>
      </c>
      <c r="B223" s="128" t="inlineStr">
        <is>
          <t>Arco</t>
        </is>
      </c>
      <c r="C223" s="128" t="inlineStr">
        <is>
          <t>Arco Sombrio da Fenda Morta</t>
        </is>
      </c>
      <c r="D223" s="135" t="n"/>
      <c r="E223" s="128" t="inlineStr">
        <is>
          <t>Feito de troncos que sobreviveram ao cataclismo, congelados em cinza.</t>
        </is>
      </c>
      <c r="F223" s="128">
        <f>INDEX(Tiers!$G$9:$G$22,MATCH($A223,Tiers!$B$9:$B$22,0))</f>
        <v/>
      </c>
      <c r="G223" s="128">
        <f>INDEX(Tiers!$H$9:$H$22,MATCH($A223,Tiers!$B$9:$B$22,0))</f>
        <v/>
      </c>
      <c r="H223" s="128">
        <f>INDEX($B$5:$B$11,MATCH($B223,$A$5:$A$11,0))</f>
        <v/>
      </c>
      <c r="I223" s="153">
        <f>ROUND(F223*H223*K223,0)</f>
        <v/>
      </c>
      <c r="J223" s="153">
        <f>ROUND(G223*H223*K223,0)</f>
        <v/>
      </c>
      <c r="K223" s="154" t="n">
        <v>1</v>
      </c>
      <c r="L223" s="115">
        <f>ROUND(I223*8,0)</f>
        <v/>
      </c>
      <c r="M223" s="115">
        <f>ROUND(J223*10,0)</f>
        <v/>
      </c>
    </row>
    <row r="224" ht="15" customHeight="1" s="116">
      <c r="A224" s="128" t="inlineStr">
        <is>
          <t>Ebano</t>
        </is>
      </c>
      <c r="B224" s="128" t="inlineStr">
        <is>
          <t>Arco</t>
        </is>
      </c>
      <c r="C224" s="128" t="inlineStr">
        <is>
          <t>Arco Rachado pela Assimilação</t>
        </is>
      </c>
      <c r="D224" s="135" t="inlineStr">
        <is>
          <t>Fragilidade</t>
        </is>
      </c>
      <c r="E224" s="128" t="inlineStr">
        <is>
          <t>A madeira parece mole em alguns pontos — não é apodrecimento comum.</t>
        </is>
      </c>
      <c r="F224" s="128">
        <f>INDEX(Tiers!$G$9:$G$22,MATCH($A224,Tiers!$B$9:$B$22,0))</f>
        <v/>
      </c>
      <c r="G224" s="128">
        <f>INDEX(Tiers!$H$9:$H$22,MATCH($A224,Tiers!$B$9:$B$22,0))</f>
        <v/>
      </c>
      <c r="H224" s="128">
        <f>INDEX($B$5:$B$11,MATCH($B224,$A$5:$A$11,0))</f>
        <v/>
      </c>
      <c r="I224" s="153">
        <f>ROUND(F224*H224*K224,0)</f>
        <v/>
      </c>
      <c r="J224" s="153">
        <f>ROUND(G224*H224*K224,0)</f>
        <v/>
      </c>
      <c r="K224" s="154" t="n">
        <v>1.05</v>
      </c>
      <c r="L224" s="115">
        <f>ROUND(I224*8,0)</f>
        <v/>
      </c>
      <c r="M224" s="115">
        <f>ROUND(J224*10,0)</f>
        <v/>
      </c>
    </row>
    <row r="225" ht="15" customHeight="1" s="116">
      <c r="A225" s="128" t="inlineStr">
        <is>
          <t>Ebano</t>
        </is>
      </c>
      <c r="B225" s="128" t="inlineStr">
        <is>
          <t>Adaga</t>
        </is>
      </c>
      <c r="C225" s="128" t="inlineStr">
        <is>
          <t>Adaga de Ébano</t>
        </is>
      </c>
      <c r="D225" s="135" t="n"/>
      <c r="E225" s="128" t="inlineStr">
        <is>
          <t>Curta, escura, quase invisível na penumbra da fenda.</t>
        </is>
      </c>
      <c r="F225" s="128">
        <f>INDEX(Tiers!$G$9:$G$22,MATCH($A225,Tiers!$B$9:$B$22,0))</f>
        <v/>
      </c>
      <c r="G225" s="128">
        <f>INDEX(Tiers!$H$9:$H$22,MATCH($A225,Tiers!$B$9:$B$22,0))</f>
        <v/>
      </c>
      <c r="H225" s="128">
        <f>INDEX($B$5:$B$11,MATCH($B225,$A$5:$A$11,0))</f>
        <v/>
      </c>
      <c r="I225" s="153">
        <f>ROUND(F225*H225*K225,0)</f>
        <v/>
      </c>
      <c r="J225" s="153">
        <f>ROUND(G225*H225*K225,0)</f>
        <v/>
      </c>
      <c r="K225" s="154" t="n">
        <v>1</v>
      </c>
      <c r="L225" s="115">
        <f>ROUND(I225*8,0)</f>
        <v/>
      </c>
      <c r="M225" s="115">
        <f>ROUND(J225*10,0)</f>
        <v/>
      </c>
    </row>
    <row r="226" ht="15" customHeight="1" s="116">
      <c r="A226" s="128" t="inlineStr">
        <is>
          <t>Ebano</t>
        </is>
      </c>
      <c r="B226" s="128" t="inlineStr">
        <is>
          <t>Adaga</t>
        </is>
      </c>
      <c r="C226" s="128" t="inlineStr">
        <is>
          <t>Adaga que Suga a Vida</t>
        </is>
      </c>
      <c r="D226" s="135" t="inlineStr">
        <is>
          <t>Rouba Vida</t>
        </is>
      </c>
      <c r="E226" s="128" t="inlineStr">
        <is>
          <t>Corta fundo e devolve um pouco do que tira, sem que o usuário peça.</t>
        </is>
      </c>
      <c r="F226" s="128">
        <f>INDEX(Tiers!$G$9:$G$22,MATCH($A226,Tiers!$B$9:$B$22,0))</f>
        <v/>
      </c>
      <c r="G226" s="128">
        <f>INDEX(Tiers!$H$9:$H$22,MATCH($A226,Tiers!$B$9:$B$22,0))</f>
        <v/>
      </c>
      <c r="H226" s="128">
        <f>INDEX($B$5:$B$11,MATCH($B226,$A$5:$A$11,0))</f>
        <v/>
      </c>
      <c r="I226" s="153">
        <f>ROUND(F226*H226*K226,0)</f>
        <v/>
      </c>
      <c r="J226" s="153">
        <f>ROUND(G226*H226*K226,0)</f>
        <v/>
      </c>
      <c r="K226" s="154" t="n">
        <v>0.9399999999999999</v>
      </c>
      <c r="L226" s="115">
        <f>ROUND(I226*8,0)</f>
        <v/>
      </c>
      <c r="M226" s="115">
        <f>ROUND(J226*10,0)</f>
        <v/>
      </c>
    </row>
    <row r="227" ht="15" customHeight="1" s="116">
      <c r="A227" s="128" t="inlineStr">
        <is>
          <t>Ebano</t>
        </is>
      </c>
      <c r="B227" s="128" t="inlineStr">
        <is>
          <t>Adaga</t>
        </is>
      </c>
      <c r="C227" s="128" t="inlineStr">
        <is>
          <t>Adaga Negra Corroída</t>
        </is>
      </c>
      <c r="D227" s="135" t="n"/>
      <c r="E227" s="128" t="inlineStr">
        <is>
          <t>Manchas escuras cobrem a lâmina — não são ferrugem.</t>
        </is>
      </c>
      <c r="F227" s="128">
        <f>INDEX(Tiers!$G$9:$G$22,MATCH($A227,Tiers!$B$9:$B$22,0))</f>
        <v/>
      </c>
      <c r="G227" s="128">
        <f>INDEX(Tiers!$H$9:$H$22,MATCH($A227,Tiers!$B$9:$B$22,0))</f>
        <v/>
      </c>
      <c r="H227" s="128">
        <f>INDEX($B$5:$B$11,MATCH($B227,$A$5:$A$11,0))</f>
        <v/>
      </c>
      <c r="I227" s="153">
        <f>ROUND(F227*H227*K227,0)</f>
        <v/>
      </c>
      <c r="J227" s="153">
        <f>ROUND(G227*H227*K227,0)</f>
        <v/>
      </c>
      <c r="K227" s="154" t="n">
        <v>1</v>
      </c>
      <c r="L227" s="115">
        <f>ROUND(I227*8,0)</f>
        <v/>
      </c>
      <c r="M227" s="115">
        <f>ROUND(J227*10,0)</f>
        <v/>
      </c>
    </row>
    <row r="228" ht="15" customHeight="1" s="116">
      <c r="A228" s="128" t="inlineStr">
        <is>
          <t>Ebano</t>
        </is>
      </c>
      <c r="B228" s="128" t="inlineStr">
        <is>
          <t>Maca</t>
        </is>
      </c>
      <c r="C228" s="128" t="inlineStr">
        <is>
          <t>Maça de Ébano</t>
        </is>
      </c>
      <c r="D228" s="135" t="n"/>
      <c r="E228" s="128" t="inlineStr">
        <is>
          <t>Rocha negra fria, pesada como chumbo.</t>
        </is>
      </c>
      <c r="F228" s="128">
        <f>INDEX(Tiers!$G$9:$G$22,MATCH($A228,Tiers!$B$9:$B$22,0))</f>
        <v/>
      </c>
      <c r="G228" s="128">
        <f>INDEX(Tiers!$H$9:$H$22,MATCH($A228,Tiers!$B$9:$B$22,0))</f>
        <v/>
      </c>
      <c r="H228" s="128">
        <f>INDEX($B$5:$B$11,MATCH($B228,$A$5:$A$11,0))</f>
        <v/>
      </c>
      <c r="I228" s="153">
        <f>ROUND(F228*H228*K228,0)</f>
        <v/>
      </c>
      <c r="J228" s="153">
        <f>ROUND(G228*H228*K228,0)</f>
        <v/>
      </c>
      <c r="K228" s="154" t="n">
        <v>1</v>
      </c>
      <c r="L228" s="115">
        <f>ROUND(I228*8,0)</f>
        <v/>
      </c>
      <c r="M228" s="115">
        <f>ROUND(J228*10,0)</f>
        <v/>
      </c>
    </row>
    <row r="229" ht="15" customHeight="1" s="116">
      <c r="A229" s="128" t="inlineStr">
        <is>
          <t>Ebano</t>
        </is>
      </c>
      <c r="B229" s="128" t="inlineStr">
        <is>
          <t>Maca</t>
        </is>
      </c>
      <c r="C229" s="128" t="inlineStr">
        <is>
          <t>Maça de Cinza Morta</t>
        </is>
      </c>
      <c r="D229" s="135" t="n"/>
      <c r="E229" s="128" t="inlineStr">
        <is>
          <t>Talhada nas cinzas mortas da fenda extinta.</t>
        </is>
      </c>
      <c r="F229" s="128">
        <f>INDEX(Tiers!$G$9:$G$22,MATCH($A229,Tiers!$B$9:$B$22,0))</f>
        <v/>
      </c>
      <c r="G229" s="128">
        <f>INDEX(Tiers!$H$9:$H$22,MATCH($A229,Tiers!$B$9:$B$22,0))</f>
        <v/>
      </c>
      <c r="H229" s="128">
        <f>INDEX($B$5:$B$11,MATCH($B229,$A$5:$A$11,0))</f>
        <v/>
      </c>
      <c r="I229" s="153">
        <f>ROUND(F229*H229*K229,0)</f>
        <v/>
      </c>
      <c r="J229" s="153">
        <f>ROUND(G229*H229*K229,0)</f>
        <v/>
      </c>
      <c r="K229" s="154" t="n">
        <v>1</v>
      </c>
      <c r="L229" s="115">
        <f>ROUND(I229*8,0)</f>
        <v/>
      </c>
      <c r="M229" s="115">
        <f>ROUND(J229*10,0)</f>
        <v/>
      </c>
    </row>
    <row r="230" ht="15" customHeight="1" s="116">
      <c r="A230" s="128" t="inlineStr">
        <is>
          <t>Ebano</t>
        </is>
      </c>
      <c r="B230" s="128" t="inlineStr">
        <is>
          <t>Maca</t>
        </is>
      </c>
      <c r="C230" s="128" t="inlineStr">
        <is>
          <t>Maça Rachada pela Carne</t>
        </is>
      </c>
      <c r="D230" s="135" t="inlineStr">
        <is>
          <t>Fragilidade</t>
        </is>
      </c>
      <c r="E230" s="128" t="inlineStr">
        <is>
          <t>Algo orgânico já tocou essa maça — e deixou uma marca que não sai.</t>
        </is>
      </c>
      <c r="F230" s="128">
        <f>INDEX(Tiers!$G$9:$G$22,MATCH($A230,Tiers!$B$9:$B$22,0))</f>
        <v/>
      </c>
      <c r="G230" s="128">
        <f>INDEX(Tiers!$H$9:$H$22,MATCH($A230,Tiers!$B$9:$B$22,0))</f>
        <v/>
      </c>
      <c r="H230" s="128">
        <f>INDEX($B$5:$B$11,MATCH($B230,$A$5:$A$11,0))</f>
        <v/>
      </c>
      <c r="I230" s="153">
        <f>ROUND(F230*H230*K230,0)</f>
        <v/>
      </c>
      <c r="J230" s="153">
        <f>ROUND(G230*H230*K230,0)</f>
        <v/>
      </c>
      <c r="K230" s="154" t="n">
        <v>1.04</v>
      </c>
      <c r="L230" s="115">
        <f>ROUND(I230*8,0)</f>
        <v/>
      </c>
      <c r="M230" s="115">
        <f>ROUND(J230*10,0)</f>
        <v/>
      </c>
    </row>
    <row r="231" ht="15" customHeight="1" s="116">
      <c r="A231" s="128" t="inlineStr">
        <is>
          <t>Ebano</t>
        </is>
      </c>
      <c r="B231" s="128" t="inlineStr">
        <is>
          <t>Manopla</t>
        </is>
      </c>
      <c r="C231" s="128" t="inlineStr">
        <is>
          <t>Manopla de Ébano</t>
        </is>
      </c>
      <c r="D231" s="135" t="n"/>
      <c r="E231" s="128" t="inlineStr">
        <is>
          <t>Placas negras presas nos nós dos dedos, frias ao toque.</t>
        </is>
      </c>
      <c r="F231" s="128">
        <f>INDEX(Tiers!$G$9:$G$22,MATCH($A231,Tiers!$B$9:$B$22,0))</f>
        <v/>
      </c>
      <c r="G231" s="128">
        <f>INDEX(Tiers!$H$9:$H$22,MATCH($A231,Tiers!$B$9:$B$22,0))</f>
        <v/>
      </c>
      <c r="H231" s="128">
        <f>INDEX($B$5:$B$11,MATCH($B231,$A$5:$A$11,0))</f>
        <v/>
      </c>
      <c r="I231" s="153">
        <f>ROUND(F231*H231*K231,0)</f>
        <v/>
      </c>
      <c r="J231" s="153">
        <f>ROUND(G231*H231*K231,0)</f>
        <v/>
      </c>
      <c r="K231" s="154" t="n">
        <v>1</v>
      </c>
      <c r="L231" s="115">
        <f>ROUND(I231*8,0)</f>
        <v/>
      </c>
      <c r="M231" s="115">
        <f>ROUND(J231*10,0)</f>
        <v/>
      </c>
    </row>
    <row r="232" ht="15" customHeight="1" s="116">
      <c r="A232" s="128" t="inlineStr">
        <is>
          <t>Ebano</t>
        </is>
      </c>
      <c r="B232" s="128" t="inlineStr">
        <is>
          <t>Manopla</t>
        </is>
      </c>
      <c r="C232" s="128" t="inlineStr">
        <is>
          <t>Manopla que Suga a Vida</t>
        </is>
      </c>
      <c r="D232" s="135" t="inlineStr">
        <is>
          <t>Rouba Vida</t>
        </is>
      </c>
      <c r="E232" s="128" t="inlineStr">
        <is>
          <t>Cada soco devolve um pouco do que tira — desconfortável de usar, eficaz de ter.</t>
        </is>
      </c>
      <c r="F232" s="128">
        <f>INDEX(Tiers!$G$9:$G$22,MATCH($A232,Tiers!$B$9:$B$22,0))</f>
        <v/>
      </c>
      <c r="G232" s="128">
        <f>INDEX(Tiers!$H$9:$H$22,MATCH($A232,Tiers!$B$9:$B$22,0))</f>
        <v/>
      </c>
      <c r="H232" s="128">
        <f>INDEX($B$5:$B$11,MATCH($B232,$A$5:$A$11,0))</f>
        <v/>
      </c>
      <c r="I232" s="153">
        <f>ROUND(F232*H232*K232,0)</f>
        <v/>
      </c>
      <c r="J232" s="153">
        <f>ROUND(G232*H232*K232,0)</f>
        <v/>
      </c>
      <c r="K232" s="154" t="n">
        <v>0.97</v>
      </c>
      <c r="L232" s="115">
        <f>ROUND(I232*8,0)</f>
        <v/>
      </c>
      <c r="M232" s="115">
        <f>ROUND(J232*10,0)</f>
        <v/>
      </c>
    </row>
    <row r="233" ht="15" customHeight="1" s="116">
      <c r="A233" s="128" t="inlineStr">
        <is>
          <t>Ebano</t>
        </is>
      </c>
      <c r="B233" s="128" t="inlineStr">
        <is>
          <t>Cetro</t>
        </is>
      </c>
      <c r="C233" s="128" t="inlineStr">
        <is>
          <t>Cetro de Ébano</t>
        </is>
      </c>
      <c r="D233" s="135" t="n"/>
      <c r="E233" s="128" t="inlineStr">
        <is>
          <t>Vara negra, cristal escuro na ponta — absorve mais luz do que reflete.</t>
        </is>
      </c>
      <c r="F233" s="128">
        <f>INDEX(Tiers!$G$9:$G$22,MATCH($A233,Tiers!$B$9:$B$22,0))</f>
        <v/>
      </c>
      <c r="G233" s="128">
        <f>INDEX(Tiers!$H$9:$H$22,MATCH($A233,Tiers!$B$9:$B$22,0))</f>
        <v/>
      </c>
      <c r="H233" s="128">
        <f>INDEX($B$5:$B$11,MATCH($B233,$A$5:$A$11,0))</f>
        <v/>
      </c>
      <c r="I233" s="153">
        <f>ROUND(F233*H233*K233,0)</f>
        <v/>
      </c>
      <c r="J233" s="153">
        <f>ROUND(G233*H233*K233,0)</f>
        <v/>
      </c>
      <c r="K233" s="154" t="n">
        <v>1</v>
      </c>
      <c r="L233" s="115">
        <f>ROUND(I233*8,0)</f>
        <v/>
      </c>
      <c r="M233" s="115">
        <f>ROUND(J233*10,0)</f>
        <v/>
      </c>
    </row>
    <row r="234" ht="15" customHeight="1" s="116">
      <c r="A234" s="128" t="inlineStr">
        <is>
          <t>Ebano</t>
        </is>
      </c>
      <c r="B234" s="128" t="inlineStr">
        <is>
          <t>Cetro</t>
        </is>
      </c>
      <c r="C234" s="128" t="inlineStr">
        <is>
          <t>Cetro da Fenda Morta</t>
        </is>
      </c>
      <c r="D234" s="135" t="n"/>
      <c r="E234" s="128" t="inlineStr">
        <is>
          <t>Forjado no último suspiro térmico da fenda extinta, aprisionado em âmbar escuro.</t>
        </is>
      </c>
      <c r="F234" s="128">
        <f>INDEX(Tiers!$G$9:$G$22,MATCH($A234,Tiers!$B$9:$B$22,0))</f>
        <v/>
      </c>
      <c r="G234" s="128">
        <f>INDEX(Tiers!$H$9:$H$22,MATCH($A234,Tiers!$B$9:$B$22,0))</f>
        <v/>
      </c>
      <c r="H234" s="128">
        <f>INDEX($B$5:$B$11,MATCH($B234,$A$5:$A$11,0))</f>
        <v/>
      </c>
      <c r="I234" s="153">
        <f>ROUND(F234*H234*K234,0)</f>
        <v/>
      </c>
      <c r="J234" s="153">
        <f>ROUND(G234*H234*K234,0)</f>
        <v/>
      </c>
      <c r="K234" s="154" t="n">
        <v>1</v>
      </c>
      <c r="L234" s="115">
        <f>ROUND(I234*8,0)</f>
        <v/>
      </c>
      <c r="M234" s="115">
        <f>ROUND(J234*10,0)</f>
        <v/>
      </c>
    </row>
    <row r="235" ht="15" customHeight="1" s="116">
      <c r="A235" s="128" t="inlineStr">
        <is>
          <t>Adamantina</t>
        </is>
      </c>
      <c r="B235" s="128" t="inlineStr">
        <is>
          <t>Espada</t>
        </is>
      </c>
      <c r="C235" s="128" t="inlineStr">
        <is>
          <t>Espada de Adamantina</t>
        </is>
      </c>
      <c r="D235" s="135" t="n"/>
      <c r="E235" s="128" t="inlineStr">
        <is>
          <t>Lâmina inquebrável com densidade colossal — fende escudos como cascas de ovo.</t>
        </is>
      </c>
      <c r="F235" s="128">
        <f>INDEX(Tiers!$G$9:$G$22,MATCH($A235,Tiers!$B$9:$B$22,0))</f>
        <v/>
      </c>
      <c r="G235" s="128">
        <f>INDEX(Tiers!$H$9:$H$22,MATCH($A235,Tiers!$B$9:$B$22,0))</f>
        <v/>
      </c>
      <c r="H235" s="128">
        <f>INDEX($B$5:$B$11,MATCH($B235,$A$5:$A$11,0))</f>
        <v/>
      </c>
      <c r="I235" s="153">
        <f>ROUND(F235*H235*K235,0)</f>
        <v/>
      </c>
      <c r="J235" s="153">
        <f>ROUND(G235*H235*K235,0)</f>
        <v/>
      </c>
      <c r="K235" s="154" t="n">
        <v>1</v>
      </c>
      <c r="L235" s="115">
        <f>ROUND(I235*8,0)</f>
        <v/>
      </c>
      <c r="M235" s="115">
        <f>ROUND(J235*10,0)</f>
        <v/>
      </c>
    </row>
    <row r="236" ht="15" customHeight="1" s="116">
      <c r="A236" s="128" t="inlineStr">
        <is>
          <t>Adamantina</t>
        </is>
      </c>
      <c r="B236" s="128" t="inlineStr">
        <is>
          <t>Espada</t>
        </is>
      </c>
      <c r="C236" s="128" t="inlineStr">
        <is>
          <t>Espada Inquebrável</t>
        </is>
      </c>
      <c r="D236" s="135" t="n"/>
      <c r="E236" s="128" t="inlineStr">
        <is>
          <t>Nunca lascou, nunca cedeu — nem os ferreiros do Bastião sabem explicar por quê.</t>
        </is>
      </c>
      <c r="F236" s="128">
        <f>INDEX(Tiers!$G$9:$G$22,MATCH($A236,Tiers!$B$9:$B$22,0))</f>
        <v/>
      </c>
      <c r="G236" s="128">
        <f>INDEX(Tiers!$H$9:$H$22,MATCH($A236,Tiers!$B$9:$B$22,0))</f>
        <v/>
      </c>
      <c r="H236" s="128">
        <f>INDEX($B$5:$B$11,MATCH($B236,$A$5:$A$11,0))</f>
        <v/>
      </c>
      <c r="I236" s="153">
        <f>ROUND(F236*H236*K236,0)</f>
        <v/>
      </c>
      <c r="J236" s="153">
        <f>ROUND(G236*H236*K236,0)</f>
        <v/>
      </c>
      <c r="K236" s="154" t="n">
        <v>1</v>
      </c>
      <c r="L236" s="115">
        <f>ROUND(I236*8,0)</f>
        <v/>
      </c>
      <c r="M236" s="115">
        <f>ROUND(J236*10,0)</f>
        <v/>
      </c>
    </row>
    <row r="237" ht="15" customHeight="1" s="116">
      <c r="A237" s="128" t="inlineStr">
        <is>
          <t>Adamantina</t>
        </is>
      </c>
      <c r="B237" s="128" t="inlineStr">
        <is>
          <t>Espada</t>
        </is>
      </c>
      <c r="C237" s="128" t="inlineStr">
        <is>
          <t>Espada do Bastião</t>
        </is>
      </c>
      <c r="D237" s="135" t="inlineStr">
        <is>
          <t>Ignora Defesa</t>
        </is>
      </c>
      <c r="E237" s="128" t="inlineStr">
        <is>
          <t>Forjada pra fender qualquer couraça — a Ordem não aceita menos.</t>
        </is>
      </c>
      <c r="F237" s="128">
        <f>INDEX(Tiers!$G$9:$G$22,MATCH($A237,Tiers!$B$9:$B$22,0))</f>
        <v/>
      </c>
      <c r="G237" s="128">
        <f>INDEX(Tiers!$H$9:$H$22,MATCH($A237,Tiers!$B$9:$B$22,0))</f>
        <v/>
      </c>
      <c r="H237" s="128">
        <f>INDEX($B$5:$B$11,MATCH($B237,$A$5:$A$11,0))</f>
        <v/>
      </c>
      <c r="I237" s="153">
        <f>ROUND(F237*H237*K237,0)</f>
        <v/>
      </c>
      <c r="J237" s="153">
        <f>ROUND(G237*H237*K237,0)</f>
        <v/>
      </c>
      <c r="K237" s="154" t="n">
        <v>0.95</v>
      </c>
      <c r="L237" s="115">
        <f>ROUND(I237*8,0)</f>
        <v/>
      </c>
      <c r="M237" s="115">
        <f>ROUND(J237*10,0)</f>
        <v/>
      </c>
    </row>
    <row r="238" ht="15" customHeight="1" s="116">
      <c r="A238" s="128" t="inlineStr">
        <is>
          <t>Adamantina</t>
        </is>
      </c>
      <c r="B238" s="128" t="inlineStr">
        <is>
          <t>Espada</t>
        </is>
      </c>
      <c r="C238" s="128" t="inlineStr">
        <is>
          <t>Espada Selada pela Ordem</t>
        </is>
      </c>
      <c r="D238" s="135" t="n"/>
      <c r="E238" s="128" t="inlineStr">
        <is>
          <t>Gravada com o brasão dos Cavaleiros do Dragão Decaído.</t>
        </is>
      </c>
      <c r="F238" s="128">
        <f>INDEX(Tiers!$G$9:$G$22,MATCH($A238,Tiers!$B$9:$B$22,0))</f>
        <v/>
      </c>
      <c r="G238" s="128">
        <f>INDEX(Tiers!$H$9:$H$22,MATCH($A238,Tiers!$B$9:$B$22,0))</f>
        <v/>
      </c>
      <c r="H238" s="128">
        <f>INDEX($B$5:$B$11,MATCH($B238,$A$5:$A$11,0))</f>
        <v/>
      </c>
      <c r="I238" s="153">
        <f>ROUND(F238*H238*K238,0)</f>
        <v/>
      </c>
      <c r="J238" s="153">
        <f>ROUND(G238*H238*K238,0)</f>
        <v/>
      </c>
      <c r="K238" s="154" t="n">
        <v>1</v>
      </c>
      <c r="L238" s="115">
        <f>ROUND(I238*8,0)</f>
        <v/>
      </c>
      <c r="M238" s="115">
        <f>ROUND(J238*10,0)</f>
        <v/>
      </c>
    </row>
    <row r="239" ht="15" customHeight="1" s="116">
      <c r="A239" s="128" t="inlineStr">
        <is>
          <t>Adamantina</t>
        </is>
      </c>
      <c r="B239" s="128" t="inlineStr">
        <is>
          <t>Machado</t>
        </is>
      </c>
      <c r="C239" s="128" t="inlineStr">
        <is>
          <t>Machado de Adamantina</t>
        </is>
      </c>
      <c r="D239" s="135" t="n"/>
      <c r="E239" s="128" t="inlineStr">
        <is>
          <t>Peso colossal — poucos aguentam empunhar por muito tempo.</t>
        </is>
      </c>
      <c r="F239" s="128">
        <f>INDEX(Tiers!$G$9:$G$22,MATCH($A239,Tiers!$B$9:$B$22,0))</f>
        <v/>
      </c>
      <c r="G239" s="128">
        <f>INDEX(Tiers!$H$9:$H$22,MATCH($A239,Tiers!$B$9:$B$22,0))</f>
        <v/>
      </c>
      <c r="H239" s="128">
        <f>INDEX($B$5:$B$11,MATCH($B239,$A$5:$A$11,0))</f>
        <v/>
      </c>
      <c r="I239" s="153">
        <f>ROUND(F239*H239*K239,0)</f>
        <v/>
      </c>
      <c r="J239" s="153">
        <f>ROUND(G239*H239*K239,0)</f>
        <v/>
      </c>
      <c r="K239" s="154" t="n">
        <v>1</v>
      </c>
      <c r="L239" s="115">
        <f>ROUND(I239*8,0)</f>
        <v/>
      </c>
      <c r="M239" s="115">
        <f>ROUND(J239*10,0)</f>
        <v/>
      </c>
    </row>
    <row r="240" ht="15" customHeight="1" s="116">
      <c r="A240" s="128" t="inlineStr">
        <is>
          <t>Adamantina</t>
        </is>
      </c>
      <c r="B240" s="128" t="inlineStr">
        <is>
          <t>Machado</t>
        </is>
      </c>
      <c r="C240" s="128" t="inlineStr">
        <is>
          <t>Machado do Titã Contido</t>
        </is>
      </c>
      <c r="D240" s="135" t="n"/>
      <c r="E240" s="128" t="inlineStr">
        <is>
          <t>Forjado com fragmentos do mesmo minério que quase não teve fim.</t>
        </is>
      </c>
      <c r="F240" s="128">
        <f>INDEX(Tiers!$G$9:$G$22,MATCH($A240,Tiers!$B$9:$B$22,0))</f>
        <v/>
      </c>
      <c r="G240" s="128">
        <f>INDEX(Tiers!$H$9:$H$22,MATCH($A240,Tiers!$B$9:$B$22,0))</f>
        <v/>
      </c>
      <c r="H240" s="128">
        <f>INDEX($B$5:$B$11,MATCH($B240,$A$5:$A$11,0))</f>
        <v/>
      </c>
      <c r="I240" s="153">
        <f>ROUND(F240*H240*K240,0)</f>
        <v/>
      </c>
      <c r="J240" s="153">
        <f>ROUND(G240*H240*K240,0)</f>
        <v/>
      </c>
      <c r="K240" s="154" t="n">
        <v>1</v>
      </c>
      <c r="L240" s="115">
        <f>ROUND(I240*8,0)</f>
        <v/>
      </c>
      <c r="M240" s="115">
        <f>ROUND(J240*10,0)</f>
        <v/>
      </c>
    </row>
    <row r="241" ht="15" customHeight="1" s="116">
      <c r="A241" s="128" t="inlineStr">
        <is>
          <t>Adamantina</t>
        </is>
      </c>
      <c r="B241" s="128" t="inlineStr">
        <is>
          <t>Machado</t>
        </is>
      </c>
      <c r="C241" s="128" t="inlineStr">
        <is>
          <t>Machado da Guarda Eterna</t>
        </is>
      </c>
      <c r="D241" s="135" t="n"/>
      <c r="E241" s="128" t="inlineStr">
        <is>
          <t>Usado nas muralhas do Bastião havia gerações, sem uma única rachadura.</t>
        </is>
      </c>
      <c r="F241" s="128">
        <f>INDEX(Tiers!$G$9:$G$22,MATCH($A241,Tiers!$B$9:$B$22,0))</f>
        <v/>
      </c>
      <c r="G241" s="128">
        <f>INDEX(Tiers!$H$9:$H$22,MATCH($A241,Tiers!$B$9:$B$22,0))</f>
        <v/>
      </c>
      <c r="H241" s="128">
        <f>INDEX($B$5:$B$11,MATCH($B241,$A$5:$A$11,0))</f>
        <v/>
      </c>
      <c r="I241" s="153">
        <f>ROUND(F241*H241*K241,0)</f>
        <v/>
      </c>
      <c r="J241" s="153">
        <f>ROUND(G241*H241*K241,0)</f>
        <v/>
      </c>
      <c r="K241" s="154" t="n">
        <v>1</v>
      </c>
      <c r="L241" s="115">
        <f>ROUND(I241*8,0)</f>
        <v/>
      </c>
      <c r="M241" s="115">
        <f>ROUND(J241*10,0)</f>
        <v/>
      </c>
    </row>
    <row r="242" ht="15" customHeight="1" s="116">
      <c r="A242" s="128" t="inlineStr">
        <is>
          <t>Adamantina</t>
        </is>
      </c>
      <c r="B242" s="128" t="inlineStr">
        <is>
          <t>Machado</t>
        </is>
      </c>
      <c r="C242" s="128" t="inlineStr">
        <is>
          <t>Machado Cravado de Runas</t>
        </is>
      </c>
      <c r="D242" s="135" t="inlineStr">
        <is>
          <t>Ignora Defesa</t>
        </is>
      </c>
      <c r="E242" s="128" t="inlineStr">
        <is>
          <t>Runas antigas gravadas na lâmina — ninguém mais sabe traduzi-las, só usar.</t>
        </is>
      </c>
      <c r="F242" s="128">
        <f>INDEX(Tiers!$G$9:$G$22,MATCH($A242,Tiers!$B$9:$B$22,0))</f>
        <v/>
      </c>
      <c r="G242" s="128">
        <f>INDEX(Tiers!$H$9:$H$22,MATCH($A242,Tiers!$B$9:$B$22,0))</f>
        <v/>
      </c>
      <c r="H242" s="128">
        <f>INDEX($B$5:$B$11,MATCH($B242,$A$5:$A$11,0))</f>
        <v/>
      </c>
      <c r="I242" s="153">
        <f>ROUND(F242*H242*K242,0)</f>
        <v/>
      </c>
      <c r="J242" s="153">
        <f>ROUND(G242*H242*K242,0)</f>
        <v/>
      </c>
      <c r="K242" s="154" t="n">
        <v>0.96</v>
      </c>
      <c r="L242" s="115">
        <f>ROUND(I242*8,0)</f>
        <v/>
      </c>
      <c r="M242" s="115">
        <f>ROUND(J242*10,0)</f>
        <v/>
      </c>
    </row>
    <row r="243" ht="15" customHeight="1" s="116">
      <c r="A243" s="128" t="inlineStr">
        <is>
          <t>Adamantina</t>
        </is>
      </c>
      <c r="B243" s="128" t="inlineStr">
        <is>
          <t>Arco</t>
        </is>
      </c>
      <c r="C243" s="128" t="inlineStr">
        <is>
          <t>Arco de Adamantina</t>
        </is>
      </c>
      <c r="D243" s="135" t="n"/>
      <c r="E243" s="128" t="inlineStr">
        <is>
          <t>Pesado demais pra maioria, preciso demais pra ser ignorado.</t>
        </is>
      </c>
      <c r="F243" s="128">
        <f>INDEX(Tiers!$G$9:$G$22,MATCH($A243,Tiers!$B$9:$B$22,0))</f>
        <v/>
      </c>
      <c r="G243" s="128">
        <f>INDEX(Tiers!$H$9:$H$22,MATCH($A243,Tiers!$B$9:$B$22,0))</f>
        <v/>
      </c>
      <c r="H243" s="128">
        <f>INDEX($B$5:$B$11,MATCH($B243,$A$5:$A$11,0))</f>
        <v/>
      </c>
      <c r="I243" s="153">
        <f>ROUND(F243*H243*K243,0)</f>
        <v/>
      </c>
      <c r="J243" s="153">
        <f>ROUND(G243*H243*K243,0)</f>
        <v/>
      </c>
      <c r="K243" s="154" t="n">
        <v>1</v>
      </c>
      <c r="L243" s="115">
        <f>ROUND(I243*8,0)</f>
        <v/>
      </c>
      <c r="M243" s="115">
        <f>ROUND(J243*10,0)</f>
        <v/>
      </c>
    </row>
    <row r="244" ht="15" customHeight="1" s="116">
      <c r="A244" s="128" t="inlineStr">
        <is>
          <t>Adamantina</t>
        </is>
      </c>
      <c r="B244" s="128" t="inlineStr">
        <is>
          <t>Arco</t>
        </is>
      </c>
      <c r="C244" s="128" t="inlineStr">
        <is>
          <t>Arco do Bastião</t>
        </is>
      </c>
      <c r="D244" s="135" t="n"/>
      <c r="E244" s="128" t="inlineStr">
        <is>
          <t>Usado pelos arqueiros de elite que defendem a fortaleza.</t>
        </is>
      </c>
      <c r="F244" s="128">
        <f>INDEX(Tiers!$G$9:$G$22,MATCH($A244,Tiers!$B$9:$B$22,0))</f>
        <v/>
      </c>
      <c r="G244" s="128">
        <f>INDEX(Tiers!$H$9:$H$22,MATCH($A244,Tiers!$B$9:$B$22,0))</f>
        <v/>
      </c>
      <c r="H244" s="128">
        <f>INDEX($B$5:$B$11,MATCH($B244,$A$5:$A$11,0))</f>
        <v/>
      </c>
      <c r="I244" s="153">
        <f>ROUND(F244*H244*K244,0)</f>
        <v/>
      </c>
      <c r="J244" s="153">
        <f>ROUND(G244*H244*K244,0)</f>
        <v/>
      </c>
      <c r="K244" s="154" t="n">
        <v>1</v>
      </c>
      <c r="L244" s="115">
        <f>ROUND(I244*8,0)</f>
        <v/>
      </c>
      <c r="M244" s="115">
        <f>ROUND(J244*10,0)</f>
        <v/>
      </c>
    </row>
    <row r="245" ht="15" customHeight="1" s="116">
      <c r="A245" s="128" t="inlineStr">
        <is>
          <t>Adamantina</t>
        </is>
      </c>
      <c r="B245" s="128" t="inlineStr">
        <is>
          <t>Arco</t>
        </is>
      </c>
      <c r="C245" s="128" t="inlineStr">
        <is>
          <t>Arco Reforçado com Placas</t>
        </is>
      </c>
      <c r="D245" s="135" t="n"/>
      <c r="E245" s="128" t="inlineStr">
        <is>
          <t>Placas de adamantina nas pontas — aguenta tensão que quebraria madeira comum.</t>
        </is>
      </c>
      <c r="F245" s="128">
        <f>INDEX(Tiers!$G$9:$G$22,MATCH($A245,Tiers!$B$9:$B$22,0))</f>
        <v/>
      </c>
      <c r="G245" s="128">
        <f>INDEX(Tiers!$H$9:$H$22,MATCH($A245,Tiers!$B$9:$B$22,0))</f>
        <v/>
      </c>
      <c r="H245" s="128">
        <f>INDEX($B$5:$B$11,MATCH($B245,$A$5:$A$11,0))</f>
        <v/>
      </c>
      <c r="I245" s="153">
        <f>ROUND(F245*H245*K245,0)</f>
        <v/>
      </c>
      <c r="J245" s="153">
        <f>ROUND(G245*H245*K245,0)</f>
        <v/>
      </c>
      <c r="K245" s="154" t="n">
        <v>1.05</v>
      </c>
      <c r="L245" s="115">
        <f>ROUND(I245*8,0)</f>
        <v/>
      </c>
      <c r="M245" s="115">
        <f>ROUND(J245*10,0)</f>
        <v/>
      </c>
    </row>
    <row r="246" ht="15" customHeight="1" s="116">
      <c r="A246" s="128" t="inlineStr">
        <is>
          <t>Adamantina</t>
        </is>
      </c>
      <c r="B246" s="128" t="inlineStr">
        <is>
          <t>Arco</t>
        </is>
      </c>
      <c r="C246" s="128" t="inlineStr">
        <is>
          <t>Arco Confiscado da Heresia</t>
        </is>
      </c>
      <c r="D246" s="135" t="n"/>
      <c r="E246" s="128" t="inlineStr">
        <is>
          <t>Tomado de um cultista da Heresia do Titã Negro — a Ordem não devolveu.</t>
        </is>
      </c>
      <c r="F246" s="128">
        <f>INDEX(Tiers!$G$9:$G$22,MATCH($A246,Tiers!$B$9:$B$22,0))</f>
        <v/>
      </c>
      <c r="G246" s="128">
        <f>INDEX(Tiers!$H$9:$H$22,MATCH($A246,Tiers!$B$9:$B$22,0))</f>
        <v/>
      </c>
      <c r="H246" s="128">
        <f>INDEX($B$5:$B$11,MATCH($B246,$A$5:$A$11,0))</f>
        <v/>
      </c>
      <c r="I246" s="153">
        <f>ROUND(F246*H246*K246,0)</f>
        <v/>
      </c>
      <c r="J246" s="153">
        <f>ROUND(G246*H246*K246,0)</f>
        <v/>
      </c>
      <c r="K246" s="154" t="n">
        <v>1</v>
      </c>
      <c r="L246" s="115">
        <f>ROUND(I246*8,0)</f>
        <v/>
      </c>
      <c r="M246" s="115">
        <f>ROUND(J246*10,0)</f>
        <v/>
      </c>
    </row>
    <row r="247" ht="15" customHeight="1" s="116">
      <c r="A247" s="128" t="inlineStr">
        <is>
          <t>Adamantina</t>
        </is>
      </c>
      <c r="B247" s="128" t="inlineStr">
        <is>
          <t>Adaga</t>
        </is>
      </c>
      <c r="C247" s="128" t="inlineStr">
        <is>
          <t>Adaga de Adamantina</t>
        </is>
      </c>
      <c r="D247" s="135" t="n"/>
      <c r="E247" s="128" t="inlineStr">
        <is>
          <t>Pequena, mas pesada o bastante pra surpreender quem subestima.</t>
        </is>
      </c>
      <c r="F247" s="128">
        <f>INDEX(Tiers!$G$9:$G$22,MATCH($A247,Tiers!$B$9:$B$22,0))</f>
        <v/>
      </c>
      <c r="G247" s="128">
        <f>INDEX(Tiers!$H$9:$H$22,MATCH($A247,Tiers!$B$9:$B$22,0))</f>
        <v/>
      </c>
      <c r="H247" s="128">
        <f>INDEX($B$5:$B$11,MATCH($B247,$A$5:$A$11,0))</f>
        <v/>
      </c>
      <c r="I247" s="153">
        <f>ROUND(F247*H247*K247,0)</f>
        <v/>
      </c>
      <c r="J247" s="153">
        <f>ROUND(G247*H247*K247,0)</f>
        <v/>
      </c>
      <c r="K247" s="154" t="n">
        <v>1</v>
      </c>
      <c r="L247" s="115">
        <f>ROUND(I247*8,0)</f>
        <v/>
      </c>
      <c r="M247" s="115">
        <f>ROUND(J247*10,0)</f>
        <v/>
      </c>
    </row>
    <row r="248" ht="15" customHeight="1" s="116">
      <c r="A248" s="128" t="inlineStr">
        <is>
          <t>Adamantina</t>
        </is>
      </c>
      <c r="B248" s="128" t="inlineStr">
        <is>
          <t>Adaga</t>
        </is>
      </c>
      <c r="C248" s="128" t="inlineStr">
        <is>
          <t>Adaga do Cavaleiro</t>
        </is>
      </c>
      <c r="D248" s="135" t="n"/>
      <c r="E248" s="128" t="inlineStr">
        <is>
          <t>Item padrão de todo Cavaleiro do Dragão Decaído, sem exceção.</t>
        </is>
      </c>
      <c r="F248" s="128">
        <f>INDEX(Tiers!$G$9:$G$22,MATCH($A248,Tiers!$B$9:$B$22,0))</f>
        <v/>
      </c>
      <c r="G248" s="128">
        <f>INDEX(Tiers!$H$9:$H$22,MATCH($A248,Tiers!$B$9:$B$22,0))</f>
        <v/>
      </c>
      <c r="H248" s="128">
        <f>INDEX($B$5:$B$11,MATCH($B248,$A$5:$A$11,0))</f>
        <v/>
      </c>
      <c r="I248" s="153">
        <f>ROUND(F248*H248*K248,0)</f>
        <v/>
      </c>
      <c r="J248" s="153">
        <f>ROUND(G248*H248*K248,0)</f>
        <v/>
      </c>
      <c r="K248" s="154" t="n">
        <v>1</v>
      </c>
      <c r="L248" s="115">
        <f>ROUND(I248*8,0)</f>
        <v/>
      </c>
      <c r="M248" s="115">
        <f>ROUND(J248*10,0)</f>
        <v/>
      </c>
    </row>
    <row r="249" ht="15" customHeight="1" s="116">
      <c r="A249" s="128" t="inlineStr">
        <is>
          <t>Adamantina</t>
        </is>
      </c>
      <c r="B249" s="128" t="inlineStr">
        <is>
          <t>Adaga</t>
        </is>
      </c>
      <c r="C249" s="128" t="inlineStr">
        <is>
          <t>Adaga Selada pela Ordem</t>
        </is>
      </c>
      <c r="D249" s="135" t="n"/>
      <c r="E249" s="128" t="inlineStr">
        <is>
          <t>Gravada com o juramento que todo Cavaleiro faz ao ingressar.</t>
        </is>
      </c>
      <c r="F249" s="128">
        <f>INDEX(Tiers!$G$9:$G$22,MATCH($A249,Tiers!$B$9:$B$22,0))</f>
        <v/>
      </c>
      <c r="G249" s="128">
        <f>INDEX(Tiers!$H$9:$H$22,MATCH($A249,Tiers!$B$9:$B$22,0))</f>
        <v/>
      </c>
      <c r="H249" s="128">
        <f>INDEX($B$5:$B$11,MATCH($B249,$A$5:$A$11,0))</f>
        <v/>
      </c>
      <c r="I249" s="153">
        <f>ROUND(F249*H249*K249,0)</f>
        <v/>
      </c>
      <c r="J249" s="153">
        <f>ROUND(G249*H249*K249,0)</f>
        <v/>
      </c>
      <c r="K249" s="154" t="n">
        <v>1</v>
      </c>
      <c r="L249" s="115">
        <f>ROUND(I249*8,0)</f>
        <v/>
      </c>
      <c r="M249" s="115">
        <f>ROUND(J249*10,0)</f>
        <v/>
      </c>
    </row>
    <row r="250" ht="15" customHeight="1" s="116">
      <c r="A250" s="128" t="inlineStr">
        <is>
          <t>Adamantina</t>
        </is>
      </c>
      <c r="B250" s="128" t="inlineStr">
        <is>
          <t>Maca</t>
        </is>
      </c>
      <c r="C250" s="128" t="inlineStr">
        <is>
          <t>Maça de Adamantina</t>
        </is>
      </c>
      <c r="D250" s="135" t="n"/>
      <c r="E250" s="128" t="inlineStr">
        <is>
          <t>Densidade colossal — cada golpe é definitivo.</t>
        </is>
      </c>
      <c r="F250" s="128">
        <f>INDEX(Tiers!$G$9:$G$22,MATCH($A250,Tiers!$B$9:$B$22,0))</f>
        <v/>
      </c>
      <c r="G250" s="128">
        <f>INDEX(Tiers!$H$9:$H$22,MATCH($A250,Tiers!$B$9:$B$22,0))</f>
        <v/>
      </c>
      <c r="H250" s="128">
        <f>INDEX($B$5:$B$11,MATCH($B250,$A$5:$A$11,0))</f>
        <v/>
      </c>
      <c r="I250" s="153">
        <f>ROUND(F250*H250*K250,0)</f>
        <v/>
      </c>
      <c r="J250" s="153">
        <f>ROUND(G250*H250*K250,0)</f>
        <v/>
      </c>
      <c r="K250" s="154" t="n">
        <v>1</v>
      </c>
      <c r="L250" s="115">
        <f>ROUND(I250*8,0)</f>
        <v/>
      </c>
      <c r="M250" s="115">
        <f>ROUND(J250*10,0)</f>
        <v/>
      </c>
    </row>
    <row r="251" ht="15" customHeight="1" s="116">
      <c r="A251" s="128" t="inlineStr">
        <is>
          <t>Adamantina</t>
        </is>
      </c>
      <c r="B251" s="128" t="inlineStr">
        <is>
          <t>Maca</t>
        </is>
      </c>
      <c r="C251" s="128" t="inlineStr">
        <is>
          <t>Maça do Titã Contido</t>
        </is>
      </c>
      <c r="D251" s="135" t="n"/>
      <c r="E251" s="128" t="inlineStr">
        <is>
          <t>Feita com o mesmo minério que quase não teve fim de moldar.</t>
        </is>
      </c>
      <c r="F251" s="128">
        <f>INDEX(Tiers!$G$9:$G$22,MATCH($A251,Tiers!$B$9:$B$22,0))</f>
        <v/>
      </c>
      <c r="G251" s="128">
        <f>INDEX(Tiers!$H$9:$H$22,MATCH($A251,Tiers!$B$9:$B$22,0))</f>
        <v/>
      </c>
      <c r="H251" s="128">
        <f>INDEX($B$5:$B$11,MATCH($B251,$A$5:$A$11,0))</f>
        <v/>
      </c>
      <c r="I251" s="153">
        <f>ROUND(F251*H251*K251,0)</f>
        <v/>
      </c>
      <c r="J251" s="153">
        <f>ROUND(G251*H251*K251,0)</f>
        <v/>
      </c>
      <c r="K251" s="154" t="n">
        <v>1</v>
      </c>
      <c r="L251" s="115">
        <f>ROUND(I251*8,0)</f>
        <v/>
      </c>
      <c r="M251" s="115">
        <f>ROUND(J251*10,0)</f>
        <v/>
      </c>
    </row>
    <row r="252" ht="15" customHeight="1" s="116">
      <c r="A252" s="128" t="inlineStr">
        <is>
          <t>Adamantina</t>
        </is>
      </c>
      <c r="B252" s="128" t="inlineStr">
        <is>
          <t>Maca</t>
        </is>
      </c>
      <c r="C252" s="128" t="inlineStr">
        <is>
          <t>Maça da Ordem Inquebrável</t>
        </is>
      </c>
      <c r="D252" s="135" t="n"/>
      <c r="E252" s="128" t="inlineStr">
        <is>
          <t>Símbolo de status entre os Cavaleiros — poucos a merecem de verdade.</t>
        </is>
      </c>
      <c r="F252" s="128">
        <f>INDEX(Tiers!$G$9:$G$22,MATCH($A252,Tiers!$B$9:$B$22,0))</f>
        <v/>
      </c>
      <c r="G252" s="128">
        <f>INDEX(Tiers!$H$9:$H$22,MATCH($A252,Tiers!$B$9:$B$22,0))</f>
        <v/>
      </c>
      <c r="H252" s="128">
        <f>INDEX($B$5:$B$11,MATCH($B252,$A$5:$A$11,0))</f>
        <v/>
      </c>
      <c r="I252" s="153">
        <f>ROUND(F252*H252*K252,0)</f>
        <v/>
      </c>
      <c r="J252" s="153">
        <f>ROUND(G252*H252*K252,0)</f>
        <v/>
      </c>
      <c r="K252" s="154" t="n">
        <v>1</v>
      </c>
      <c r="L252" s="115">
        <f>ROUND(I252*8,0)</f>
        <v/>
      </c>
      <c r="M252" s="115">
        <f>ROUND(J252*10,0)</f>
        <v/>
      </c>
    </row>
    <row r="253" ht="15" customHeight="1" s="116">
      <c r="A253" s="128" t="inlineStr">
        <is>
          <t>Adamantina</t>
        </is>
      </c>
      <c r="B253" s="128" t="inlineStr">
        <is>
          <t>Manopla</t>
        </is>
      </c>
      <c r="C253" s="128" t="inlineStr">
        <is>
          <t>Manopla de Adamantina</t>
        </is>
      </c>
      <c r="D253" s="135" t="n"/>
      <c r="E253" s="128" t="inlineStr">
        <is>
          <t>Nós reforçados com o metal mais denso conhecido pela civilização mortal.</t>
        </is>
      </c>
      <c r="F253" s="128">
        <f>INDEX(Tiers!$G$9:$G$22,MATCH($A253,Tiers!$B$9:$B$22,0))</f>
        <v/>
      </c>
      <c r="G253" s="128">
        <f>INDEX(Tiers!$H$9:$H$22,MATCH($A253,Tiers!$B$9:$B$22,0))</f>
        <v/>
      </c>
      <c r="H253" s="128">
        <f>INDEX($B$5:$B$11,MATCH($B253,$A$5:$A$11,0))</f>
        <v/>
      </c>
      <c r="I253" s="153">
        <f>ROUND(F253*H253*K253,0)</f>
        <v/>
      </c>
      <c r="J253" s="153">
        <f>ROUND(G253*H253*K253,0)</f>
        <v/>
      </c>
      <c r="K253" s="154" t="n">
        <v>1</v>
      </c>
      <c r="L253" s="115">
        <f>ROUND(I253*8,0)</f>
        <v/>
      </c>
      <c r="M253" s="115">
        <f>ROUND(J253*10,0)</f>
        <v/>
      </c>
    </row>
    <row r="254" ht="15" customHeight="1" s="116">
      <c r="A254" s="128" t="inlineStr">
        <is>
          <t>Adamantina</t>
        </is>
      </c>
      <c r="B254" s="128" t="inlineStr">
        <is>
          <t>Manopla</t>
        </is>
      </c>
      <c r="C254" s="128" t="inlineStr">
        <is>
          <t>Manopla do Bastião</t>
        </is>
      </c>
      <c r="D254" s="135" t="n"/>
      <c r="E254" s="128" t="inlineStr">
        <is>
          <t>Usada em treino de recruta — poucos recrutas terminam o treino sem hematoma.</t>
        </is>
      </c>
      <c r="F254" s="128">
        <f>INDEX(Tiers!$G$9:$G$22,MATCH($A254,Tiers!$B$9:$B$22,0))</f>
        <v/>
      </c>
      <c r="G254" s="128">
        <f>INDEX(Tiers!$H$9:$H$22,MATCH($A254,Tiers!$B$9:$B$22,0))</f>
        <v/>
      </c>
      <c r="H254" s="128">
        <f>INDEX($B$5:$B$11,MATCH($B254,$A$5:$A$11,0))</f>
        <v/>
      </c>
      <c r="I254" s="153">
        <f>ROUND(F254*H254*K254,0)</f>
        <v/>
      </c>
      <c r="J254" s="153">
        <f>ROUND(G254*H254*K254,0)</f>
        <v/>
      </c>
      <c r="K254" s="154" t="n">
        <v>1</v>
      </c>
      <c r="L254" s="115">
        <f>ROUND(I254*8,0)</f>
        <v/>
      </c>
      <c r="M254" s="115">
        <f>ROUND(J254*10,0)</f>
        <v/>
      </c>
    </row>
    <row r="255" ht="15" customHeight="1" s="116">
      <c r="A255" s="128" t="inlineStr">
        <is>
          <t>Adamantina</t>
        </is>
      </c>
      <c r="B255" s="128" t="inlineStr">
        <is>
          <t>Cetro</t>
        </is>
      </c>
      <c r="C255" s="128" t="inlineStr">
        <is>
          <t>Cetro de Adamantina</t>
        </is>
      </c>
      <c r="D255" s="135" t="n"/>
      <c r="E255" s="128" t="inlineStr">
        <is>
          <t>Pesado, denso, canaliza magia com uma força que impressiona até magos experientes.</t>
        </is>
      </c>
      <c r="F255" s="128">
        <f>INDEX(Tiers!$G$9:$G$22,MATCH($A255,Tiers!$B$9:$B$22,0))</f>
        <v/>
      </c>
      <c r="G255" s="128">
        <f>INDEX(Tiers!$H$9:$H$22,MATCH($A255,Tiers!$B$9:$B$22,0))</f>
        <v/>
      </c>
      <c r="H255" s="128">
        <f>INDEX($B$5:$B$11,MATCH($B255,$A$5:$A$11,0))</f>
        <v/>
      </c>
      <c r="I255" s="153">
        <f>ROUND(F255*H255*K255,0)</f>
        <v/>
      </c>
      <c r="J255" s="153">
        <f>ROUND(G255*H255*K255,0)</f>
        <v/>
      </c>
      <c r="K255" s="154" t="n">
        <v>1</v>
      </c>
      <c r="L255" s="115">
        <f>ROUND(I255*8,0)</f>
        <v/>
      </c>
      <c r="M255" s="115">
        <f>ROUND(J255*10,0)</f>
        <v/>
      </c>
    </row>
    <row r="256" ht="15" customHeight="1" s="116">
      <c r="A256" s="128" t="inlineStr">
        <is>
          <t>Adamantina</t>
        </is>
      </c>
      <c r="B256" s="128" t="inlineStr">
        <is>
          <t>Cetro</t>
        </is>
      </c>
      <c r="C256" s="128" t="inlineStr">
        <is>
          <t>Cetro Selado da Ordem</t>
        </is>
      </c>
      <c r="D256" s="135" t="n"/>
      <c r="E256" s="128" t="inlineStr">
        <is>
          <t>Reservado a conjuradores que juraram lealdade ao Bastião.</t>
        </is>
      </c>
      <c r="F256" s="128">
        <f>INDEX(Tiers!$G$9:$G$22,MATCH($A256,Tiers!$B$9:$B$22,0))</f>
        <v/>
      </c>
      <c r="G256" s="128">
        <f>INDEX(Tiers!$H$9:$H$22,MATCH($A256,Tiers!$B$9:$B$22,0))</f>
        <v/>
      </c>
      <c r="H256" s="128">
        <f>INDEX($B$5:$B$11,MATCH($B256,$A$5:$A$11,0))</f>
        <v/>
      </c>
      <c r="I256" s="153">
        <f>ROUND(F256*H256*K256,0)</f>
        <v/>
      </c>
      <c r="J256" s="153">
        <f>ROUND(G256*H256*K256,0)</f>
        <v/>
      </c>
      <c r="K256" s="154" t="n">
        <v>1</v>
      </c>
      <c r="L256" s="115">
        <f>ROUND(I256*8,0)</f>
        <v/>
      </c>
      <c r="M256" s="115">
        <f>ROUND(J256*10,0)</f>
        <v/>
      </c>
    </row>
    <row r="257" ht="15" customHeight="1" s="116">
      <c r="A257" s="128" t="inlineStr">
        <is>
          <t>Osso de Dragao</t>
        </is>
      </c>
      <c r="B257" s="128" t="inlineStr">
        <is>
          <t>Espada</t>
        </is>
      </c>
      <c r="C257" s="128" t="inlineStr">
        <is>
          <t>Espada de Osso de Dragão</t>
        </is>
      </c>
      <c r="D257" s="135" t="n"/>
      <c r="E257" s="128" t="inlineStr">
        <is>
          <t>Lâmina forjada em marfim draconiano que queima em chamas invisíveis.</t>
        </is>
      </c>
      <c r="F257" s="128">
        <f>INDEX(Tiers!$G$9:$G$22,MATCH($A257,Tiers!$B$9:$B$22,0))</f>
        <v/>
      </c>
      <c r="G257" s="128">
        <f>INDEX(Tiers!$H$9:$H$22,MATCH($A257,Tiers!$B$9:$B$22,0))</f>
        <v/>
      </c>
      <c r="H257" s="128">
        <f>INDEX($B$5:$B$11,MATCH($B257,$A$5:$A$11,0))</f>
        <v/>
      </c>
      <c r="I257" s="153">
        <f>ROUND(F257*H257*K257,0)</f>
        <v/>
      </c>
      <c r="J257" s="153">
        <f>ROUND(G257*H257*K257,0)</f>
        <v/>
      </c>
      <c r="K257" s="154" t="n">
        <v>1</v>
      </c>
      <c r="L257" s="115">
        <f>ROUND(I257*8,0)</f>
        <v/>
      </c>
      <c r="M257" s="115">
        <f>ROUND(J257*10,0)</f>
        <v/>
      </c>
    </row>
    <row r="258" ht="15" customHeight="1" s="116">
      <c r="A258" s="128" t="inlineStr">
        <is>
          <t>Osso de Dragao</t>
        </is>
      </c>
      <c r="B258" s="128" t="inlineStr">
        <is>
          <t>Espada</t>
        </is>
      </c>
      <c r="C258" s="128" t="inlineStr">
        <is>
          <t>Espada em Chamas Ancestrais</t>
        </is>
      </c>
      <c r="D258" s="135" t="inlineStr">
        <is>
          <t>Queimadura</t>
        </is>
      </c>
      <c r="E258" s="128" t="inlineStr">
        <is>
          <t>O fio da lâmina nunca esfria de verdade — só parece frio ao olhar.</t>
        </is>
      </c>
      <c r="F258" s="128">
        <f>INDEX(Tiers!$G$9:$G$22,MATCH($A258,Tiers!$B$9:$B$22,0))</f>
        <v/>
      </c>
      <c r="G258" s="128">
        <f>INDEX(Tiers!$H$9:$H$22,MATCH($A258,Tiers!$B$9:$B$22,0))</f>
        <v/>
      </c>
      <c r="H258" s="128">
        <f>INDEX($B$5:$B$11,MATCH($B258,$A$5:$A$11,0))</f>
        <v/>
      </c>
      <c r="I258" s="153">
        <f>ROUND(F258*H258*K258,0)</f>
        <v/>
      </c>
      <c r="J258" s="153">
        <f>ROUND(G258*H258*K258,0)</f>
        <v/>
      </c>
      <c r="K258" s="154" t="n">
        <v>0.95</v>
      </c>
      <c r="L258" s="115">
        <f>ROUND(I258*8,0)</f>
        <v/>
      </c>
      <c r="M258" s="115">
        <f>ROUND(J258*10,0)</f>
        <v/>
      </c>
    </row>
    <row r="259" ht="15" customHeight="1" s="116">
      <c r="A259" s="128" t="inlineStr">
        <is>
          <t>Osso de Dragao</t>
        </is>
      </c>
      <c r="B259" s="128" t="inlineStr">
        <is>
          <t>Espada</t>
        </is>
      </c>
      <c r="C259" s="128" t="inlineStr">
        <is>
          <t>Espada de Escama Draconiana</t>
        </is>
      </c>
      <c r="D259" s="135" t="n"/>
      <c r="E259" s="128" t="inlineStr">
        <is>
          <t>Cada escama reflete uma cor diferente, dependendo do dragão que a cedeu.</t>
        </is>
      </c>
      <c r="F259" s="128">
        <f>INDEX(Tiers!$G$9:$G$22,MATCH($A259,Tiers!$B$9:$B$22,0))</f>
        <v/>
      </c>
      <c r="G259" s="128">
        <f>INDEX(Tiers!$H$9:$H$22,MATCH($A259,Tiers!$B$9:$B$22,0))</f>
        <v/>
      </c>
      <c r="H259" s="128">
        <f>INDEX($B$5:$B$11,MATCH($B259,$A$5:$A$11,0))</f>
        <v/>
      </c>
      <c r="I259" s="153">
        <f>ROUND(F259*H259*K259,0)</f>
        <v/>
      </c>
      <c r="J259" s="153">
        <f>ROUND(G259*H259*K259,0)</f>
        <v/>
      </c>
      <c r="K259" s="154" t="n">
        <v>1</v>
      </c>
      <c r="L259" s="115">
        <f>ROUND(I259*8,0)</f>
        <v/>
      </c>
      <c r="M259" s="115">
        <f>ROUND(J259*10,0)</f>
        <v/>
      </c>
    </row>
    <row r="260" ht="15" customHeight="1" s="116">
      <c r="A260" s="128" t="inlineStr">
        <is>
          <t>Osso de Dragao</t>
        </is>
      </c>
      <c r="B260" s="128" t="inlineStr">
        <is>
          <t>Espada</t>
        </is>
      </c>
      <c r="C260" s="128" t="inlineStr">
        <is>
          <t>Espada do Caçador de Wyrms</t>
        </is>
      </c>
      <c r="D260" s="135" t="n"/>
      <c r="E260" s="128" t="inlineStr">
        <is>
          <t>Usada por quem caça dracoformos nos picos, geração após geração.</t>
        </is>
      </c>
      <c r="F260" s="128">
        <f>INDEX(Tiers!$G$9:$G$22,MATCH($A260,Tiers!$B$9:$B$22,0))</f>
        <v/>
      </c>
      <c r="G260" s="128">
        <f>INDEX(Tiers!$H$9:$H$22,MATCH($A260,Tiers!$B$9:$B$22,0))</f>
        <v/>
      </c>
      <c r="H260" s="128">
        <f>INDEX($B$5:$B$11,MATCH($B260,$A$5:$A$11,0))</f>
        <v/>
      </c>
      <c r="I260" s="153">
        <f>ROUND(F260*H260*K260,0)</f>
        <v/>
      </c>
      <c r="J260" s="153">
        <f>ROUND(G260*H260*K260,0)</f>
        <v/>
      </c>
      <c r="K260" s="154" t="n">
        <v>1</v>
      </c>
      <c r="L260" s="115">
        <f>ROUND(I260*8,0)</f>
        <v/>
      </c>
      <c r="M260" s="115">
        <f>ROUND(J260*10,0)</f>
        <v/>
      </c>
    </row>
    <row r="261" ht="15" customHeight="1" s="116">
      <c r="A261" s="128" t="inlineStr">
        <is>
          <t>Osso de Dragao</t>
        </is>
      </c>
      <c r="B261" s="128" t="inlineStr">
        <is>
          <t>Machado</t>
        </is>
      </c>
      <c r="C261" s="128" t="inlineStr">
        <is>
          <t>Machado de Osso de Dragão</t>
        </is>
      </c>
      <c r="D261" s="135" t="n"/>
      <c r="E261" s="128" t="inlineStr">
        <is>
          <t>Pesado, denso, talhado de um único fragmento de osso ancestral.</t>
        </is>
      </c>
      <c r="F261" s="128">
        <f>INDEX(Tiers!$G$9:$G$22,MATCH($A261,Tiers!$B$9:$B$22,0))</f>
        <v/>
      </c>
      <c r="G261" s="128">
        <f>INDEX(Tiers!$H$9:$H$22,MATCH($A261,Tiers!$B$9:$B$22,0))</f>
        <v/>
      </c>
      <c r="H261" s="128">
        <f>INDEX($B$5:$B$11,MATCH($B261,$A$5:$A$11,0))</f>
        <v/>
      </c>
      <c r="I261" s="153">
        <f>ROUND(F261*H261*K261,0)</f>
        <v/>
      </c>
      <c r="J261" s="153">
        <f>ROUND(G261*H261*K261,0)</f>
        <v/>
      </c>
      <c r="K261" s="154" t="n">
        <v>1</v>
      </c>
      <c r="L261" s="115">
        <f>ROUND(I261*8,0)</f>
        <v/>
      </c>
      <c r="M261" s="115">
        <f>ROUND(J261*10,0)</f>
        <v/>
      </c>
    </row>
    <row r="262" ht="15" customHeight="1" s="116">
      <c r="A262" s="128" t="inlineStr">
        <is>
          <t>Osso de Dragao</t>
        </is>
      </c>
      <c r="B262" s="128" t="inlineStr">
        <is>
          <t>Machado</t>
        </is>
      </c>
      <c r="C262" s="128" t="inlineStr">
        <is>
          <t>Machado Flamejante Ancestral</t>
        </is>
      </c>
      <c r="D262" s="135" t="inlineStr">
        <is>
          <t>Queimadura</t>
        </is>
      </c>
      <c r="E262" s="128" t="inlineStr">
        <is>
          <t>A cabeça ainda solta fumaça fina, mesmo fria ao toque.</t>
        </is>
      </c>
      <c r="F262" s="128">
        <f>INDEX(Tiers!$G$9:$G$22,MATCH($A262,Tiers!$B$9:$B$22,0))</f>
        <v/>
      </c>
      <c r="G262" s="128">
        <f>INDEX(Tiers!$H$9:$H$22,MATCH($A262,Tiers!$B$9:$B$22,0))</f>
        <v/>
      </c>
      <c r="H262" s="128">
        <f>INDEX($B$5:$B$11,MATCH($B262,$A$5:$A$11,0))</f>
        <v/>
      </c>
      <c r="I262" s="153">
        <f>ROUND(F262*H262*K262,0)</f>
        <v/>
      </c>
      <c r="J262" s="153">
        <f>ROUND(G262*H262*K262,0)</f>
        <v/>
      </c>
      <c r="K262" s="154" t="n">
        <v>0.96</v>
      </c>
      <c r="L262" s="115">
        <f>ROUND(I262*8,0)</f>
        <v/>
      </c>
      <c r="M262" s="115">
        <f>ROUND(J262*10,0)</f>
        <v/>
      </c>
    </row>
    <row r="263" ht="15" customHeight="1" s="116">
      <c r="A263" s="128" t="inlineStr">
        <is>
          <t>Osso de Dragao</t>
        </is>
      </c>
      <c r="B263" s="128" t="inlineStr">
        <is>
          <t>Machado</t>
        </is>
      </c>
      <c r="C263" s="128" t="inlineStr">
        <is>
          <t>Machado de Escama Draconiana</t>
        </is>
      </c>
      <c r="D263" s="135" t="n"/>
      <c r="E263" s="128" t="inlineStr">
        <is>
          <t>Reforçado com placas de escama — resiste a calor que derreteria aço comum.</t>
        </is>
      </c>
      <c r="F263" s="128">
        <f>INDEX(Tiers!$G$9:$G$22,MATCH($A263,Tiers!$B$9:$B$22,0))</f>
        <v/>
      </c>
      <c r="G263" s="128">
        <f>INDEX(Tiers!$H$9:$H$22,MATCH($A263,Tiers!$B$9:$B$22,0))</f>
        <v/>
      </c>
      <c r="H263" s="128">
        <f>INDEX($B$5:$B$11,MATCH($B263,$A$5:$A$11,0))</f>
        <v/>
      </c>
      <c r="I263" s="153">
        <f>ROUND(F263*H263*K263,0)</f>
        <v/>
      </c>
      <c r="J263" s="153">
        <f>ROUND(G263*H263*K263,0)</f>
        <v/>
      </c>
      <c r="K263" s="154" t="n">
        <v>1</v>
      </c>
      <c r="L263" s="115">
        <f>ROUND(I263*8,0)</f>
        <v/>
      </c>
      <c r="M263" s="115">
        <f>ROUND(J263*10,0)</f>
        <v/>
      </c>
    </row>
    <row r="264" ht="15" customHeight="1" s="116">
      <c r="A264" s="128" t="inlineStr">
        <is>
          <t>Osso de Dragao</t>
        </is>
      </c>
      <c r="B264" s="128" t="inlineStr">
        <is>
          <t>Machado</t>
        </is>
      </c>
      <c r="C264" s="128" t="inlineStr">
        <is>
          <t>Machado do Ninho</t>
        </is>
      </c>
      <c r="D264" s="135" t="n"/>
      <c r="E264" s="128" t="inlineStr">
        <is>
          <t>Usado por batedores que sobem os Picos Fumegantes à procura de ninhos.</t>
        </is>
      </c>
      <c r="F264" s="128">
        <f>INDEX(Tiers!$G$9:$G$22,MATCH($A264,Tiers!$B$9:$B$22,0))</f>
        <v/>
      </c>
      <c r="G264" s="128">
        <f>INDEX(Tiers!$H$9:$H$22,MATCH($A264,Tiers!$B$9:$B$22,0))</f>
        <v/>
      </c>
      <c r="H264" s="128">
        <f>INDEX($B$5:$B$11,MATCH($B264,$A$5:$A$11,0))</f>
        <v/>
      </c>
      <c r="I264" s="153">
        <f>ROUND(F264*H264*K264,0)</f>
        <v/>
      </c>
      <c r="J264" s="153">
        <f>ROUND(G264*H264*K264,0)</f>
        <v/>
      </c>
      <c r="K264" s="154" t="n">
        <v>1</v>
      </c>
      <c r="L264" s="115">
        <f>ROUND(I264*8,0)</f>
        <v/>
      </c>
      <c r="M264" s="115">
        <f>ROUND(J264*10,0)</f>
        <v/>
      </c>
    </row>
    <row r="265" ht="15" customHeight="1" s="116">
      <c r="A265" s="128" t="inlineStr">
        <is>
          <t>Osso de Dragao</t>
        </is>
      </c>
      <c r="B265" s="128" t="inlineStr">
        <is>
          <t>Arco</t>
        </is>
      </c>
      <c r="C265" s="128" t="inlineStr">
        <is>
          <t>Arco de Osso de Dragão</t>
        </is>
      </c>
      <c r="D265" s="135" t="n"/>
      <c r="E265" s="128" t="inlineStr">
        <is>
          <t>Curvado em osso ancestral — leve, resistente, quase eterno.</t>
        </is>
      </c>
      <c r="F265" s="128">
        <f>INDEX(Tiers!$G$9:$G$22,MATCH($A265,Tiers!$B$9:$B$22,0))</f>
        <v/>
      </c>
      <c r="G265" s="128">
        <f>INDEX(Tiers!$H$9:$H$22,MATCH($A265,Tiers!$B$9:$B$22,0))</f>
        <v/>
      </c>
      <c r="H265" s="128">
        <f>INDEX($B$5:$B$11,MATCH($B265,$A$5:$A$11,0))</f>
        <v/>
      </c>
      <c r="I265" s="153">
        <f>ROUND(F265*H265*K265,0)</f>
        <v/>
      </c>
      <c r="J265" s="153">
        <f>ROUND(G265*H265*K265,0)</f>
        <v/>
      </c>
      <c r="K265" s="154" t="n">
        <v>1</v>
      </c>
      <c r="L265" s="115">
        <f>ROUND(I265*8,0)</f>
        <v/>
      </c>
      <c r="M265" s="115">
        <f>ROUND(J265*10,0)</f>
        <v/>
      </c>
    </row>
    <row r="266" ht="15" customHeight="1" s="116">
      <c r="A266" s="128" t="inlineStr">
        <is>
          <t>Osso de Dragao</t>
        </is>
      </c>
      <c r="B266" s="128" t="inlineStr">
        <is>
          <t>Arco</t>
        </is>
      </c>
      <c r="C266" s="128" t="inlineStr">
        <is>
          <t>Arco Flamejante Ancestral</t>
        </is>
      </c>
      <c r="D266" s="135" t="inlineStr">
        <is>
          <t>Queimadura</t>
        </is>
      </c>
      <c r="E266" s="128" t="inlineStr">
        <is>
          <t>As flechas saem levemente incandescentes ao disparar.</t>
        </is>
      </c>
      <c r="F266" s="128">
        <f>INDEX(Tiers!$G$9:$G$22,MATCH($A266,Tiers!$B$9:$B$22,0))</f>
        <v/>
      </c>
      <c r="G266" s="128">
        <f>INDEX(Tiers!$H$9:$H$22,MATCH($A266,Tiers!$B$9:$B$22,0))</f>
        <v/>
      </c>
      <c r="H266" s="128">
        <f>INDEX($B$5:$B$11,MATCH($B266,$A$5:$A$11,0))</f>
        <v/>
      </c>
      <c r="I266" s="153">
        <f>ROUND(F266*H266*K266,0)</f>
        <v/>
      </c>
      <c r="J266" s="153">
        <f>ROUND(G266*H266*K266,0)</f>
        <v/>
      </c>
      <c r="K266" s="154" t="n">
        <v>0.97</v>
      </c>
      <c r="L266" s="115">
        <f>ROUND(I266*8,0)</f>
        <v/>
      </c>
      <c r="M266" s="115">
        <f>ROUND(J266*10,0)</f>
        <v/>
      </c>
    </row>
    <row r="267" ht="15" customHeight="1" s="116">
      <c r="A267" s="128" t="inlineStr">
        <is>
          <t>Osso de Dragao</t>
        </is>
      </c>
      <c r="B267" s="128" t="inlineStr">
        <is>
          <t>Arco</t>
        </is>
      </c>
      <c r="C267" s="128" t="inlineStr">
        <is>
          <t>Arco de Escama Draconiana</t>
        </is>
      </c>
      <c r="D267" s="135" t="n"/>
      <c r="E267" s="128" t="inlineStr">
        <is>
          <t>Reforçado com escamas que ainda guardam o calor do dragão que as cedeu.</t>
        </is>
      </c>
      <c r="F267" s="128">
        <f>INDEX(Tiers!$G$9:$G$22,MATCH($A267,Tiers!$B$9:$B$22,0))</f>
        <v/>
      </c>
      <c r="G267" s="128">
        <f>INDEX(Tiers!$H$9:$H$22,MATCH($A267,Tiers!$B$9:$B$22,0))</f>
        <v/>
      </c>
      <c r="H267" s="128">
        <f>INDEX($B$5:$B$11,MATCH($B267,$A$5:$A$11,0))</f>
        <v/>
      </c>
      <c r="I267" s="153">
        <f>ROUND(F267*H267*K267,0)</f>
        <v/>
      </c>
      <c r="J267" s="153">
        <f>ROUND(G267*H267*K267,0)</f>
        <v/>
      </c>
      <c r="K267" s="154" t="n">
        <v>1</v>
      </c>
      <c r="L267" s="115">
        <f>ROUND(I267*8,0)</f>
        <v/>
      </c>
      <c r="M267" s="115">
        <f>ROUND(J267*10,0)</f>
        <v/>
      </c>
    </row>
    <row r="268" ht="15" customHeight="1" s="116">
      <c r="A268" s="128" t="inlineStr">
        <is>
          <t>Osso de Dragao</t>
        </is>
      </c>
      <c r="B268" s="128" t="inlineStr">
        <is>
          <t>Arco</t>
        </is>
      </c>
      <c r="C268" s="128" t="inlineStr">
        <is>
          <t>Arco do Ninho Fumegante</t>
        </is>
      </c>
      <c r="D268" s="135" t="n"/>
      <c r="E268" s="128" t="inlineStr">
        <is>
          <t>Usado nas caçadas mais próximas do covil do Dragão Ancião.</t>
        </is>
      </c>
      <c r="F268" s="128">
        <f>INDEX(Tiers!$G$9:$G$22,MATCH($A268,Tiers!$B$9:$B$22,0))</f>
        <v/>
      </c>
      <c r="G268" s="128">
        <f>INDEX(Tiers!$H$9:$H$22,MATCH($A268,Tiers!$B$9:$B$22,0))</f>
        <v/>
      </c>
      <c r="H268" s="128">
        <f>INDEX($B$5:$B$11,MATCH($B268,$A$5:$A$11,0))</f>
        <v/>
      </c>
      <c r="I268" s="153">
        <f>ROUND(F268*H268*K268,0)</f>
        <v/>
      </c>
      <c r="J268" s="153">
        <f>ROUND(G268*H268*K268,0)</f>
        <v/>
      </c>
      <c r="K268" s="154" t="n">
        <v>1</v>
      </c>
      <c r="L268" s="115">
        <f>ROUND(I268*8,0)</f>
        <v/>
      </c>
      <c r="M268" s="115">
        <f>ROUND(J268*10,0)</f>
        <v/>
      </c>
    </row>
    <row r="269" ht="15" customHeight="1" s="116">
      <c r="A269" s="128" t="inlineStr">
        <is>
          <t>Osso de Dragao</t>
        </is>
      </c>
      <c r="B269" s="128" t="inlineStr">
        <is>
          <t>Adaga</t>
        </is>
      </c>
      <c r="C269" s="128" t="inlineStr">
        <is>
          <t>Adaga de Osso de Dragão</t>
        </is>
      </c>
      <c r="D269" s="135" t="n"/>
      <c r="E269" s="128" t="inlineStr">
        <is>
          <t>Curta, densa, talhada de um fragmento de osso ancestral.</t>
        </is>
      </c>
      <c r="F269" s="128">
        <f>INDEX(Tiers!$G$9:$G$22,MATCH($A269,Tiers!$B$9:$B$22,0))</f>
        <v/>
      </c>
      <c r="G269" s="128">
        <f>INDEX(Tiers!$H$9:$H$22,MATCH($A269,Tiers!$B$9:$B$22,0))</f>
        <v/>
      </c>
      <c r="H269" s="128">
        <f>INDEX($B$5:$B$11,MATCH($B269,$A$5:$A$11,0))</f>
        <v/>
      </c>
      <c r="I269" s="153">
        <f>ROUND(F269*H269*K269,0)</f>
        <v/>
      </c>
      <c r="J269" s="153">
        <f>ROUND(G269*H269*K269,0)</f>
        <v/>
      </c>
      <c r="K269" s="154" t="n">
        <v>1</v>
      </c>
      <c r="L269" s="115">
        <f>ROUND(I269*8,0)</f>
        <v/>
      </c>
      <c r="M269" s="115">
        <f>ROUND(J269*10,0)</f>
        <v/>
      </c>
    </row>
    <row r="270" ht="15" customHeight="1" s="116">
      <c r="A270" s="128" t="inlineStr">
        <is>
          <t>Osso de Dragao</t>
        </is>
      </c>
      <c r="B270" s="128" t="inlineStr">
        <is>
          <t>Adaga</t>
        </is>
      </c>
      <c r="C270" s="128" t="inlineStr">
        <is>
          <t>Adaga Flamejante Ancestral</t>
        </is>
      </c>
      <c r="D270" s="135" t="inlineStr">
        <is>
          <t>Queimadura</t>
        </is>
      </c>
      <c r="E270" s="128" t="inlineStr">
        <is>
          <t>Corta e queima ao mesmo tempo — o ferimento arde por mais tempo que devia.</t>
        </is>
      </c>
      <c r="F270" s="128">
        <f>INDEX(Tiers!$G$9:$G$22,MATCH($A270,Tiers!$B$9:$B$22,0))</f>
        <v/>
      </c>
      <c r="G270" s="128">
        <f>INDEX(Tiers!$H$9:$H$22,MATCH($A270,Tiers!$B$9:$B$22,0))</f>
        <v/>
      </c>
      <c r="H270" s="128">
        <f>INDEX($B$5:$B$11,MATCH($B270,$A$5:$A$11,0))</f>
        <v/>
      </c>
      <c r="I270" s="153">
        <f>ROUND(F270*H270*K270,0)</f>
        <v/>
      </c>
      <c r="J270" s="153">
        <f>ROUND(G270*H270*K270,0)</f>
        <v/>
      </c>
      <c r="K270" s="154" t="n">
        <v>0.9399999999999999</v>
      </c>
      <c r="L270" s="115">
        <f>ROUND(I270*8,0)</f>
        <v/>
      </c>
      <c r="M270" s="115">
        <f>ROUND(J270*10,0)</f>
        <v/>
      </c>
    </row>
    <row r="271" ht="15" customHeight="1" s="116">
      <c r="A271" s="128" t="inlineStr">
        <is>
          <t>Osso de Dragao</t>
        </is>
      </c>
      <c r="B271" s="128" t="inlineStr">
        <is>
          <t>Adaga</t>
        </is>
      </c>
      <c r="C271" s="128" t="inlineStr">
        <is>
          <t>Adaga de Escama Draconiana</t>
        </is>
      </c>
      <c r="D271" s="135" t="n"/>
      <c r="E271" s="128" t="inlineStr">
        <is>
          <t>Reforçada com escama — mais afiada do que qualquer metal comum.</t>
        </is>
      </c>
      <c r="F271" s="128">
        <f>INDEX(Tiers!$G$9:$G$22,MATCH($A271,Tiers!$B$9:$B$22,0))</f>
        <v/>
      </c>
      <c r="G271" s="128">
        <f>INDEX(Tiers!$H$9:$H$22,MATCH($A271,Tiers!$B$9:$B$22,0))</f>
        <v/>
      </c>
      <c r="H271" s="128">
        <f>INDEX($B$5:$B$11,MATCH($B271,$A$5:$A$11,0))</f>
        <v/>
      </c>
      <c r="I271" s="153">
        <f>ROUND(F271*H271*K271,0)</f>
        <v/>
      </c>
      <c r="J271" s="153">
        <f>ROUND(G271*H271*K271,0)</f>
        <v/>
      </c>
      <c r="K271" s="154" t="n">
        <v>1</v>
      </c>
      <c r="L271" s="115">
        <f>ROUND(I271*8,0)</f>
        <v/>
      </c>
      <c r="M271" s="115">
        <f>ROUND(J271*10,0)</f>
        <v/>
      </c>
    </row>
    <row r="272" ht="15" customHeight="1" s="116">
      <c r="A272" s="128" t="inlineStr">
        <is>
          <t>Osso de Dragao</t>
        </is>
      </c>
      <c r="B272" s="128" t="inlineStr">
        <is>
          <t>Maca</t>
        </is>
      </c>
      <c r="C272" s="128" t="inlineStr">
        <is>
          <t>Maça de Osso de Dragão</t>
        </is>
      </c>
      <c r="D272" s="135" t="n"/>
      <c r="E272" s="128" t="inlineStr">
        <is>
          <t>Cabeça densa, talhada em osso ancestral — pesa mais do que parece.</t>
        </is>
      </c>
      <c r="F272" s="128">
        <f>INDEX(Tiers!$G$9:$G$22,MATCH($A272,Tiers!$B$9:$B$22,0))</f>
        <v/>
      </c>
      <c r="G272" s="128">
        <f>INDEX(Tiers!$H$9:$H$22,MATCH($A272,Tiers!$B$9:$B$22,0))</f>
        <v/>
      </c>
      <c r="H272" s="128">
        <f>INDEX($B$5:$B$11,MATCH($B272,$A$5:$A$11,0))</f>
        <v/>
      </c>
      <c r="I272" s="153">
        <f>ROUND(F272*H272*K272,0)</f>
        <v/>
      </c>
      <c r="J272" s="153">
        <f>ROUND(G272*H272*K272,0)</f>
        <v/>
      </c>
      <c r="K272" s="154" t="n">
        <v>1</v>
      </c>
      <c r="L272" s="115">
        <f>ROUND(I272*8,0)</f>
        <v/>
      </c>
      <c r="M272" s="115">
        <f>ROUND(J272*10,0)</f>
        <v/>
      </c>
    </row>
    <row r="273" ht="15" customHeight="1" s="116">
      <c r="A273" s="128" t="inlineStr">
        <is>
          <t>Osso de Dragao</t>
        </is>
      </c>
      <c r="B273" s="128" t="inlineStr">
        <is>
          <t>Maca</t>
        </is>
      </c>
      <c r="C273" s="128" t="inlineStr">
        <is>
          <t>Maça Flamejante Ancestral</t>
        </is>
      </c>
      <c r="D273" s="135" t="inlineStr">
        <is>
          <t>Queimadura</t>
        </is>
      </c>
      <c r="E273" s="128" t="inlineStr">
        <is>
          <t>Ainda quente ao toque, meses depois de forjada.</t>
        </is>
      </c>
      <c r="F273" s="128">
        <f>INDEX(Tiers!$G$9:$G$22,MATCH($A273,Tiers!$B$9:$B$22,0))</f>
        <v/>
      </c>
      <c r="G273" s="128">
        <f>INDEX(Tiers!$H$9:$H$22,MATCH($A273,Tiers!$B$9:$B$22,0))</f>
        <v/>
      </c>
      <c r="H273" s="128">
        <f>INDEX($B$5:$B$11,MATCH($B273,$A$5:$A$11,0))</f>
        <v/>
      </c>
      <c r="I273" s="153">
        <f>ROUND(F273*H273*K273,0)</f>
        <v/>
      </c>
      <c r="J273" s="153">
        <f>ROUND(G273*H273*K273,0)</f>
        <v/>
      </c>
      <c r="K273" s="154" t="n">
        <v>0.96</v>
      </c>
      <c r="L273" s="115">
        <f>ROUND(I273*8,0)</f>
        <v/>
      </c>
      <c r="M273" s="115">
        <f>ROUND(J273*10,0)</f>
        <v/>
      </c>
    </row>
    <row r="274" ht="15" customHeight="1" s="116">
      <c r="A274" s="128" t="inlineStr">
        <is>
          <t>Osso de Dragao</t>
        </is>
      </c>
      <c r="B274" s="128" t="inlineStr">
        <is>
          <t>Maca</t>
        </is>
      </c>
      <c r="C274" s="128" t="inlineStr">
        <is>
          <t>Maça de Escama Draconiana</t>
        </is>
      </c>
      <c r="D274" s="135" t="n"/>
      <c r="E274" s="128" t="inlineStr">
        <is>
          <t>Reforçada com placas de escama sobrepostas.</t>
        </is>
      </c>
      <c r="F274" s="128">
        <f>INDEX(Tiers!$G$9:$G$22,MATCH($A274,Tiers!$B$9:$B$22,0))</f>
        <v/>
      </c>
      <c r="G274" s="128">
        <f>INDEX(Tiers!$H$9:$H$22,MATCH($A274,Tiers!$B$9:$B$22,0))</f>
        <v/>
      </c>
      <c r="H274" s="128">
        <f>INDEX($B$5:$B$11,MATCH($B274,$A$5:$A$11,0))</f>
        <v/>
      </c>
      <c r="I274" s="153">
        <f>ROUND(F274*H274*K274,0)</f>
        <v/>
      </c>
      <c r="J274" s="153">
        <f>ROUND(G274*H274*K274,0)</f>
        <v/>
      </c>
      <c r="K274" s="154" t="n">
        <v>1</v>
      </c>
      <c r="L274" s="115">
        <f>ROUND(I274*8,0)</f>
        <v/>
      </c>
      <c r="M274" s="115">
        <f>ROUND(J274*10,0)</f>
        <v/>
      </c>
    </row>
    <row r="275" ht="15" customHeight="1" s="116">
      <c r="A275" s="128" t="inlineStr">
        <is>
          <t>Osso de Dragao</t>
        </is>
      </c>
      <c r="B275" s="128" t="inlineStr">
        <is>
          <t>Manopla</t>
        </is>
      </c>
      <c r="C275" s="128" t="inlineStr">
        <is>
          <t>Manopla de Osso de Dragão</t>
        </is>
      </c>
      <c r="D275" s="135" t="n"/>
      <c r="E275" s="128" t="inlineStr">
        <is>
          <t>Nós reforçados com fragmentos de osso ancestral.</t>
        </is>
      </c>
      <c r="F275" s="128">
        <f>INDEX(Tiers!$G$9:$G$22,MATCH($A275,Tiers!$B$9:$B$22,0))</f>
        <v/>
      </c>
      <c r="G275" s="128">
        <f>INDEX(Tiers!$H$9:$H$22,MATCH($A275,Tiers!$B$9:$B$22,0))</f>
        <v/>
      </c>
      <c r="H275" s="128">
        <f>INDEX($B$5:$B$11,MATCH($B275,$A$5:$A$11,0))</f>
        <v/>
      </c>
      <c r="I275" s="153">
        <f>ROUND(F275*H275*K275,0)</f>
        <v/>
      </c>
      <c r="J275" s="153">
        <f>ROUND(G275*H275*K275,0)</f>
        <v/>
      </c>
      <c r="K275" s="154" t="n">
        <v>1</v>
      </c>
      <c r="L275" s="115">
        <f>ROUND(I275*8,0)</f>
        <v/>
      </c>
      <c r="M275" s="115">
        <f>ROUND(J275*10,0)</f>
        <v/>
      </c>
    </row>
    <row r="276" ht="15" customHeight="1" s="116">
      <c r="A276" s="128" t="inlineStr">
        <is>
          <t>Osso de Dragao</t>
        </is>
      </c>
      <c r="B276" s="128" t="inlineStr">
        <is>
          <t>Manopla</t>
        </is>
      </c>
      <c r="C276" s="128" t="inlineStr">
        <is>
          <t>Manopla Flamejante Ancestral</t>
        </is>
      </c>
      <c r="D276" s="135" t="inlineStr">
        <is>
          <t>Queimadura</t>
        </is>
      </c>
      <c r="E276" s="128" t="inlineStr">
        <is>
          <t>Cada soco deixa uma marca de queimadura leve — mesmo sem fogo visível.</t>
        </is>
      </c>
      <c r="F276" s="128">
        <f>INDEX(Tiers!$G$9:$G$22,MATCH($A276,Tiers!$B$9:$B$22,0))</f>
        <v/>
      </c>
      <c r="G276" s="128">
        <f>INDEX(Tiers!$H$9:$H$22,MATCH($A276,Tiers!$B$9:$B$22,0))</f>
        <v/>
      </c>
      <c r="H276" s="128">
        <f>INDEX($B$5:$B$11,MATCH($B276,$A$5:$A$11,0))</f>
        <v/>
      </c>
      <c r="I276" s="153">
        <f>ROUND(F276*H276*K276,0)</f>
        <v/>
      </c>
      <c r="J276" s="153">
        <f>ROUND(G276*H276*K276,0)</f>
        <v/>
      </c>
      <c r="K276" s="154" t="n">
        <v>0.97</v>
      </c>
      <c r="L276" s="115">
        <f>ROUND(I276*8,0)</f>
        <v/>
      </c>
      <c r="M276" s="115">
        <f>ROUND(J276*10,0)</f>
        <v/>
      </c>
    </row>
    <row r="277" ht="15" customHeight="1" s="116">
      <c r="A277" s="128" t="inlineStr">
        <is>
          <t>Osso de Dragao</t>
        </is>
      </c>
      <c r="B277" s="128" t="inlineStr">
        <is>
          <t>Cetro</t>
        </is>
      </c>
      <c r="C277" s="128" t="inlineStr">
        <is>
          <t>Cetro de Osso de Dragão</t>
        </is>
      </c>
      <c r="D277" s="135" t="n"/>
      <c r="E277" s="128" t="inlineStr">
        <is>
          <t>Vara de osso ancestral, cristal embutido na ponta.</t>
        </is>
      </c>
      <c r="F277" s="128">
        <f>INDEX(Tiers!$G$9:$G$22,MATCH($A277,Tiers!$B$9:$B$22,0))</f>
        <v/>
      </c>
      <c r="G277" s="128">
        <f>INDEX(Tiers!$H$9:$H$22,MATCH($A277,Tiers!$B$9:$B$22,0))</f>
        <v/>
      </c>
      <c r="H277" s="128">
        <f>INDEX($B$5:$B$11,MATCH($B277,$A$5:$A$11,0))</f>
        <v/>
      </c>
      <c r="I277" s="153">
        <f>ROUND(F277*H277*K277,0)</f>
        <v/>
      </c>
      <c r="J277" s="153">
        <f>ROUND(G277*H277*K277,0)</f>
        <v/>
      </c>
      <c r="K277" s="154" t="n">
        <v>1</v>
      </c>
      <c r="L277" s="115">
        <f>ROUND(I277*8,0)</f>
        <v/>
      </c>
      <c r="M277" s="115">
        <f>ROUND(J277*10,0)</f>
        <v/>
      </c>
    </row>
    <row r="278" ht="15" customHeight="1" s="116">
      <c r="A278" s="128" t="inlineStr">
        <is>
          <t>Osso de Dragao</t>
        </is>
      </c>
      <c r="B278" s="128" t="inlineStr">
        <is>
          <t>Cetro</t>
        </is>
      </c>
      <c r="C278" s="128" t="inlineStr">
        <is>
          <t>Cetro do Fogo Ancestral</t>
        </is>
      </c>
      <c r="D278" s="135" t="n"/>
      <c r="E278" s="128" t="inlineStr">
        <is>
          <t>Canaliza um calor que nunca chega a se apagar de verdade.</t>
        </is>
      </c>
      <c r="F278" s="128">
        <f>INDEX(Tiers!$G$9:$G$22,MATCH($A278,Tiers!$B$9:$B$22,0))</f>
        <v/>
      </c>
      <c r="G278" s="128">
        <f>INDEX(Tiers!$H$9:$H$22,MATCH($A278,Tiers!$B$9:$B$22,0))</f>
        <v/>
      </c>
      <c r="H278" s="128">
        <f>INDEX($B$5:$B$11,MATCH($B278,$A$5:$A$11,0))</f>
        <v/>
      </c>
      <c r="I278" s="153">
        <f>ROUND(F278*H278*K278,0)</f>
        <v/>
      </c>
      <c r="J278" s="153">
        <f>ROUND(G278*H278*K278,0)</f>
        <v/>
      </c>
      <c r="K278" s="154" t="n">
        <v>1.07</v>
      </c>
      <c r="L278" s="115">
        <f>ROUND(I278*8,0)</f>
        <v/>
      </c>
      <c r="M278" s="115">
        <f>ROUND(J278*10,0)</f>
        <v/>
      </c>
    </row>
    <row r="279" ht="15" customHeight="1" s="116">
      <c r="A279" s="128" t="inlineStr">
        <is>
          <t>Pacto Daedrico</t>
        </is>
      </c>
      <c r="B279" s="128" t="inlineStr">
        <is>
          <t>Espada</t>
        </is>
      </c>
      <c r="C279" s="128" t="inlineStr">
        <is>
          <t>Espada Daédrica</t>
        </is>
      </c>
      <c r="D279" s="135" t="n"/>
      <c r="E279" s="128" t="inlineStr">
        <is>
          <t>Metal negro com veios carmesins pulsantes — sussurra no ouvido do ferreiro durante a forja.</t>
        </is>
      </c>
      <c r="F279" s="128">
        <f>INDEX(Tiers!$G$9:$G$22,MATCH($A279,Tiers!$B$9:$B$22,0))</f>
        <v/>
      </c>
      <c r="G279" s="128">
        <f>INDEX(Tiers!$H$9:$H$22,MATCH($A279,Tiers!$B$9:$B$22,0))</f>
        <v/>
      </c>
      <c r="H279" s="128">
        <f>INDEX($B$5:$B$11,MATCH($B279,$A$5:$A$11,0))</f>
        <v/>
      </c>
      <c r="I279" s="153">
        <f>ROUND(F279*H279*K279,0)</f>
        <v/>
      </c>
      <c r="J279" s="153">
        <f>ROUND(G279*H279*K279,0)</f>
        <v/>
      </c>
      <c r="K279" s="154" t="n">
        <v>1</v>
      </c>
      <c r="L279" s="115">
        <f>ROUND(I279*8,0)</f>
        <v/>
      </c>
      <c r="M279" s="115">
        <f>ROUND(J279*10,0)</f>
        <v/>
      </c>
    </row>
    <row r="280" ht="15" customHeight="1" s="116">
      <c r="A280" s="128" t="inlineStr">
        <is>
          <t>Pacto Daedrico</t>
        </is>
      </c>
      <c r="B280" s="128" t="inlineStr">
        <is>
          <t>Espada</t>
        </is>
      </c>
      <c r="C280" s="128" t="inlineStr">
        <is>
          <t>Espada do Pacto de Sangue</t>
        </is>
      </c>
      <c r="D280" s="135" t="inlineStr">
        <is>
          <t>Rouba Vida</t>
        </is>
      </c>
      <c r="E280" s="128" t="inlineStr">
        <is>
          <t>Cura quem a empunha, mas custa um pouco de vida a cada uso — o pacto sempre cobra algo.</t>
        </is>
      </c>
      <c r="F280" s="128">
        <f>INDEX(Tiers!$G$9:$G$22,MATCH($A280,Tiers!$B$9:$B$22,0))</f>
        <v/>
      </c>
      <c r="G280" s="128">
        <f>INDEX(Tiers!$H$9:$H$22,MATCH($A280,Tiers!$B$9:$B$22,0))</f>
        <v/>
      </c>
      <c r="H280" s="128">
        <f>INDEX($B$5:$B$11,MATCH($B280,$A$5:$A$11,0))</f>
        <v/>
      </c>
      <c r="I280" s="153">
        <f>ROUND(F280*H280*K280,0)</f>
        <v/>
      </c>
      <c r="J280" s="153">
        <f>ROUND(G280*H280*K280,0)</f>
        <v/>
      </c>
      <c r="K280" s="154" t="n">
        <v>0.95</v>
      </c>
      <c r="L280" s="115">
        <f>ROUND(I280*8,0)</f>
        <v/>
      </c>
      <c r="M280" s="115">
        <f>ROUND(J280*10,0)</f>
        <v/>
      </c>
    </row>
    <row r="281" ht="15" customHeight="1" s="116">
      <c r="A281" s="128" t="inlineStr">
        <is>
          <t>Pacto Daedrico</t>
        </is>
      </c>
      <c r="B281" s="128" t="inlineStr">
        <is>
          <t>Espada</t>
        </is>
      </c>
      <c r="C281" s="128" t="inlineStr">
        <is>
          <t>Espada Ritual do Círculo</t>
        </is>
      </c>
      <c r="D281" s="135" t="n"/>
      <c r="E281" s="128" t="inlineStr">
        <is>
          <t>Usada em rituais de sangue antes de ser usada em combate.</t>
        </is>
      </c>
      <c r="F281" s="128">
        <f>INDEX(Tiers!$G$9:$G$22,MATCH($A281,Tiers!$B$9:$B$22,0))</f>
        <v/>
      </c>
      <c r="G281" s="128">
        <f>INDEX(Tiers!$H$9:$H$22,MATCH($A281,Tiers!$B$9:$B$22,0))</f>
        <v/>
      </c>
      <c r="H281" s="128">
        <f>INDEX($B$5:$B$11,MATCH($B281,$A$5:$A$11,0))</f>
        <v/>
      </c>
      <c r="I281" s="153">
        <f>ROUND(F281*H281*K281,0)</f>
        <v/>
      </c>
      <c r="J281" s="153">
        <f>ROUND(G281*H281*K281,0)</f>
        <v/>
      </c>
      <c r="K281" s="154" t="n">
        <v>1</v>
      </c>
      <c r="L281" s="115">
        <f>ROUND(I281*8,0)</f>
        <v/>
      </c>
      <c r="M281" s="115">
        <f>ROUND(J281*10,0)</f>
        <v/>
      </c>
    </row>
    <row r="282" ht="15" customHeight="1" s="116">
      <c r="A282" s="128" t="inlineStr">
        <is>
          <t>Pacto Daedrico</t>
        </is>
      </c>
      <c r="B282" s="128" t="inlineStr">
        <is>
          <t>Espada</t>
        </is>
      </c>
      <c r="C282" s="128" t="inlineStr">
        <is>
          <t>Espada Sussurrante do Pacto</t>
        </is>
      </c>
      <c r="D282" s="135" t="n"/>
      <c r="E282" s="128" t="inlineStr">
        <is>
          <t>Ninguém consegue explicar direito o que ela sussurra — só que nunca para.</t>
        </is>
      </c>
      <c r="F282" s="128">
        <f>INDEX(Tiers!$G$9:$G$22,MATCH($A282,Tiers!$B$9:$B$22,0))</f>
        <v/>
      </c>
      <c r="G282" s="128">
        <f>INDEX(Tiers!$H$9:$H$22,MATCH($A282,Tiers!$B$9:$B$22,0))</f>
        <v/>
      </c>
      <c r="H282" s="128">
        <f>INDEX($B$5:$B$11,MATCH($B282,$A$5:$A$11,0))</f>
        <v/>
      </c>
      <c r="I282" s="153">
        <f>ROUND(F282*H282*K282,0)</f>
        <v/>
      </c>
      <c r="J282" s="153">
        <f>ROUND(G282*H282*K282,0)</f>
        <v/>
      </c>
      <c r="K282" s="154" t="n">
        <v>1</v>
      </c>
      <c r="L282" s="115">
        <f>ROUND(I282*8,0)</f>
        <v/>
      </c>
      <c r="M282" s="115">
        <f>ROUND(J282*10,0)</f>
        <v/>
      </c>
    </row>
    <row r="283" ht="15" customHeight="1" s="116">
      <c r="A283" s="128" t="inlineStr">
        <is>
          <t>Pacto Daedrico</t>
        </is>
      </c>
      <c r="B283" s="128" t="inlineStr">
        <is>
          <t>Machado</t>
        </is>
      </c>
      <c r="C283" s="128" t="inlineStr">
        <is>
          <t>Machado Daédrico</t>
        </is>
      </c>
      <c r="D283" s="135" t="n"/>
      <c r="E283" s="128" t="inlineStr">
        <is>
          <t>Pesado, escuro, forjado nos Altares de Sangue do Círculo.</t>
        </is>
      </c>
      <c r="F283" s="128">
        <f>INDEX(Tiers!$G$9:$G$22,MATCH($A283,Tiers!$B$9:$B$22,0))</f>
        <v/>
      </c>
      <c r="G283" s="128">
        <f>INDEX(Tiers!$H$9:$H$22,MATCH($A283,Tiers!$B$9:$B$22,0))</f>
        <v/>
      </c>
      <c r="H283" s="128">
        <f>INDEX($B$5:$B$11,MATCH($B283,$A$5:$A$11,0))</f>
        <v/>
      </c>
      <c r="I283" s="153">
        <f>ROUND(F283*H283*K283,0)</f>
        <v/>
      </c>
      <c r="J283" s="153">
        <f>ROUND(G283*H283*K283,0)</f>
        <v/>
      </c>
      <c r="K283" s="154" t="n">
        <v>1</v>
      </c>
      <c r="L283" s="115">
        <f>ROUND(I283*8,0)</f>
        <v/>
      </c>
      <c r="M283" s="115">
        <f>ROUND(J283*10,0)</f>
        <v/>
      </c>
    </row>
    <row r="284" ht="15" customHeight="1" s="116">
      <c r="A284" s="128" t="inlineStr">
        <is>
          <t>Pacto Daedrico</t>
        </is>
      </c>
      <c r="B284" s="128" t="inlineStr">
        <is>
          <t>Machado</t>
        </is>
      </c>
      <c r="C284" s="128" t="inlineStr">
        <is>
          <t>Machado do Sacrifício</t>
        </is>
      </c>
      <c r="D284" s="135" t="inlineStr">
        <is>
          <t>Rouba Vida</t>
        </is>
      </c>
      <c r="E284" s="128" t="inlineStr">
        <is>
          <t>Devolve parte do dano causado como cura — a um custo pequeno de vida do usuário.</t>
        </is>
      </c>
      <c r="F284" s="128">
        <f>INDEX(Tiers!$G$9:$G$22,MATCH($A284,Tiers!$B$9:$B$22,0))</f>
        <v/>
      </c>
      <c r="G284" s="128">
        <f>INDEX(Tiers!$H$9:$H$22,MATCH($A284,Tiers!$B$9:$B$22,0))</f>
        <v/>
      </c>
      <c r="H284" s="128">
        <f>INDEX($B$5:$B$11,MATCH($B284,$A$5:$A$11,0))</f>
        <v/>
      </c>
      <c r="I284" s="153">
        <f>ROUND(F284*H284*K284,0)</f>
        <v/>
      </c>
      <c r="J284" s="153">
        <f>ROUND(G284*H284*K284,0)</f>
        <v/>
      </c>
      <c r="K284" s="154" t="n">
        <v>0.96</v>
      </c>
      <c r="L284" s="115">
        <f>ROUND(I284*8,0)</f>
        <v/>
      </c>
      <c r="M284" s="115">
        <f>ROUND(J284*10,0)</f>
        <v/>
      </c>
    </row>
    <row r="285" ht="15" customHeight="1" s="116">
      <c r="A285" s="128" t="inlineStr">
        <is>
          <t>Pacto Daedrico</t>
        </is>
      </c>
      <c r="B285" s="128" t="inlineStr">
        <is>
          <t>Machado</t>
        </is>
      </c>
      <c r="C285" s="128" t="inlineStr">
        <is>
          <t>Machado Ritual do Círculo</t>
        </is>
      </c>
      <c r="D285" s="135" t="n"/>
      <c r="E285" s="128" t="inlineStr">
        <is>
          <t>Consagrado nos altares antes de qualquer uso em combate.</t>
        </is>
      </c>
      <c r="F285" s="128">
        <f>INDEX(Tiers!$G$9:$G$22,MATCH($A285,Tiers!$B$9:$B$22,0))</f>
        <v/>
      </c>
      <c r="G285" s="128">
        <f>INDEX(Tiers!$H$9:$H$22,MATCH($A285,Tiers!$B$9:$B$22,0))</f>
        <v/>
      </c>
      <c r="H285" s="128">
        <f>INDEX($B$5:$B$11,MATCH($B285,$A$5:$A$11,0))</f>
        <v/>
      </c>
      <c r="I285" s="153">
        <f>ROUND(F285*H285*K285,0)</f>
        <v/>
      </c>
      <c r="J285" s="153">
        <f>ROUND(G285*H285*K285,0)</f>
        <v/>
      </c>
      <c r="K285" s="154" t="n">
        <v>1</v>
      </c>
      <c r="L285" s="115">
        <f>ROUND(I285*8,0)</f>
        <v/>
      </c>
      <c r="M285" s="115">
        <f>ROUND(J285*10,0)</f>
        <v/>
      </c>
    </row>
    <row r="286" ht="15" customHeight="1" s="116">
      <c r="A286" s="128" t="inlineStr">
        <is>
          <t>Pacto Daedrico</t>
        </is>
      </c>
      <c r="B286" s="128" t="inlineStr">
        <is>
          <t>Machado</t>
        </is>
      </c>
      <c r="C286" s="128" t="inlineStr">
        <is>
          <t>Machado do Altar de Sangue</t>
        </is>
      </c>
      <c r="D286" s="135" t="n"/>
      <c r="E286" s="128" t="inlineStr">
        <is>
          <t>Já testemunhou mais rituais do que qualquer sacerdote vivo.</t>
        </is>
      </c>
      <c r="F286" s="128">
        <f>INDEX(Tiers!$G$9:$G$22,MATCH($A286,Tiers!$B$9:$B$22,0))</f>
        <v/>
      </c>
      <c r="G286" s="128">
        <f>INDEX(Tiers!$H$9:$H$22,MATCH($A286,Tiers!$B$9:$B$22,0))</f>
        <v/>
      </c>
      <c r="H286" s="128">
        <f>INDEX($B$5:$B$11,MATCH($B286,$A$5:$A$11,0))</f>
        <v/>
      </c>
      <c r="I286" s="153">
        <f>ROUND(F286*H286*K286,0)</f>
        <v/>
      </c>
      <c r="J286" s="153">
        <f>ROUND(G286*H286*K286,0)</f>
        <v/>
      </c>
      <c r="K286" s="154" t="n">
        <v>1</v>
      </c>
      <c r="L286" s="115">
        <f>ROUND(I286*8,0)</f>
        <v/>
      </c>
      <c r="M286" s="115">
        <f>ROUND(J286*10,0)</f>
        <v/>
      </c>
    </row>
    <row r="287" ht="15" customHeight="1" s="116">
      <c r="A287" s="128" t="inlineStr">
        <is>
          <t>Pacto Daedrico</t>
        </is>
      </c>
      <c r="B287" s="128" t="inlineStr">
        <is>
          <t>Arco</t>
        </is>
      </c>
      <c r="C287" s="128" t="inlineStr">
        <is>
          <t>Arco Daédrico</t>
        </is>
      </c>
      <c r="D287" s="135" t="n"/>
      <c r="E287" s="128" t="inlineStr">
        <is>
          <t>Corda escura, quase invisível na penumbra do Círculo Ritualístico.</t>
        </is>
      </c>
      <c r="F287" s="128">
        <f>INDEX(Tiers!$G$9:$G$22,MATCH($A287,Tiers!$B$9:$B$22,0))</f>
        <v/>
      </c>
      <c r="G287" s="128">
        <f>INDEX(Tiers!$H$9:$H$22,MATCH($A287,Tiers!$B$9:$B$22,0))</f>
        <v/>
      </c>
      <c r="H287" s="128">
        <f>INDEX($B$5:$B$11,MATCH($B287,$A$5:$A$11,0))</f>
        <v/>
      </c>
      <c r="I287" s="153">
        <f>ROUND(F287*H287*K287,0)</f>
        <v/>
      </c>
      <c r="J287" s="153">
        <f>ROUND(G287*H287*K287,0)</f>
        <v/>
      </c>
      <c r="K287" s="154" t="n">
        <v>1</v>
      </c>
      <c r="L287" s="115">
        <f>ROUND(I287*8,0)</f>
        <v/>
      </c>
      <c r="M287" s="115">
        <f>ROUND(J287*10,0)</f>
        <v/>
      </c>
    </row>
    <row r="288" ht="15" customHeight="1" s="116">
      <c r="A288" s="128" t="inlineStr">
        <is>
          <t>Pacto Daedrico</t>
        </is>
      </c>
      <c r="B288" s="128" t="inlineStr">
        <is>
          <t>Arco</t>
        </is>
      </c>
      <c r="C288" s="128" t="inlineStr">
        <is>
          <t>Arco do Pacto</t>
        </is>
      </c>
      <c r="D288" s="135" t="n"/>
      <c r="E288" s="128" t="inlineStr">
        <is>
          <t>Flechas que ele dispara saem levemente escuras, como manchadas de sombra.</t>
        </is>
      </c>
      <c r="F288" s="128">
        <f>INDEX(Tiers!$G$9:$G$22,MATCH($A288,Tiers!$B$9:$B$22,0))</f>
        <v/>
      </c>
      <c r="G288" s="128">
        <f>INDEX(Tiers!$H$9:$H$22,MATCH($A288,Tiers!$B$9:$B$22,0))</f>
        <v/>
      </c>
      <c r="H288" s="128">
        <f>INDEX($B$5:$B$11,MATCH($B288,$A$5:$A$11,0))</f>
        <v/>
      </c>
      <c r="I288" s="153">
        <f>ROUND(F288*H288*K288,0)</f>
        <v/>
      </c>
      <c r="J288" s="153">
        <f>ROUND(G288*H288*K288,0)</f>
        <v/>
      </c>
      <c r="K288" s="154" t="n">
        <v>1</v>
      </c>
      <c r="L288" s="115">
        <f>ROUND(I288*8,0)</f>
        <v/>
      </c>
      <c r="M288" s="115">
        <f>ROUND(J288*10,0)</f>
        <v/>
      </c>
    </row>
    <row r="289" ht="15" customHeight="1" s="116">
      <c r="A289" s="128" t="inlineStr">
        <is>
          <t>Pacto Daedrico</t>
        </is>
      </c>
      <c r="B289" s="128" t="inlineStr">
        <is>
          <t>Arco</t>
        </is>
      </c>
      <c r="C289" s="128" t="inlineStr">
        <is>
          <t>Arco Ritual do Círculo</t>
        </is>
      </c>
      <c r="D289" s="135" t="n"/>
      <c r="E289" s="128" t="inlineStr">
        <is>
          <t>Usado nos rituais de sangue antes de ser usado em combate de verdade.</t>
        </is>
      </c>
      <c r="F289" s="128">
        <f>INDEX(Tiers!$G$9:$G$22,MATCH($A289,Tiers!$B$9:$B$22,0))</f>
        <v/>
      </c>
      <c r="G289" s="128">
        <f>INDEX(Tiers!$H$9:$H$22,MATCH($A289,Tiers!$B$9:$B$22,0))</f>
        <v/>
      </c>
      <c r="H289" s="128">
        <f>INDEX($B$5:$B$11,MATCH($B289,$A$5:$A$11,0))</f>
        <v/>
      </c>
      <c r="I289" s="153">
        <f>ROUND(F289*H289*K289,0)</f>
        <v/>
      </c>
      <c r="J289" s="153">
        <f>ROUND(G289*H289*K289,0)</f>
        <v/>
      </c>
      <c r="K289" s="154" t="n">
        <v>1</v>
      </c>
      <c r="L289" s="115">
        <f>ROUND(I289*8,0)</f>
        <v/>
      </c>
      <c r="M289" s="115">
        <f>ROUND(J289*10,0)</f>
        <v/>
      </c>
    </row>
    <row r="290" ht="15" customHeight="1" s="116">
      <c r="A290" s="128" t="inlineStr">
        <is>
          <t>Pacto Daedrico</t>
        </is>
      </c>
      <c r="B290" s="128" t="inlineStr">
        <is>
          <t>Arco</t>
        </is>
      </c>
      <c r="C290" s="128" t="inlineStr">
        <is>
          <t>Arco Sussurrante do Sacrifício</t>
        </is>
      </c>
      <c r="D290" s="135" t="n"/>
      <c r="E290" s="128" t="inlineStr">
        <is>
          <t>Faz um som baixo antes de cada disparo — quase um pedido.</t>
        </is>
      </c>
      <c r="F290" s="128">
        <f>INDEX(Tiers!$G$9:$G$22,MATCH($A290,Tiers!$B$9:$B$22,0))</f>
        <v/>
      </c>
      <c r="G290" s="128">
        <f>INDEX(Tiers!$H$9:$H$22,MATCH($A290,Tiers!$B$9:$B$22,0))</f>
        <v/>
      </c>
      <c r="H290" s="128">
        <f>INDEX($B$5:$B$11,MATCH($B290,$A$5:$A$11,0))</f>
        <v/>
      </c>
      <c r="I290" s="153">
        <f>ROUND(F290*H290*K290,0)</f>
        <v/>
      </c>
      <c r="J290" s="153">
        <f>ROUND(G290*H290*K290,0)</f>
        <v/>
      </c>
      <c r="K290" s="154" t="n">
        <v>1</v>
      </c>
      <c r="L290" s="115">
        <f>ROUND(I290*8,0)</f>
        <v/>
      </c>
      <c r="M290" s="115">
        <f>ROUND(J290*10,0)</f>
        <v/>
      </c>
    </row>
    <row r="291" ht="15" customHeight="1" s="116">
      <c r="A291" s="128" t="inlineStr">
        <is>
          <t>Pacto Daedrico</t>
        </is>
      </c>
      <c r="B291" s="128" t="inlineStr">
        <is>
          <t>Adaga</t>
        </is>
      </c>
      <c r="C291" s="128" t="inlineStr">
        <is>
          <t>Adaga Daédrica</t>
        </is>
      </c>
      <c r="D291" s="135" t="n"/>
      <c r="E291" s="128" t="inlineStr">
        <is>
          <t>Curta, escura, fria mesmo perto do calor do altar.</t>
        </is>
      </c>
      <c r="F291" s="128">
        <f>INDEX(Tiers!$G$9:$G$22,MATCH($A291,Tiers!$B$9:$B$22,0))</f>
        <v/>
      </c>
      <c r="G291" s="128">
        <f>INDEX(Tiers!$H$9:$H$22,MATCH($A291,Tiers!$B$9:$B$22,0))</f>
        <v/>
      </c>
      <c r="H291" s="128">
        <f>INDEX($B$5:$B$11,MATCH($B291,$A$5:$A$11,0))</f>
        <v/>
      </c>
      <c r="I291" s="153">
        <f>ROUND(F291*H291*K291,0)</f>
        <v/>
      </c>
      <c r="J291" s="153">
        <f>ROUND(G291*H291*K291,0)</f>
        <v/>
      </c>
      <c r="K291" s="154" t="n">
        <v>1</v>
      </c>
      <c r="L291" s="115">
        <f>ROUND(I291*8,0)</f>
        <v/>
      </c>
      <c r="M291" s="115">
        <f>ROUND(J291*10,0)</f>
        <v/>
      </c>
    </row>
    <row r="292" ht="15" customHeight="1" s="116">
      <c r="A292" s="128" t="inlineStr">
        <is>
          <t>Pacto Daedrico</t>
        </is>
      </c>
      <c r="B292" s="128" t="inlineStr">
        <is>
          <t>Adaga</t>
        </is>
      </c>
      <c r="C292" s="128" t="inlineStr">
        <is>
          <t>Adaga do Sacrifício</t>
        </is>
      </c>
      <c r="D292" s="135" t="inlineStr">
        <is>
          <t>Rouba Vida</t>
        </is>
      </c>
      <c r="E292" s="128" t="inlineStr">
        <is>
          <t>Usada em rituais de sangue — cura quem a empunha, a um custo pequeno.</t>
        </is>
      </c>
      <c r="F292" s="128">
        <f>INDEX(Tiers!$G$9:$G$22,MATCH($A292,Tiers!$B$9:$B$22,0))</f>
        <v/>
      </c>
      <c r="G292" s="128">
        <f>INDEX(Tiers!$H$9:$H$22,MATCH($A292,Tiers!$B$9:$B$22,0))</f>
        <v/>
      </c>
      <c r="H292" s="128">
        <f>INDEX($B$5:$B$11,MATCH($B292,$A$5:$A$11,0))</f>
        <v/>
      </c>
      <c r="I292" s="153">
        <f>ROUND(F292*H292*K292,0)</f>
        <v/>
      </c>
      <c r="J292" s="153">
        <f>ROUND(G292*H292*K292,0)</f>
        <v/>
      </c>
      <c r="K292" s="154" t="n">
        <v>0.9399999999999999</v>
      </c>
      <c r="L292" s="115">
        <f>ROUND(I292*8,0)</f>
        <v/>
      </c>
      <c r="M292" s="115">
        <f>ROUND(J292*10,0)</f>
        <v/>
      </c>
    </row>
    <row r="293" ht="15" customHeight="1" s="116">
      <c r="A293" s="128" t="inlineStr">
        <is>
          <t>Pacto Daedrico</t>
        </is>
      </c>
      <c r="B293" s="128" t="inlineStr">
        <is>
          <t>Adaga</t>
        </is>
      </c>
      <c r="C293" s="128" t="inlineStr">
        <is>
          <t>Adaga Ritual do Círculo</t>
        </is>
      </c>
      <c r="D293" s="135" t="n"/>
      <c r="E293" s="128" t="inlineStr">
        <is>
          <t>Consagrada nos Altares de Sangue antes de qualquer combate.</t>
        </is>
      </c>
      <c r="F293" s="128">
        <f>INDEX(Tiers!$G$9:$G$22,MATCH($A293,Tiers!$B$9:$B$22,0))</f>
        <v/>
      </c>
      <c r="G293" s="128">
        <f>INDEX(Tiers!$H$9:$H$22,MATCH($A293,Tiers!$B$9:$B$22,0))</f>
        <v/>
      </c>
      <c r="H293" s="128">
        <f>INDEX($B$5:$B$11,MATCH($B293,$A$5:$A$11,0))</f>
        <v/>
      </c>
      <c r="I293" s="153">
        <f>ROUND(F293*H293*K293,0)</f>
        <v/>
      </c>
      <c r="J293" s="153">
        <f>ROUND(G293*H293*K293,0)</f>
        <v/>
      </c>
      <c r="K293" s="154" t="n">
        <v>1</v>
      </c>
      <c r="L293" s="115">
        <f>ROUND(I293*8,0)</f>
        <v/>
      </c>
      <c r="M293" s="115">
        <f>ROUND(J293*10,0)</f>
        <v/>
      </c>
    </row>
    <row r="294" ht="15" customHeight="1" s="116">
      <c r="A294" s="128" t="inlineStr">
        <is>
          <t>Pacto Daedrico</t>
        </is>
      </c>
      <c r="B294" s="128" t="inlineStr">
        <is>
          <t>Maca</t>
        </is>
      </c>
      <c r="C294" s="128" t="inlineStr">
        <is>
          <t>Maça Daédrica</t>
        </is>
      </c>
      <c r="D294" s="135" t="n"/>
      <c r="E294" s="128" t="inlineStr">
        <is>
          <t>Cabeça escura, pesada, veios carmesins visíveis mesmo à distância.</t>
        </is>
      </c>
      <c r="F294" s="128">
        <f>INDEX(Tiers!$G$9:$G$22,MATCH($A294,Tiers!$B$9:$B$22,0))</f>
        <v/>
      </c>
      <c r="G294" s="128">
        <f>INDEX(Tiers!$H$9:$H$22,MATCH($A294,Tiers!$B$9:$B$22,0))</f>
        <v/>
      </c>
      <c r="H294" s="128">
        <f>INDEX($B$5:$B$11,MATCH($B294,$A$5:$A$11,0))</f>
        <v/>
      </c>
      <c r="I294" s="153">
        <f>ROUND(F294*H294*K294,0)</f>
        <v/>
      </c>
      <c r="J294" s="153">
        <f>ROUND(G294*H294*K294,0)</f>
        <v/>
      </c>
      <c r="K294" s="154" t="n">
        <v>1</v>
      </c>
      <c r="L294" s="115">
        <f>ROUND(I294*8,0)</f>
        <v/>
      </c>
      <c r="M294" s="115">
        <f>ROUND(J294*10,0)</f>
        <v/>
      </c>
    </row>
    <row r="295" ht="15" customHeight="1" s="116">
      <c r="A295" s="128" t="inlineStr">
        <is>
          <t>Pacto Daedrico</t>
        </is>
      </c>
      <c r="B295" s="128" t="inlineStr">
        <is>
          <t>Maca</t>
        </is>
      </c>
      <c r="C295" s="128" t="inlineStr">
        <is>
          <t>Maça do Pacto de Sangue</t>
        </is>
      </c>
      <c r="D295" s="135" t="inlineStr">
        <is>
          <t>Rouba Vida</t>
        </is>
      </c>
      <c r="E295" s="128" t="inlineStr">
        <is>
          <t>Cura quem a empunha a cada golpe certeiro — o pacto sempre cobra algo em troca.</t>
        </is>
      </c>
      <c r="F295" s="128">
        <f>INDEX(Tiers!$G$9:$G$22,MATCH($A295,Tiers!$B$9:$B$22,0))</f>
        <v/>
      </c>
      <c r="G295" s="128">
        <f>INDEX(Tiers!$H$9:$H$22,MATCH($A295,Tiers!$B$9:$B$22,0))</f>
        <v/>
      </c>
      <c r="H295" s="128">
        <f>INDEX($B$5:$B$11,MATCH($B295,$A$5:$A$11,0))</f>
        <v/>
      </c>
      <c r="I295" s="153">
        <f>ROUND(F295*H295*K295,0)</f>
        <v/>
      </c>
      <c r="J295" s="153">
        <f>ROUND(G295*H295*K295,0)</f>
        <v/>
      </c>
      <c r="K295" s="154" t="n">
        <v>0.96</v>
      </c>
      <c r="L295" s="115">
        <f>ROUND(I295*8,0)</f>
        <v/>
      </c>
      <c r="M295" s="115">
        <f>ROUND(J295*10,0)</f>
        <v/>
      </c>
    </row>
    <row r="296" ht="15" customHeight="1" s="116">
      <c r="A296" s="128" t="inlineStr">
        <is>
          <t>Pacto Daedrico</t>
        </is>
      </c>
      <c r="B296" s="128" t="inlineStr">
        <is>
          <t>Maca</t>
        </is>
      </c>
      <c r="C296" s="128" t="inlineStr">
        <is>
          <t>Maça Ritual do Círculo</t>
        </is>
      </c>
      <c r="D296" s="135" t="n"/>
      <c r="E296" s="128" t="inlineStr">
        <is>
          <t>Usada em cerimônias antes de qualquer combate de verdade.</t>
        </is>
      </c>
      <c r="F296" s="128">
        <f>INDEX(Tiers!$G$9:$G$22,MATCH($A296,Tiers!$B$9:$B$22,0))</f>
        <v/>
      </c>
      <c r="G296" s="128">
        <f>INDEX(Tiers!$H$9:$H$22,MATCH($A296,Tiers!$B$9:$B$22,0))</f>
        <v/>
      </c>
      <c r="H296" s="128">
        <f>INDEX($B$5:$B$11,MATCH($B296,$A$5:$A$11,0))</f>
        <v/>
      </c>
      <c r="I296" s="153">
        <f>ROUND(F296*H296*K296,0)</f>
        <v/>
      </c>
      <c r="J296" s="153">
        <f>ROUND(G296*H296*K296,0)</f>
        <v/>
      </c>
      <c r="K296" s="154" t="n">
        <v>1</v>
      </c>
      <c r="L296" s="115">
        <f>ROUND(I296*8,0)</f>
        <v/>
      </c>
      <c r="M296" s="115">
        <f>ROUND(J296*10,0)</f>
        <v/>
      </c>
    </row>
    <row r="297" ht="15" customHeight="1" s="116">
      <c r="A297" s="128" t="inlineStr">
        <is>
          <t>Pacto Daedrico</t>
        </is>
      </c>
      <c r="B297" s="128" t="inlineStr">
        <is>
          <t>Manopla</t>
        </is>
      </c>
      <c r="C297" s="128" t="inlineStr">
        <is>
          <t>Manopla Daédrica</t>
        </is>
      </c>
      <c r="D297" s="135" t="n"/>
      <c r="E297" s="128" t="inlineStr">
        <is>
          <t>Nós reforçados com metal escuro, veios carmesins pulsando de leve.</t>
        </is>
      </c>
      <c r="F297" s="128">
        <f>INDEX(Tiers!$G$9:$G$22,MATCH($A297,Tiers!$B$9:$B$22,0))</f>
        <v/>
      </c>
      <c r="G297" s="128">
        <f>INDEX(Tiers!$H$9:$H$22,MATCH($A297,Tiers!$B$9:$B$22,0))</f>
        <v/>
      </c>
      <c r="H297" s="128">
        <f>INDEX($B$5:$B$11,MATCH($B297,$A$5:$A$11,0))</f>
        <v/>
      </c>
      <c r="I297" s="153">
        <f>ROUND(F297*H297*K297,0)</f>
        <v/>
      </c>
      <c r="J297" s="153">
        <f>ROUND(G297*H297*K297,0)</f>
        <v/>
      </c>
      <c r="K297" s="154" t="n">
        <v>1</v>
      </c>
      <c r="L297" s="115">
        <f>ROUND(I297*8,0)</f>
        <v/>
      </c>
      <c r="M297" s="115">
        <f>ROUND(J297*10,0)</f>
        <v/>
      </c>
    </row>
    <row r="298" ht="15" customHeight="1" s="116">
      <c r="A298" s="128" t="inlineStr">
        <is>
          <t>Pacto Daedrico</t>
        </is>
      </c>
      <c r="B298" s="128" t="inlineStr">
        <is>
          <t>Manopla</t>
        </is>
      </c>
      <c r="C298" s="128" t="inlineStr">
        <is>
          <t>Manopla do Sacrifício</t>
        </is>
      </c>
      <c r="D298" s="135" t="inlineStr">
        <is>
          <t>Rouba Vida</t>
        </is>
      </c>
      <c r="E298" s="128" t="inlineStr">
        <is>
          <t>Cada soco devolve um pouco de vida — a um custo pequeno de quem a usa.</t>
        </is>
      </c>
      <c r="F298" s="128">
        <f>INDEX(Tiers!$G$9:$G$22,MATCH($A298,Tiers!$B$9:$B$22,0))</f>
        <v/>
      </c>
      <c r="G298" s="128">
        <f>INDEX(Tiers!$H$9:$H$22,MATCH($A298,Tiers!$B$9:$B$22,0))</f>
        <v/>
      </c>
      <c r="H298" s="128">
        <f>INDEX($B$5:$B$11,MATCH($B298,$A$5:$A$11,0))</f>
        <v/>
      </c>
      <c r="I298" s="153">
        <f>ROUND(F298*H298*K298,0)</f>
        <v/>
      </c>
      <c r="J298" s="153">
        <f>ROUND(G298*H298*K298,0)</f>
        <v/>
      </c>
      <c r="K298" s="154" t="n">
        <v>0.97</v>
      </c>
      <c r="L298" s="115">
        <f>ROUND(I298*8,0)</f>
        <v/>
      </c>
      <c r="M298" s="115">
        <f>ROUND(J298*10,0)</f>
        <v/>
      </c>
    </row>
    <row r="299" ht="15" customHeight="1" s="116">
      <c r="A299" s="128" t="inlineStr">
        <is>
          <t>Pacto Daedrico</t>
        </is>
      </c>
      <c r="B299" s="128" t="inlineStr">
        <is>
          <t>Cetro</t>
        </is>
      </c>
      <c r="C299" s="128" t="inlineStr">
        <is>
          <t>Cetro Daédrico</t>
        </is>
      </c>
      <c r="D299" s="135" t="n"/>
      <c r="E299" s="128" t="inlineStr">
        <is>
          <t>Vara escura, cristal carmesim na ponta, pulsando fraco.</t>
        </is>
      </c>
      <c r="F299" s="128">
        <f>INDEX(Tiers!$G$9:$G$22,MATCH($A299,Tiers!$B$9:$B$22,0))</f>
        <v/>
      </c>
      <c r="G299" s="128">
        <f>INDEX(Tiers!$H$9:$H$22,MATCH($A299,Tiers!$B$9:$B$22,0))</f>
        <v/>
      </c>
      <c r="H299" s="128">
        <f>INDEX($B$5:$B$11,MATCH($B299,$A$5:$A$11,0))</f>
        <v/>
      </c>
      <c r="I299" s="153">
        <f>ROUND(F299*H299*K299,0)</f>
        <v/>
      </c>
      <c r="J299" s="153">
        <f>ROUND(G299*H299*K299,0)</f>
        <v/>
      </c>
      <c r="K299" s="154" t="n">
        <v>1</v>
      </c>
      <c r="L299" s="115">
        <f>ROUND(I299*8,0)</f>
        <v/>
      </c>
      <c r="M299" s="115">
        <f>ROUND(J299*10,0)</f>
        <v/>
      </c>
    </row>
    <row r="300" ht="15" customHeight="1" s="116">
      <c r="A300" s="128" t="inlineStr">
        <is>
          <t>Pacto Daedrico</t>
        </is>
      </c>
      <c r="B300" s="128" t="inlineStr">
        <is>
          <t>Cetro</t>
        </is>
      </c>
      <c r="C300" s="128" t="inlineStr">
        <is>
          <t>Cetro do Círculo Ritualístico</t>
        </is>
      </c>
      <c r="D300" s="135" t="inlineStr">
        <is>
          <t>Ignora Resistência Mágica</t>
        </is>
      </c>
      <c r="E300" s="128" t="inlineStr">
        <is>
          <t>Canaliza magia direto através de qualquer proteção arcana comum.</t>
        </is>
      </c>
      <c r="F300" s="128">
        <f>INDEX(Tiers!$G$9:$G$22,MATCH($A300,Tiers!$B$9:$B$22,0))</f>
        <v/>
      </c>
      <c r="G300" s="128">
        <f>INDEX(Tiers!$H$9:$H$22,MATCH($A300,Tiers!$B$9:$B$22,0))</f>
        <v/>
      </c>
      <c r="H300" s="128">
        <f>INDEX($B$5:$B$11,MATCH($B300,$A$5:$A$11,0))</f>
        <v/>
      </c>
      <c r="I300" s="153">
        <f>ROUND(F300*H300*K300,0)</f>
        <v/>
      </c>
      <c r="J300" s="153">
        <f>ROUND(G300*H300*K300,0)</f>
        <v/>
      </c>
      <c r="K300" s="154" t="n">
        <v>0.9</v>
      </c>
      <c r="L300" s="115">
        <f>ROUND(I300*8,0)</f>
        <v/>
      </c>
      <c r="M300" s="115">
        <f>ROUND(J300*10,0)</f>
        <v/>
      </c>
    </row>
    <row r="301" ht="15" customHeight="1" s="116">
      <c r="A301" s="128" t="inlineStr">
        <is>
          <t>Estelar / Cosmico</t>
        </is>
      </c>
      <c r="B301" s="128" t="inlineStr">
        <is>
          <t>Espada</t>
        </is>
      </c>
      <c r="C301" s="128" t="inlineStr">
        <is>
          <t>Espada Estelar</t>
        </is>
      </c>
      <c r="D301" s="135" t="n"/>
      <c r="E301" s="128" t="inlineStr">
        <is>
          <t>Feita de luz sólida e matéria estelar — distorce o espaço ao redor da lâmina.</t>
        </is>
      </c>
      <c r="F301" s="128">
        <f>INDEX(Tiers!$G$9:$G$22,MATCH($A301,Tiers!$B$9:$B$22,0))</f>
        <v/>
      </c>
      <c r="G301" s="128">
        <f>INDEX(Tiers!$H$9:$H$22,MATCH($A301,Tiers!$B$9:$B$22,0))</f>
        <v/>
      </c>
      <c r="H301" s="128">
        <f>INDEX($B$5:$B$11,MATCH($B301,$A$5:$A$11,0))</f>
        <v/>
      </c>
      <c r="I301" s="153">
        <f>ROUND(F301*H301*K301,0)</f>
        <v/>
      </c>
      <c r="J301" s="153">
        <f>ROUND(G301*H301*K301,0)</f>
        <v/>
      </c>
      <c r="K301" s="154" t="n">
        <v>1</v>
      </c>
      <c r="L301" s="115">
        <f>ROUND(I301*8,0)</f>
        <v/>
      </c>
      <c r="M301" s="115">
        <f>ROUND(J301*10,0)</f>
        <v/>
      </c>
    </row>
    <row r="302" ht="15" customHeight="1" s="116">
      <c r="A302" s="128" t="inlineStr">
        <is>
          <t>Estelar / Cosmico</t>
        </is>
      </c>
      <c r="B302" s="128" t="inlineStr">
        <is>
          <t>Espada</t>
        </is>
      </c>
      <c r="C302" s="128" t="inlineStr">
        <is>
          <t>Espada do Vazio</t>
        </is>
      </c>
      <c r="D302" s="135" t="inlineStr">
        <is>
          <t>Fragilidade</t>
        </is>
      </c>
      <c r="E302" s="128" t="inlineStr">
        <is>
          <t>Existe em várias dimensões ao mesmo tempo — às vezes, esquece de existir na sua mão.</t>
        </is>
      </c>
      <c r="F302" s="128">
        <f>INDEX(Tiers!$G$9:$G$22,MATCH($A302,Tiers!$B$9:$B$22,0))</f>
        <v/>
      </c>
      <c r="G302" s="128">
        <f>INDEX(Tiers!$H$9:$H$22,MATCH($A302,Tiers!$B$9:$B$22,0))</f>
        <v/>
      </c>
      <c r="H302" s="128">
        <f>INDEX($B$5:$B$11,MATCH($B302,$A$5:$A$11,0))</f>
        <v/>
      </c>
      <c r="I302" s="153">
        <f>ROUND(F302*H302*K302,0)</f>
        <v/>
      </c>
      <c r="J302" s="153">
        <f>ROUND(G302*H302*K302,0)</f>
        <v/>
      </c>
      <c r="K302" s="154" t="n">
        <v>1.05</v>
      </c>
      <c r="L302" s="115">
        <f>ROUND(I302*8,0)</f>
        <v/>
      </c>
      <c r="M302" s="115">
        <f>ROUND(J302*10,0)</f>
        <v/>
      </c>
    </row>
    <row r="303" ht="15" customHeight="1" s="116">
      <c r="A303" s="128" t="inlineStr">
        <is>
          <t>Estelar / Cosmico</t>
        </is>
      </c>
      <c r="B303" s="128" t="inlineStr">
        <is>
          <t>Espada</t>
        </is>
      </c>
      <c r="C303" s="128" t="inlineStr">
        <is>
          <t>Espada que Suga a Realidade</t>
        </is>
      </c>
      <c r="D303" s="135" t="inlineStr">
        <is>
          <t>Rouba Vida</t>
        </is>
      </c>
      <c r="E303" s="128" t="inlineStr">
        <is>
          <t>Corta mais do que carne — corta um pouco da própria existência do alvo, e devolve.</t>
        </is>
      </c>
      <c r="F303" s="128">
        <f>INDEX(Tiers!$G$9:$G$22,MATCH($A303,Tiers!$B$9:$B$22,0))</f>
        <v/>
      </c>
      <c r="G303" s="128">
        <f>INDEX(Tiers!$H$9:$H$22,MATCH($A303,Tiers!$B$9:$B$22,0))</f>
        <v/>
      </c>
      <c r="H303" s="128">
        <f>INDEX($B$5:$B$11,MATCH($B303,$A$5:$A$11,0))</f>
        <v/>
      </c>
      <c r="I303" s="153">
        <f>ROUND(F303*H303*K303,0)</f>
        <v/>
      </c>
      <c r="J303" s="153">
        <f>ROUND(G303*H303*K303,0)</f>
        <v/>
      </c>
      <c r="K303" s="154" t="n">
        <v>0.95</v>
      </c>
      <c r="L303" s="115">
        <f>ROUND(I303*8,0)</f>
        <v/>
      </c>
      <c r="M303" s="115">
        <f>ROUND(J303*10,0)</f>
        <v/>
      </c>
    </row>
    <row r="304" ht="15" customHeight="1" s="116">
      <c r="A304" s="128" t="inlineStr">
        <is>
          <t>Estelar / Cosmico</t>
        </is>
      </c>
      <c r="B304" s="128" t="inlineStr">
        <is>
          <t>Espada</t>
        </is>
      </c>
      <c r="C304" s="128" t="inlineStr">
        <is>
          <t>Espada Cósmica Sussurrante</t>
        </is>
      </c>
      <c r="D304" s="135" t="n"/>
      <c r="E304" s="128" t="inlineStr">
        <is>
          <t>Sussurra em uma língua que ninguém no continente já ouviu antes.</t>
        </is>
      </c>
      <c r="F304" s="128">
        <f>INDEX(Tiers!$G$9:$G$22,MATCH($A304,Tiers!$B$9:$B$22,0))</f>
        <v/>
      </c>
      <c r="G304" s="128">
        <f>INDEX(Tiers!$H$9:$H$22,MATCH($A304,Tiers!$B$9:$B$22,0))</f>
        <v/>
      </c>
      <c r="H304" s="128">
        <f>INDEX($B$5:$B$11,MATCH($B304,$A$5:$A$11,0))</f>
        <v/>
      </c>
      <c r="I304" s="153">
        <f>ROUND(F304*H304*K304,0)</f>
        <v/>
      </c>
      <c r="J304" s="153">
        <f>ROUND(G304*H304*K304,0)</f>
        <v/>
      </c>
      <c r="K304" s="154" t="n">
        <v>1</v>
      </c>
      <c r="L304" s="115">
        <f>ROUND(I304*8,0)</f>
        <v/>
      </c>
      <c r="M304" s="115">
        <f>ROUND(J304*10,0)</f>
        <v/>
      </c>
    </row>
    <row r="305" ht="15" customHeight="1" s="116">
      <c r="A305" s="128" t="inlineStr">
        <is>
          <t>Estelar / Cosmico</t>
        </is>
      </c>
      <c r="B305" s="128" t="inlineStr">
        <is>
          <t>Machado</t>
        </is>
      </c>
      <c r="C305" s="128" t="inlineStr">
        <is>
          <t>Machado Estelar</t>
        </is>
      </c>
      <c r="D305" s="135" t="n"/>
      <c r="E305" s="128" t="inlineStr">
        <is>
          <t>Pesado com o peso de uma estrela morta condensada na cabeça.</t>
        </is>
      </c>
      <c r="F305" s="128">
        <f>INDEX(Tiers!$G$9:$G$22,MATCH($A305,Tiers!$B$9:$B$22,0))</f>
        <v/>
      </c>
      <c r="G305" s="128">
        <f>INDEX(Tiers!$H$9:$H$22,MATCH($A305,Tiers!$B$9:$B$22,0))</f>
        <v/>
      </c>
      <c r="H305" s="128">
        <f>INDEX($B$5:$B$11,MATCH($B305,$A$5:$A$11,0))</f>
        <v/>
      </c>
      <c r="I305" s="153">
        <f>ROUND(F305*H305*K305,0)</f>
        <v/>
      </c>
      <c r="J305" s="153">
        <f>ROUND(G305*H305*K305,0)</f>
        <v/>
      </c>
      <c r="K305" s="154" t="n">
        <v>1</v>
      </c>
      <c r="L305" s="115">
        <f>ROUND(I305*8,0)</f>
        <v/>
      </c>
      <c r="M305" s="115">
        <f>ROUND(J305*10,0)</f>
        <v/>
      </c>
    </row>
    <row r="306" ht="15" customHeight="1" s="116">
      <c r="A306" s="128" t="inlineStr">
        <is>
          <t>Estelar / Cosmico</t>
        </is>
      </c>
      <c r="B306" s="128" t="inlineStr">
        <is>
          <t>Machado</t>
        </is>
      </c>
      <c r="C306" s="128" t="inlineStr">
        <is>
          <t>Machado do Vazio</t>
        </is>
      </c>
      <c r="D306" s="135" t="inlineStr">
        <is>
          <t>Fragilidade</t>
        </is>
      </c>
      <c r="E306" s="128" t="inlineStr">
        <is>
          <t>A cabeça pisca por um instante a cada golpe forte, como se hesitasse em existir.</t>
        </is>
      </c>
      <c r="F306" s="128">
        <f>INDEX(Tiers!$G$9:$G$22,MATCH($A306,Tiers!$B$9:$B$22,0))</f>
        <v/>
      </c>
      <c r="G306" s="128">
        <f>INDEX(Tiers!$H$9:$H$22,MATCH($A306,Tiers!$B$9:$B$22,0))</f>
        <v/>
      </c>
      <c r="H306" s="128">
        <f>INDEX($B$5:$B$11,MATCH($B306,$A$5:$A$11,0))</f>
        <v/>
      </c>
      <c r="I306" s="153">
        <f>ROUND(F306*H306*K306,0)</f>
        <v/>
      </c>
      <c r="J306" s="153">
        <f>ROUND(G306*H306*K306,0)</f>
        <v/>
      </c>
      <c r="K306" s="154" t="n">
        <v>1.05</v>
      </c>
      <c r="L306" s="115">
        <f>ROUND(I306*8,0)</f>
        <v/>
      </c>
      <c r="M306" s="115">
        <f>ROUND(J306*10,0)</f>
        <v/>
      </c>
    </row>
    <row r="307" ht="15" customHeight="1" s="116">
      <c r="A307" s="128" t="inlineStr">
        <is>
          <t>Estelar / Cosmico</t>
        </is>
      </c>
      <c r="B307" s="128" t="inlineStr">
        <is>
          <t>Machado</t>
        </is>
      </c>
      <c r="C307" s="128" t="inlineStr">
        <is>
          <t>Machado que Ignora Toda Resistência</t>
        </is>
      </c>
      <c r="D307" s="135" t="inlineStr">
        <is>
          <t>Ignora Resistência Mágica</t>
        </is>
      </c>
      <c r="E307" s="128" t="inlineStr">
        <is>
          <t>Atravessa qualquer proteção arcana como se ela não estivesse lá.</t>
        </is>
      </c>
      <c r="F307" s="128">
        <f>INDEX(Tiers!$G$9:$G$22,MATCH($A307,Tiers!$B$9:$B$22,0))</f>
        <v/>
      </c>
      <c r="G307" s="128">
        <f>INDEX(Tiers!$H$9:$H$22,MATCH($A307,Tiers!$B$9:$B$22,0))</f>
        <v/>
      </c>
      <c r="H307" s="128">
        <f>INDEX($B$5:$B$11,MATCH($B307,$A$5:$A$11,0))</f>
        <v/>
      </c>
      <c r="I307" s="153">
        <f>ROUND(F307*H307*K307,0)</f>
        <v/>
      </c>
      <c r="J307" s="153">
        <f>ROUND(G307*H307*K307,0)</f>
        <v/>
      </c>
      <c r="K307" s="154" t="n">
        <v>0.96</v>
      </c>
      <c r="L307" s="115">
        <f>ROUND(I307*8,0)</f>
        <v/>
      </c>
      <c r="M307" s="115">
        <f>ROUND(J307*10,0)</f>
        <v/>
      </c>
    </row>
    <row r="308" ht="15" customHeight="1" s="116">
      <c r="A308" s="128" t="inlineStr">
        <is>
          <t>Estelar / Cosmico</t>
        </is>
      </c>
      <c r="B308" s="128" t="inlineStr">
        <is>
          <t>Machado</t>
        </is>
      </c>
      <c r="C308" s="128" t="inlineStr">
        <is>
          <t>Machado Cósmico</t>
        </is>
      </c>
      <c r="D308" s="135" t="n"/>
      <c r="E308" s="128" t="inlineStr">
        <is>
          <t>Talhado de matéria que desafia peso e física terrena.</t>
        </is>
      </c>
      <c r="F308" s="128">
        <f>INDEX(Tiers!$G$9:$G$22,MATCH($A308,Tiers!$B$9:$B$22,0))</f>
        <v/>
      </c>
      <c r="G308" s="128">
        <f>INDEX(Tiers!$H$9:$H$22,MATCH($A308,Tiers!$B$9:$B$22,0))</f>
        <v/>
      </c>
      <c r="H308" s="128">
        <f>INDEX($B$5:$B$11,MATCH($B308,$A$5:$A$11,0))</f>
        <v/>
      </c>
      <c r="I308" s="153">
        <f>ROUND(F308*H308*K308,0)</f>
        <v/>
      </c>
      <c r="J308" s="153">
        <f>ROUND(G308*H308*K308,0)</f>
        <v/>
      </c>
      <c r="K308" s="154" t="n">
        <v>1</v>
      </c>
      <c r="L308" s="115">
        <f>ROUND(I308*8,0)</f>
        <v/>
      </c>
      <c r="M308" s="115">
        <f>ROUND(J308*10,0)</f>
        <v/>
      </c>
    </row>
    <row r="309" ht="15" customHeight="1" s="116">
      <c r="A309" s="168" t="inlineStr">
        <is>
          <t>Estelar / Cosmico</t>
        </is>
      </c>
      <c r="B309" s="168" t="inlineStr">
        <is>
          <t>Arco</t>
        </is>
      </c>
      <c r="C309" s="168" t="inlineStr">
        <is>
          <t>Arco Estelar</t>
        </is>
      </c>
      <c r="D309" s="175" t="n"/>
      <c r="E309" s="168" t="inlineStr">
        <is>
          <t>Curva feita de luz sólida — quase impossível de olhar direto.</t>
        </is>
      </c>
      <c r="F309" s="168">
        <f>INDEX(Tiers!$G$9:$G$22,MATCH($A309,Tiers!$B$9:$B$22,0))</f>
        <v/>
      </c>
      <c r="G309" s="168">
        <f>INDEX(Tiers!$H$9:$H$22,MATCH($A309,Tiers!$B$9:$B$22,0))</f>
        <v/>
      </c>
      <c r="H309" s="168">
        <f>INDEX($B$5:$B$11,MATCH($B309,$A$5:$A$11,0))</f>
        <v/>
      </c>
      <c r="I309" s="273">
        <f>ROUND(F309*H309*K309,0)</f>
        <v/>
      </c>
      <c r="J309" s="273">
        <f>ROUND(G309*H309*K309,0)</f>
        <v/>
      </c>
      <c r="K309" s="188" t="n">
        <v>1</v>
      </c>
      <c r="L309" s="115">
        <f>ROUND(I309*8,0)</f>
        <v/>
      </c>
      <c r="M309" s="115">
        <f>ROUND(J309*10,0)</f>
        <v/>
      </c>
    </row>
    <row r="310" ht="15" customHeight="1" s="116">
      <c r="A310" s="168" t="inlineStr">
        <is>
          <t>Estelar / Cosmico</t>
        </is>
      </c>
      <c r="B310" s="168" t="inlineStr">
        <is>
          <t>Arco</t>
        </is>
      </c>
      <c r="C310" s="168" t="inlineStr">
        <is>
          <t>Arco do Vazio</t>
        </is>
      </c>
      <c r="D310" s="171" t="inlineStr">
        <is>
          <t>Fragilidade</t>
        </is>
      </c>
      <c r="E310" s="168" t="inlineStr">
        <is>
          <t>Às vezes a corda simplesmente não está lá quando você precisa dela.</t>
        </is>
      </c>
      <c r="F310" s="168">
        <f>INDEX(Tiers!$G$9:$G$22,MATCH($A310,Tiers!$B$9:$B$22,0))</f>
        <v/>
      </c>
      <c r="G310" s="168">
        <f>INDEX(Tiers!$H$9:$H$22,MATCH($A310,Tiers!$B$9:$B$22,0))</f>
        <v/>
      </c>
      <c r="H310" s="168">
        <f>INDEX($B$5:$B$11,MATCH($B310,$A$5:$A$11,0))</f>
        <v/>
      </c>
      <c r="I310" s="273">
        <f>ROUND(F310*H310*K310,0)</f>
        <v/>
      </c>
      <c r="J310" s="273">
        <f>ROUND(G310*H310*K310,0)</f>
        <v/>
      </c>
      <c r="K310" s="188" t="n">
        <v>1.05</v>
      </c>
      <c r="L310" s="115">
        <f>ROUND(I310*8,0)</f>
        <v/>
      </c>
      <c r="M310" s="115">
        <f>ROUND(J310*10,0)</f>
        <v/>
      </c>
    </row>
    <row r="311" ht="15" customHeight="1" s="116">
      <c r="A311" s="168" t="inlineStr">
        <is>
          <t>Estelar / Cosmico</t>
        </is>
      </c>
      <c r="B311" s="168" t="inlineStr">
        <is>
          <t>Arco</t>
        </is>
      </c>
      <c r="C311" s="168" t="inlineStr">
        <is>
          <t>Arco que Suga a Realidade</t>
        </is>
      </c>
      <c r="D311" s="171" t="inlineStr">
        <is>
          <t>Rouba Vida</t>
        </is>
      </c>
      <c r="E311" s="168" t="inlineStr">
        <is>
          <t>As flechas roubam um pouco da existência do alvo — e devolvem a quem atira.</t>
        </is>
      </c>
      <c r="F311" s="168">
        <f>INDEX(Tiers!$G$9:$G$22,MATCH($A311,Tiers!$B$9:$B$22,0))</f>
        <v/>
      </c>
      <c r="G311" s="168">
        <f>INDEX(Tiers!$H$9:$H$22,MATCH($A311,Tiers!$B$9:$B$22,0))</f>
        <v/>
      </c>
      <c r="H311" s="168">
        <f>INDEX($B$5:$B$11,MATCH($B311,$A$5:$A$11,0))</f>
        <v/>
      </c>
      <c r="I311" s="273">
        <f>ROUND(F311*H311*K311,0)</f>
        <v/>
      </c>
      <c r="J311" s="273">
        <f>ROUND(G311*H311*K311,0)</f>
        <v/>
      </c>
      <c r="K311" s="188" t="n">
        <v>0.97</v>
      </c>
      <c r="L311" s="115">
        <f>ROUND(I311*8,0)</f>
        <v/>
      </c>
      <c r="M311" s="115">
        <f>ROUND(J311*10,0)</f>
        <v/>
      </c>
    </row>
    <row r="312" ht="15" customHeight="1" s="116">
      <c r="A312" s="168" t="inlineStr">
        <is>
          <t>Estelar / Cosmico</t>
        </is>
      </c>
      <c r="B312" s="168" t="inlineStr">
        <is>
          <t>Arco</t>
        </is>
      </c>
      <c r="C312" s="168" t="inlineStr">
        <is>
          <t>Arco Cósmico</t>
        </is>
      </c>
      <c r="D312" s="175" t="n"/>
      <c r="E312" s="168" t="inlineStr">
        <is>
          <t>Disparado, a flecha deixa um rastro de poeira estelar por um instante.</t>
        </is>
      </c>
      <c r="F312" s="168">
        <f>INDEX(Tiers!$G$9:$G$22,MATCH($A312,Tiers!$B$9:$B$22,0))</f>
        <v/>
      </c>
      <c r="G312" s="168">
        <f>INDEX(Tiers!$H$9:$H$22,MATCH($A312,Tiers!$B$9:$B$22,0))</f>
        <v/>
      </c>
      <c r="H312" s="168">
        <f>INDEX($B$5:$B$11,MATCH($B312,$A$5:$A$11,0))</f>
        <v/>
      </c>
      <c r="I312" s="273">
        <f>ROUND(F312*H312*K312,0)</f>
        <v/>
      </c>
      <c r="J312" s="273">
        <f>ROUND(G312*H312*K312,0)</f>
        <v/>
      </c>
      <c r="K312" s="188" t="n">
        <v>1</v>
      </c>
      <c r="L312" s="115">
        <f>ROUND(I312*8,0)</f>
        <v/>
      </c>
      <c r="M312" s="115">
        <f>ROUND(J312*10,0)</f>
        <v/>
      </c>
    </row>
    <row r="313" ht="15" customHeight="1" s="116">
      <c r="A313" s="168" t="inlineStr">
        <is>
          <t>Estelar / Cosmico</t>
        </is>
      </c>
      <c r="B313" s="168" t="inlineStr">
        <is>
          <t>Adaga</t>
        </is>
      </c>
      <c r="C313" s="168" t="inlineStr">
        <is>
          <t>Adaga Estelar</t>
        </is>
      </c>
      <c r="D313" s="175" t="n"/>
      <c r="E313" s="168" t="inlineStr">
        <is>
          <t>Pequena, mas carrega o peso de matéria que não devia existir aqui.</t>
        </is>
      </c>
      <c r="F313" s="168">
        <f>INDEX(Tiers!$G$9:$G$22,MATCH($A313,Tiers!$B$9:$B$22,0))</f>
        <v/>
      </c>
      <c r="G313" s="168">
        <f>INDEX(Tiers!$H$9:$H$22,MATCH($A313,Tiers!$B$9:$B$22,0))</f>
        <v/>
      </c>
      <c r="H313" s="168">
        <f>INDEX($B$5:$B$11,MATCH($B313,$A$5:$A$11,0))</f>
        <v/>
      </c>
      <c r="I313" s="273">
        <f>ROUND(F313*H313*K313,0)</f>
        <v/>
      </c>
      <c r="J313" s="273">
        <f>ROUND(G313*H313*K313,0)</f>
        <v/>
      </c>
      <c r="K313" s="188" t="n">
        <v>1</v>
      </c>
      <c r="L313" s="115">
        <f>ROUND(I313*8,0)</f>
        <v/>
      </c>
      <c r="M313" s="115">
        <f>ROUND(J313*10,0)</f>
        <v/>
      </c>
    </row>
    <row r="314" ht="15" customHeight="1" s="116">
      <c r="A314" s="168" t="inlineStr">
        <is>
          <t>Estelar / Cosmico</t>
        </is>
      </c>
      <c r="B314" s="168" t="inlineStr">
        <is>
          <t>Adaga</t>
        </is>
      </c>
      <c r="C314" s="168" t="inlineStr">
        <is>
          <t>Adaga do Vazio</t>
        </is>
      </c>
      <c r="D314" s="171" t="inlineStr">
        <is>
          <t>Fragilidade</t>
        </is>
      </c>
      <c r="E314" s="168" t="inlineStr">
        <is>
          <t>Corta fundo, mas às vezes a lâmina parece não estar totalmente ali.</t>
        </is>
      </c>
      <c r="F314" s="168">
        <f>INDEX(Tiers!$G$9:$G$22,MATCH($A314,Tiers!$B$9:$B$22,0))</f>
        <v/>
      </c>
      <c r="G314" s="168">
        <f>INDEX(Tiers!$H$9:$H$22,MATCH($A314,Tiers!$B$9:$B$22,0))</f>
        <v/>
      </c>
      <c r="H314" s="168">
        <f>INDEX($B$5:$B$11,MATCH($B314,$A$5:$A$11,0))</f>
        <v/>
      </c>
      <c r="I314" s="273">
        <f>ROUND(F314*H314*K314,0)</f>
        <v/>
      </c>
      <c r="J314" s="273">
        <f>ROUND(G314*H314*K314,0)</f>
        <v/>
      </c>
      <c r="K314" s="188" t="n">
        <v>1.03</v>
      </c>
      <c r="L314" s="115">
        <f>ROUND(I314*8,0)</f>
        <v/>
      </c>
      <c r="M314" s="115">
        <f>ROUND(J314*10,0)</f>
        <v/>
      </c>
    </row>
    <row r="315" ht="15" customHeight="1" s="116">
      <c r="A315" s="168" t="inlineStr">
        <is>
          <t>Estelar / Cosmico</t>
        </is>
      </c>
      <c r="B315" s="168" t="inlineStr">
        <is>
          <t>Adaga</t>
        </is>
      </c>
      <c r="C315" s="168" t="inlineStr">
        <is>
          <t>Adaga Cósmica Sussurrante</t>
        </is>
      </c>
      <c r="D315" s="175" t="n"/>
      <c r="E315" s="168" t="inlineStr">
        <is>
          <t>Sussurra baixinho, numa língua que dói só de tentar entender.</t>
        </is>
      </c>
      <c r="F315" s="168">
        <f>INDEX(Tiers!$G$9:$G$22,MATCH($A315,Tiers!$B$9:$B$22,0))</f>
        <v/>
      </c>
      <c r="G315" s="168">
        <f>INDEX(Tiers!$H$9:$H$22,MATCH($A315,Tiers!$B$9:$B$22,0))</f>
        <v/>
      </c>
      <c r="H315" s="168">
        <f>INDEX($B$5:$B$11,MATCH($B315,$A$5:$A$11,0))</f>
        <v/>
      </c>
      <c r="I315" s="273">
        <f>ROUND(F315*H315*K315,0)</f>
        <v/>
      </c>
      <c r="J315" s="273">
        <f>ROUND(G315*H315*K315,0)</f>
        <v/>
      </c>
      <c r="K315" s="188" t="n">
        <v>1</v>
      </c>
      <c r="L315" s="115">
        <f>ROUND(I315*8,0)</f>
        <v/>
      </c>
      <c r="M315" s="115">
        <f>ROUND(J315*10,0)</f>
        <v/>
      </c>
    </row>
    <row r="316" ht="15" customHeight="1" s="116">
      <c r="A316" s="168" t="inlineStr">
        <is>
          <t>Estelar / Cosmico</t>
        </is>
      </c>
      <c r="B316" s="168" t="inlineStr">
        <is>
          <t>Maca</t>
        </is>
      </c>
      <c r="C316" s="168" t="inlineStr">
        <is>
          <t>Maça Estelar</t>
        </is>
      </c>
      <c r="D316" s="175" t="n"/>
      <c r="E316" s="168" t="inlineStr">
        <is>
          <t>Cabeça densa como uma estrela morta — pesa mais do que deveria ser possível.</t>
        </is>
      </c>
      <c r="F316" s="168">
        <f>INDEX(Tiers!$G$9:$G$22,MATCH($A316,Tiers!$B$9:$B$22,0))</f>
        <v/>
      </c>
      <c r="G316" s="168">
        <f>INDEX(Tiers!$H$9:$H$22,MATCH($A316,Tiers!$B$9:$B$22,0))</f>
        <v/>
      </c>
      <c r="H316" s="168">
        <f>INDEX($B$5:$B$11,MATCH($B316,$A$5:$A$11,0))</f>
        <v/>
      </c>
      <c r="I316" s="273">
        <f>ROUND(F316*H316*K316,0)</f>
        <v/>
      </c>
      <c r="J316" s="273">
        <f>ROUND(G316*H316*K316,0)</f>
        <v/>
      </c>
      <c r="K316" s="188" t="n">
        <v>1</v>
      </c>
      <c r="L316" s="115">
        <f>ROUND(I316*8,0)</f>
        <v/>
      </c>
      <c r="M316" s="115">
        <f>ROUND(J316*10,0)</f>
        <v/>
      </c>
    </row>
    <row r="317" ht="15" customHeight="1" s="116">
      <c r="A317" s="168" t="inlineStr">
        <is>
          <t>Estelar / Cosmico</t>
        </is>
      </c>
      <c r="B317" s="168" t="inlineStr">
        <is>
          <t>Maca</t>
        </is>
      </c>
      <c r="C317" s="168" t="inlineStr">
        <is>
          <t>Maça que Suga a Realidade</t>
        </is>
      </c>
      <c r="D317" s="171" t="inlineStr">
        <is>
          <t>Rouba Vida</t>
        </is>
      </c>
      <c r="E317" s="168" t="inlineStr">
        <is>
          <t>Cada golpe rouba um pouco da existência do alvo, devolvendo como cura.</t>
        </is>
      </c>
      <c r="F317" s="168">
        <f>INDEX(Tiers!$G$9:$G$22,MATCH($A317,Tiers!$B$9:$B$22,0))</f>
        <v/>
      </c>
      <c r="G317" s="168">
        <f>INDEX(Tiers!$H$9:$H$22,MATCH($A317,Tiers!$B$9:$B$22,0))</f>
        <v/>
      </c>
      <c r="H317" s="168">
        <f>INDEX($B$5:$B$11,MATCH($B317,$A$5:$A$11,0))</f>
        <v/>
      </c>
      <c r="I317" s="273">
        <f>ROUND(F317*H317*K317,0)</f>
        <v/>
      </c>
      <c r="J317" s="273">
        <f>ROUND(G317*H317*K317,0)</f>
        <v/>
      </c>
      <c r="K317" s="188" t="n">
        <v>0.96</v>
      </c>
      <c r="L317" s="115">
        <f>ROUND(I317*8,0)</f>
        <v/>
      </c>
      <c r="M317" s="115">
        <f>ROUND(J317*10,0)</f>
        <v/>
      </c>
    </row>
    <row r="318" ht="15" customHeight="1" s="116">
      <c r="A318" s="168" t="inlineStr">
        <is>
          <t>Estelar / Cosmico</t>
        </is>
      </c>
      <c r="B318" s="168" t="inlineStr">
        <is>
          <t>Maca</t>
        </is>
      </c>
      <c r="C318" s="168" t="inlineStr">
        <is>
          <t>Maça Cósmica</t>
        </is>
      </c>
      <c r="D318" s="175" t="n"/>
      <c r="E318" s="168" t="inlineStr">
        <is>
          <t>Talhada de matéria condensada que distorce o espaço ao redor.</t>
        </is>
      </c>
      <c r="F318" s="168">
        <f>INDEX(Tiers!$G$9:$G$22,MATCH($A318,Tiers!$B$9:$B$22,0))</f>
        <v/>
      </c>
      <c r="G318" s="168">
        <f>INDEX(Tiers!$H$9:$H$22,MATCH($A318,Tiers!$B$9:$B$22,0))</f>
        <v/>
      </c>
      <c r="H318" s="168">
        <f>INDEX($B$5:$B$11,MATCH($B318,$A$5:$A$11,0))</f>
        <v/>
      </c>
      <c r="I318" s="273">
        <f>ROUND(F318*H318*K318,0)</f>
        <v/>
      </c>
      <c r="J318" s="273">
        <f>ROUND(G318*H318*K318,0)</f>
        <v/>
      </c>
      <c r="K318" s="188" t="n">
        <v>1</v>
      </c>
      <c r="L318" s="115">
        <f>ROUND(I318*8,0)</f>
        <v/>
      </c>
      <c r="M318" s="115">
        <f>ROUND(J318*10,0)</f>
        <v/>
      </c>
    </row>
    <row r="319" ht="15" customHeight="1" s="116">
      <c r="A319" s="168" t="inlineStr">
        <is>
          <t>Estelar / Cosmico</t>
        </is>
      </c>
      <c r="B319" s="168" t="inlineStr">
        <is>
          <t>Manopla</t>
        </is>
      </c>
      <c r="C319" s="168" t="inlineStr">
        <is>
          <t>Manopla Estelar</t>
        </is>
      </c>
      <c r="D319" s="175" t="n"/>
      <c r="E319" s="168" t="inlineStr">
        <is>
          <t>Nós reforçados com matéria estelar condensada.</t>
        </is>
      </c>
      <c r="F319" s="168">
        <f>INDEX(Tiers!$G$9:$G$22,MATCH($A319,Tiers!$B$9:$B$22,0))</f>
        <v/>
      </c>
      <c r="G319" s="168">
        <f>INDEX(Tiers!$H$9:$H$22,MATCH($A319,Tiers!$B$9:$B$22,0))</f>
        <v/>
      </c>
      <c r="H319" s="168">
        <f>INDEX($B$5:$B$11,MATCH($B319,$A$5:$A$11,0))</f>
        <v/>
      </c>
      <c r="I319" s="273">
        <f>ROUND(F319*H319*K319,0)</f>
        <v/>
      </c>
      <c r="J319" s="273">
        <f>ROUND(G319*H319*K319,0)</f>
        <v/>
      </c>
      <c r="K319" s="188" t="n">
        <v>1</v>
      </c>
      <c r="L319" s="115">
        <f>ROUND(I319*8,0)</f>
        <v/>
      </c>
      <c r="M319" s="115">
        <f>ROUND(J319*10,0)</f>
        <v/>
      </c>
    </row>
    <row r="320" ht="15" customHeight="1" s="116">
      <c r="A320" s="168" t="inlineStr">
        <is>
          <t>Estelar / Cosmico</t>
        </is>
      </c>
      <c r="B320" s="168" t="inlineStr">
        <is>
          <t>Manopla</t>
        </is>
      </c>
      <c r="C320" s="168" t="inlineStr">
        <is>
          <t>Manopla do Vazio</t>
        </is>
      </c>
      <c r="D320" s="171" t="inlineStr">
        <is>
          <t>Fragilidade</t>
        </is>
      </c>
      <c r="E320" s="168" t="inlineStr">
        <is>
          <t>Os dedos às vezes atravessam o que deveriam segurar — e voltam no instante seguinte.</t>
        </is>
      </c>
      <c r="F320" s="168">
        <f>INDEX(Tiers!$G$9:$G$22,MATCH($A320,Tiers!$B$9:$B$22,0))</f>
        <v/>
      </c>
      <c r="G320" s="168">
        <f>INDEX(Tiers!$H$9:$H$22,MATCH($A320,Tiers!$B$9:$B$22,0))</f>
        <v/>
      </c>
      <c r="H320" s="168">
        <f>INDEX($B$5:$B$11,MATCH($B320,$A$5:$A$11,0))</f>
        <v/>
      </c>
      <c r="I320" s="273">
        <f>ROUND(F320*H320*K320,0)</f>
        <v/>
      </c>
      <c r="J320" s="273">
        <f>ROUND(G320*H320*K320,0)</f>
        <v/>
      </c>
      <c r="K320" s="188" t="n">
        <v>1.03</v>
      </c>
      <c r="L320" s="115">
        <f>ROUND(I320*8,0)</f>
        <v/>
      </c>
      <c r="M320" s="115">
        <f>ROUND(J320*10,0)</f>
        <v/>
      </c>
    </row>
    <row r="321" ht="15" customHeight="1" s="116">
      <c r="A321" s="168" t="inlineStr">
        <is>
          <t>Estelar / Cosmico</t>
        </is>
      </c>
      <c r="B321" s="168" t="inlineStr">
        <is>
          <t>Cetro</t>
        </is>
      </c>
      <c r="C321" s="168" t="inlineStr">
        <is>
          <t>Cetro Estelar</t>
        </is>
      </c>
      <c r="D321" s="175" t="n"/>
      <c r="E321" s="168" t="inlineStr">
        <is>
          <t>Vara de luz sólida, cristal estelar na ponta pulsando devagar.</t>
        </is>
      </c>
      <c r="F321" s="168">
        <f>INDEX(Tiers!$G$9:$G$22,MATCH($A321,Tiers!$B$9:$B$22,0))</f>
        <v/>
      </c>
      <c r="G321" s="168">
        <f>INDEX(Tiers!$H$9:$H$22,MATCH($A321,Tiers!$B$9:$B$22,0))</f>
        <v/>
      </c>
      <c r="H321" s="168">
        <f>INDEX($B$5:$B$11,MATCH($B321,$A$5:$A$11,0))</f>
        <v/>
      </c>
      <c r="I321" s="273">
        <f>ROUND(F321*H321*K321,0)</f>
        <v/>
      </c>
      <c r="J321" s="273">
        <f>ROUND(G321*H321*K321,0)</f>
        <v/>
      </c>
      <c r="K321" s="188" t="n">
        <v>1</v>
      </c>
      <c r="L321" s="115">
        <f>ROUND(I321*8,0)</f>
        <v/>
      </c>
      <c r="M321" s="115">
        <f>ROUND(J321*10,0)</f>
        <v/>
      </c>
    </row>
    <row r="322" ht="15" customHeight="1" s="116">
      <c r="A322" s="168" t="inlineStr">
        <is>
          <t>Estelar / Cosmico</t>
        </is>
      </c>
      <c r="B322" s="168" t="inlineStr">
        <is>
          <t>Cetro</t>
        </is>
      </c>
      <c r="C322" s="168" t="inlineStr">
        <is>
          <t>Cetro que Ignora Toda Resistência</t>
        </is>
      </c>
      <c r="D322" s="171" t="inlineStr">
        <is>
          <t>Ignora Resistência Mágica</t>
        </is>
      </c>
      <c r="E322" s="168" t="inlineStr">
        <is>
          <t>Canaliza magia direto pelo tecido da realidade, sem nada pra barrar o caminho.</t>
        </is>
      </c>
      <c r="F322" s="168">
        <f>INDEX(Tiers!$G$9:$G$22,MATCH($A322,Tiers!$B$9:$B$22,0))</f>
        <v/>
      </c>
      <c r="G322" s="168">
        <f>INDEX(Tiers!$H$9:$H$22,MATCH($A322,Tiers!$B$9:$B$22,0))</f>
        <v/>
      </c>
      <c r="H322" s="168">
        <f>INDEX($B$5:$B$11,MATCH($B322,$A$5:$A$11,0))</f>
        <v/>
      </c>
      <c r="I322" s="273">
        <f>ROUND(F322*H322*K322,0)</f>
        <v/>
      </c>
      <c r="J322" s="273">
        <f>ROUND(G322*H322*K322,0)</f>
        <v/>
      </c>
      <c r="K322" s="188" t="n">
        <v>0.9</v>
      </c>
      <c r="L322" s="115">
        <f>ROUND(I322*8,0)</f>
        <v/>
      </c>
      <c r="M322" s="115">
        <f>ROUND(J322*10,0)</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AA482"/>
  <sheetViews>
    <sheetView showFormulas="0" showGridLines="0" showRowColHeaders="1" showZeros="1" rightToLeft="0" tabSelected="0" showOutlineSymbols="1" defaultGridColor="1"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15" min="1" max="1"/>
    <col width="26" customWidth="1" style="115" min="2" max="2"/>
    <col width="9" customWidth="1" style="115" min="3" max="3"/>
    <col width="7" customWidth="1" style="115" min="4" max="6"/>
    <col width="8" customWidth="1" style="115" min="7" max="7"/>
    <col width="26" customWidth="1" style="115" min="8" max="8"/>
    <col width="20" customWidth="1" style="115" min="9" max="9"/>
    <col width="32" customWidth="1" style="115" min="10" max="10"/>
    <col width="40" customWidth="1" style="115" min="11" max="11"/>
    <col width="9" customWidth="1" style="115" min="12" max="17"/>
    <col width="42" customWidth="1" style="115" min="18" max="18"/>
    <col width="16" customWidth="1" style="115" min="19" max="19"/>
    <col width="45" customWidth="1" style="115" min="20" max="20"/>
    <col width="55" customWidth="1" style="115" min="21" max="21"/>
  </cols>
  <sheetData>
    <row r="1" ht="17.25" customHeight="1" s="116">
      <c r="A1" s="117" t="inlineStr">
        <is>
          <t>Bestiario Inicial</t>
        </is>
      </c>
    </row>
    <row r="2" ht="15" customHeight="1" s="116">
      <c r="A2" s="123" t="inlineStr">
        <is>
          <t>HP/Dano/Defesa calculados pela Curva Mestra a partir do nivel. Troque nomes/nivel a vontade.</t>
        </is>
      </c>
    </row>
    <row r="4" ht="15" customHeight="1" s="116">
      <c r="A4" s="124" t="inlineStr">
        <is>
          <t>Papel</t>
        </is>
      </c>
      <c r="B4" s="124" t="inlineStr">
        <is>
          <t>Multiplicador de Dano</t>
        </is>
      </c>
      <c r="C4" s="124" t="inlineStr">
        <is>
          <t>Bonus de Defesa</t>
        </is>
      </c>
      <c r="D4" s="124" t="inlineStr">
        <is>
          <t>Fator de XP</t>
        </is>
      </c>
      <c r="E4" s="124" t="inlineStr">
        <is>
          <t>Bonus Ataque Extra</t>
        </is>
      </c>
    </row>
    <row r="5" ht="15" customHeight="1" s="116">
      <c r="A5" s="125" t="inlineStr">
        <is>
          <t>Comum</t>
        </is>
      </c>
      <c r="B5" s="126" t="n">
        <v>1</v>
      </c>
      <c r="C5" s="126" t="n">
        <v>0</v>
      </c>
      <c r="D5" s="126" t="n">
        <v>0.12</v>
      </c>
      <c r="E5" s="126" t="n">
        <v>0</v>
      </c>
    </row>
    <row r="6" ht="15" customHeight="1" s="116">
      <c r="A6" s="125" t="inlineStr">
        <is>
          <t>Elite</t>
        </is>
      </c>
      <c r="B6" s="126" t="n">
        <v>1.3</v>
      </c>
      <c r="C6" s="126" t="n">
        <v>2</v>
      </c>
      <c r="D6" s="126" t="n">
        <v>0.35</v>
      </c>
      <c r="E6" s="126" t="n">
        <v>2</v>
      </c>
    </row>
    <row r="7" ht="15" customHeight="1" s="116">
      <c r="A7" s="125" t="inlineStr">
        <is>
          <t>Boss</t>
        </is>
      </c>
      <c r="B7" s="126" t="n">
        <v>1.6</v>
      </c>
      <c r="C7" s="126" t="n">
        <v>4</v>
      </c>
      <c r="D7" s="126" t="n">
        <v>1</v>
      </c>
      <c r="E7" s="126" t="n">
        <v>4</v>
      </c>
    </row>
    <row r="8" ht="15" customHeight="1" s="116">
      <c r="A8" s="125" t="inlineStr">
        <is>
          <t>Cosmico</t>
        </is>
      </c>
      <c r="B8" s="126" t="n">
        <v>2.2</v>
      </c>
      <c r="C8" s="126" t="n">
        <v>5</v>
      </c>
      <c r="D8" s="126" t="n">
        <v>2.5</v>
      </c>
      <c r="E8" s="126" t="n">
        <v>6</v>
      </c>
    </row>
    <row r="11" ht="15" customHeight="1" s="116">
      <c r="A11" s="124" t="inlineStr">
        <is>
          <t>Tier</t>
        </is>
      </c>
      <c r="B11" s="124" t="inlineStr">
        <is>
          <t>Nome do Monstro</t>
        </is>
      </c>
      <c r="C11" s="124" t="inlineStr">
        <is>
          <t>Papel</t>
        </is>
      </c>
      <c r="D11" s="124" t="inlineStr">
        <is>
          <t>Nivel</t>
        </is>
      </c>
      <c r="E11" s="124" t="inlineStr">
        <is>
          <t>HP</t>
        </is>
      </c>
      <c r="F11" s="124" t="inlineStr">
        <is>
          <t>Dano</t>
        </is>
      </c>
      <c r="G11" s="124" t="inlineStr">
        <is>
          <t>Defesa</t>
        </is>
      </c>
      <c r="H11" s="124" t="inlineStr">
        <is>
          <t>Origem/Descricao</t>
        </is>
      </c>
      <c r="I11" s="124" t="inlineStr">
        <is>
          <t>Golpe Especial</t>
        </is>
      </c>
      <c r="J11" s="124" t="inlineStr">
        <is>
          <t>Efeito Mecânico</t>
        </is>
      </c>
      <c r="K11" s="124" t="inlineStr">
        <is>
          <t>Motivação / Ligação com a Infecção</t>
        </is>
      </c>
      <c r="L11" s="124" t="inlineStr">
        <is>
          <t>HP ★★ Médio</t>
        </is>
      </c>
      <c r="M11" s="124" t="inlineStr">
        <is>
          <t>Dano ★★ Médio</t>
        </is>
      </c>
      <c r="N11" s="124" t="inlineStr">
        <is>
          <t>Defesa ★★ Médio</t>
        </is>
      </c>
      <c r="O11" s="124" t="inlineStr">
        <is>
          <t>HP ★★★ Difícil</t>
        </is>
      </c>
      <c r="P11" s="118" t="inlineStr">
        <is>
          <t>Dano ★★★ Difícil</t>
        </is>
      </c>
      <c r="Q11" s="118" t="inlineStr">
        <is>
          <t>Defesa ★★★ Difícil</t>
        </is>
      </c>
      <c r="R11" s="118" t="inlineStr">
        <is>
          <t>Quests Relacionadas</t>
        </is>
      </c>
      <c r="S11" s="118" t="inlineStr">
        <is>
          <t>Bônus de Ataque</t>
        </is>
      </c>
      <c r="T11" s="118" t="inlineStr">
        <is>
          <t>Materiais Dropados</t>
        </is>
      </c>
      <c r="U11" s="118" t="inlineStr">
        <is>
          <t>Fraqueza (Knowledge 4-5)</t>
        </is>
      </c>
      <c r="V11" s="118" t="inlineStr">
        <is>
          <t>Estilo de Combate</t>
        </is>
      </c>
      <c r="W11" s="118" t="inlineStr">
        <is>
          <t>Condição de Spawn</t>
        </is>
      </c>
      <c r="X11" s="118" t="inlineStr">
        <is>
          <t>Fase 2</t>
        </is>
      </c>
      <c r="Y11" s="118" t="inlineStr">
        <is>
          <t>Interação Ambiental</t>
        </is>
      </c>
      <c r="Z11" s="118" t="inlineStr">
        <is>
          <t>Reação à Facção</t>
        </is>
      </c>
      <c r="AA11" s="118" t="inlineStr">
        <is>
          <t>Loot Único</t>
        </is>
      </c>
    </row>
    <row r="12" ht="15" customHeight="1" s="116">
      <c r="A12" s="233" t="inlineStr">
        <is>
          <t>Sucata Enferrujada</t>
        </is>
      </c>
      <c r="B12" s="234" t="inlineStr">
        <is>
          <t>Cão de Caça Sanguíneo</t>
        </is>
      </c>
      <c r="C12" s="233" t="inlineStr">
        <is>
          <t>Comum</t>
        </is>
      </c>
      <c r="D12" s="235" t="n">
        <v>1</v>
      </c>
      <c r="E12" s="236">
        <f>ROUND(INDEX('Curva Mestra'!$F$20:$F$94,MATCH(D12,'Curva Mestra'!$A$20:$A$94,0)),0)</f>
        <v/>
      </c>
      <c r="F12" s="236">
        <f>ROUND(INDEX('Curva Mestra'!$C$20:$C$94,MATCH(D12,'Curva Mestra'!$A$20:$A$94,0))*INDEX($B$5:$B$8,MATCH(C12,$A$5:$A$8,0)),0)</f>
        <v/>
      </c>
      <c r="G12" s="236">
        <f>ROUND(INDEX('Curva Mestra'!$D$20:$D$94,MATCH(D12,'Curva Mestra'!$A$20:$A$94,0))+INDEX($C$5:$C$8,MATCH(C12,$A$5:$A$8,0)),0)</f>
        <v/>
      </c>
      <c r="H12" s="237" t="inlineStr">
        <is>
          <t>Ronda a regiao do tier Sucata Enferrujada</t>
        </is>
      </c>
      <c r="I12" s="236" t="inlineStr">
        <is>
          <t>Mordida Voraz</t>
        </is>
      </c>
      <c r="J12" s="235" t="inlineStr">
        <is>
          <t>Causa 1 de sangramento no próximo turno se acertar.</t>
        </is>
      </c>
      <c r="K12" s="236" t="inlineStr">
        <is>
          <t>Cão de guarda comum que lambeu sangue seco nas primeiras portas marcadas — agora rosna por instinto de caça, não fome.</t>
        </is>
      </c>
      <c r="L12" s="238">
        <f>IF(C12="Comum",ROUND(E12*1.3,0),"—")</f>
        <v/>
      </c>
      <c r="M12" s="239">
        <f>IF(C12="Comum",ROUND(F12*1.15,0),"—")</f>
        <v/>
      </c>
      <c r="N12" s="240">
        <f>IF(C12="Comum",G12+2,"—")</f>
        <v/>
      </c>
      <c r="O12" s="239">
        <f>IF(C12="Comum",ROUND(E12*1.6,0),"—")</f>
        <v/>
      </c>
      <c r="P12" s="241">
        <f>IF(C12="Comum",ROUND(F12*1.3,0),"—")</f>
        <v/>
      </c>
      <c r="Q12" s="241">
        <f>IF(C12="Comum",G12+4,"—")</f>
        <v/>
      </c>
      <c r="R12" s="241" t="inlineStr">
        <is>
          <t>Latidos na Neblina</t>
        </is>
      </c>
      <c r="S12" s="241">
        <f>ROUND(INDEX('Curva Mestra'!$D$20:$D$94,MATCH(D12,'Curva Mestra'!$A$20:$A$94,0))-IF(C12="Comum",9,IF(C12="Elite",6,IF(C12="Boss",4,3))),0)</f>
        <v/>
      </c>
      <c r="T12" s="241" t="inlineStr">
        <is>
          <t>Ouro + Couro Áspero de Javali (chance rara) + Presa Sanguínea</t>
        </is>
      </c>
      <c r="U12" s="241" t="inlineStr">
        <is>
          <t>Sem fraqueza óbvia — precisa de Knowledge alto pra descobrir algo específico.</t>
        </is>
      </c>
      <c r="V12" s="241" t="inlineStr">
        <is>
          <t>DPS</t>
        </is>
      </c>
      <c r="W12" s="242" t="inlineStr">
        <is>
          <t>Bosque Sombrio</t>
        </is>
      </c>
      <c r="X12" s="242" t="n"/>
      <c r="Y12" s="242" t="n"/>
      <c r="Z12" s="242" t="n"/>
      <c r="AA12" s="242" t="n"/>
    </row>
    <row r="13" ht="15" customHeight="1" s="116">
      <c r="A13" s="233" t="inlineStr">
        <is>
          <t>Sucata Enferrujada</t>
        </is>
      </c>
      <c r="B13" s="234" t="inlineStr">
        <is>
          <t>Enxame de Moscas-Sangue</t>
        </is>
      </c>
      <c r="C13" s="233" t="inlineStr">
        <is>
          <t>Comum</t>
        </is>
      </c>
      <c r="D13" s="235" t="n">
        <v>1</v>
      </c>
      <c r="E13" s="236">
        <f>ROUND(INDEX('Curva Mestra'!$F$20:$F$94,MATCH(D13,'Curva Mestra'!$A$20:$A$94,0)),0)</f>
        <v/>
      </c>
      <c r="F13" s="236">
        <f>ROUND(INDEX('Curva Mestra'!$C$20:$C$94,MATCH(D13,'Curva Mestra'!$A$20:$A$94,0))*INDEX($B$5:$B$8,MATCH(C13,$A$5:$A$8,0)),0)</f>
        <v/>
      </c>
      <c r="G13" s="236">
        <f>ROUND(INDEX('Curva Mestra'!$D$20:$D$94,MATCH(D13,'Curva Mestra'!$A$20:$A$94,0))+INDEX($C$5:$C$8,MATCH(C13,$A$5:$A$8,0)),0)</f>
        <v/>
      </c>
      <c r="H13" s="237" t="inlineStr">
        <is>
          <t>Ligado a Praga, região de Sucata Enferrujada.</t>
        </is>
      </c>
      <c r="I13" s="236" t="inlineStr">
        <is>
          <t>Sopro Nauseante</t>
        </is>
      </c>
      <c r="J13" s="235" t="inlineStr">
        <is>
          <t>Reduz o Bônus de Ataque do alvo em 1 no próximo turno.</t>
        </is>
      </c>
      <c r="K13" s="236" t="inlineStr">
        <is>
          <t>Insetos que se multiplicaram sobre as manchas de sangue seco nas primeiras casas marcadas — respiram a infecção antes de qualquer criatura maior.</t>
        </is>
      </c>
      <c r="L13" s="238">
        <f>IF(C13="Comum",ROUND(E13*1.3,0),"—")</f>
        <v/>
      </c>
      <c r="M13" s="239">
        <f>IF(C13="Comum",ROUND(F13*1.15,0),"—")</f>
        <v/>
      </c>
      <c r="N13" s="240">
        <f>IF(C13="Comum",G13+2,"—")</f>
        <v/>
      </c>
      <c r="O13" s="239">
        <f>IF(C13="Comum",ROUND(E13*1.6,0),"—")</f>
        <v/>
      </c>
      <c r="P13" s="241">
        <f>IF(C13="Comum",ROUND(F13*1.3,0),"—")</f>
        <v/>
      </c>
      <c r="Q13" s="241">
        <f>IF(C13="Comum",G13+4,"—")</f>
        <v/>
      </c>
      <c r="R13" s="241" t="inlineStr">
        <is>
          <t>O Enxame que Não Para de Crescer</t>
        </is>
      </c>
      <c r="S13" s="241">
        <f>ROUND(INDEX('Curva Mestra'!$D$20:$D$94,MATCH(D13,'Curva Mestra'!$A$20:$A$94,0))-IF(C13="Comum",9,IF(C13="Elite",6,IF(C13="Boss",4,3))),0)</f>
        <v/>
      </c>
      <c r="T13" s="241" t="inlineStr">
        <is>
          <t>Ouro + Couro Áspero de Javali (chance rara) + Asa de Mosca-Sangue</t>
        </is>
      </c>
      <c r="U13" s="241" t="inlineStr">
        <is>
          <t>Sem fraqueza óbvia — precisa de Knowledge alto pra descobrir algo específico.</t>
        </is>
      </c>
      <c r="V13" s="241" t="inlineStr">
        <is>
          <t>DPS</t>
        </is>
      </c>
      <c r="W13" s="242" t="inlineStr">
        <is>
          <t>Bosque Sombrio</t>
        </is>
      </c>
      <c r="X13" s="242" t="n"/>
      <c r="Y13" s="242" t="n"/>
      <c r="Z13" s="242" t="n"/>
      <c r="AA13" s="242" t="n"/>
    </row>
    <row r="14" ht="23.25" customHeight="1" s="116">
      <c r="A14" s="233" t="inlineStr">
        <is>
          <t>Sucata Enferrujada</t>
        </is>
      </c>
      <c r="B14" s="234" t="inlineStr">
        <is>
          <t>Cão Rafado</t>
        </is>
      </c>
      <c r="C14" s="233" t="inlineStr">
        <is>
          <t>Comum</t>
        </is>
      </c>
      <c r="D14" s="235" t="n">
        <v>1</v>
      </c>
      <c r="E14" s="236">
        <f>ROUND(INDEX('Curva Mestra'!$F$20:$F$94,MATCH(D14,'Curva Mestra'!$A$20:$A$94,0)),0)</f>
        <v/>
      </c>
      <c r="F14" s="236">
        <f>ROUND(INDEX('Curva Mestra'!$C$20:$C$94,MATCH(D14,'Curva Mestra'!$A$20:$A$94,0))*INDEX($B$5:$B$8,MATCH(C14,$A$5:$A$8,0)),0)</f>
        <v/>
      </c>
      <c r="G14" s="236">
        <f>ROUND(INDEX('Curva Mestra'!$D$20:$D$94,MATCH(D14,'Curva Mestra'!$A$20:$A$94,0))+INDEX($C$5:$C$8,MATCH(C14,$A$5:$A$8,0)),0)</f>
        <v/>
      </c>
      <c r="H14" s="237" t="inlineStr">
        <is>
          <t>Corre nos arredores da Estrada dos Bandidos, sempre à frente do bando principal.</t>
        </is>
      </c>
      <c r="I14" s="236" t="inlineStr">
        <is>
          <t>Ganido de Alerta</t>
        </is>
      </c>
      <c r="J14" s="235" t="inlineStr">
        <is>
          <t>Alerta: o próximo encontro no mesmo local vem com +1 monstro.</t>
        </is>
      </c>
      <c r="K14" s="236" t="inlineStr">
        <is>
          <t>Corre na frente do bando, marca presas pelo cheiro.</t>
        </is>
      </c>
      <c r="L14" s="238">
        <f>IF(C14="Comum",ROUND(E14*1.3,0),"—")</f>
        <v/>
      </c>
      <c r="M14" s="239">
        <f>IF(C14="Comum",ROUND(F14*1.15,0),"—")</f>
        <v/>
      </c>
      <c r="N14" s="240">
        <f>IF(C14="Comum",G14+2,"—")</f>
        <v/>
      </c>
      <c r="O14" s="239">
        <f>IF(C14="Comum",ROUND(E14*1.6,0),"—")</f>
        <v/>
      </c>
      <c r="P14" s="241">
        <f>IF(C14="Comum",ROUND(F14*1.3,0),"—")</f>
        <v/>
      </c>
      <c r="Q14" s="241">
        <f>IF(C14="Comum",G14+4,"—")</f>
        <v/>
      </c>
      <c r="R14" s="243" t="n"/>
      <c r="S14" s="241">
        <f>ROUND(3+0.6*D14+IF(C14="Comum",0,IF(C14="Elite",2,IF(C14="Boss",4,6))),0)</f>
        <v/>
      </c>
      <c r="T14" s="241" t="inlineStr">
        <is>
          <t>Couro Áspero de Javali + Canino Enferrujado</t>
        </is>
      </c>
      <c r="U14" s="241" t="inlineStr">
        <is>
          <t>Atordoamento</t>
        </is>
      </c>
      <c r="V14" s="241" t="inlineStr">
        <is>
          <t>Batedor</t>
        </is>
      </c>
      <c r="W14" s="161" t="inlineStr">
        <is>
          <t>Estrada dos Bandidos</t>
        </is>
      </c>
      <c r="X14" s="161" t="inlineStr">
        <is>
          <t>Foge a 30% de HP pra buscar reforço.</t>
        </is>
      </c>
      <c r="Y14" s="242" t="n"/>
      <c r="Z14" s="242" t="n"/>
      <c r="AA14" s="242" t="n"/>
    </row>
    <row r="15" ht="23.25" customHeight="1" s="116">
      <c r="A15" s="233" t="inlineStr">
        <is>
          <t>Sucata Enferrujada</t>
        </is>
      </c>
      <c r="B15" s="234" t="inlineStr">
        <is>
          <t>Bandido Novato</t>
        </is>
      </c>
      <c r="C15" s="233" t="inlineStr">
        <is>
          <t>Comum</t>
        </is>
      </c>
      <c r="D15" s="235" t="n">
        <v>1</v>
      </c>
      <c r="E15" s="236">
        <f>ROUND(INDEX('Curva Mestra'!$F$20:$F$94,MATCH(D15,'Curva Mestra'!$A$20:$A$94,0)),0)</f>
        <v/>
      </c>
      <c r="F15" s="236">
        <f>ROUND(INDEX('Curva Mestra'!$C$20:$C$94,MATCH(D15,'Curva Mestra'!$A$20:$A$94,0))*INDEX($B$5:$B$8,MATCH(C15,$A$5:$A$8,0)),0)</f>
        <v/>
      </c>
      <c r="G15" s="236">
        <f>ROUND(INDEX('Curva Mestra'!$D$20:$D$94,MATCH(D15,'Curva Mestra'!$A$20:$A$94,0))+INDEX($C$5:$C$8,MATCH(C15,$A$5:$A$8,0)),0)</f>
        <v/>
      </c>
      <c r="H15" s="237" t="inlineStr">
        <is>
          <t>Recruta recente do bando que assalta a Estrada dos Bandidos.</t>
        </is>
      </c>
      <c r="I15" s="236" t="inlineStr">
        <is>
          <t>Golpe Trêmulo</t>
        </is>
      </c>
      <c r="J15" s="235" t="inlineStr">
        <is>
          <t>25% de chance de errar por conta própria (mão treme).</t>
        </is>
      </c>
      <c r="K15" s="236" t="inlineStr">
        <is>
          <t>Entrou no bando semana passada. Ainda não matou ninguém.</t>
        </is>
      </c>
      <c r="L15" s="238">
        <f>IF(C15="Comum",ROUND(E15*1.3,0),"—")</f>
        <v/>
      </c>
      <c r="M15" s="239">
        <f>IF(C15="Comum",ROUND(F15*1.15,0),"—")</f>
        <v/>
      </c>
      <c r="N15" s="240">
        <f>IF(C15="Comum",G15+2,"—")</f>
        <v/>
      </c>
      <c r="O15" s="239">
        <f>IF(C15="Comum",ROUND(E15*1.6,0),"—")</f>
        <v/>
      </c>
      <c r="P15" s="241">
        <f>IF(C15="Comum",ROUND(F15*1.3,0),"—")</f>
        <v/>
      </c>
      <c r="Q15" s="241">
        <f>IF(C15="Comum",G15+4,"—")</f>
        <v/>
      </c>
      <c r="R15" s="243" t="n"/>
      <c r="S15" s="241">
        <f>ROUND(3+0.6*D15+IF(C15="Comum",0,IF(C15="Elite",2,IF(C15="Boss",4,6))),0)</f>
        <v/>
      </c>
      <c r="T15" s="241" t="inlineStr">
        <is>
          <t>Sucata Retorcida + Faca Cega de Recruta + Pano Ensanguentado</t>
        </is>
      </c>
      <c r="U15" s="241" t="inlineStr">
        <is>
          <t>Atordoamento</t>
        </is>
      </c>
      <c r="V15" s="241" t="inlineStr">
        <is>
          <t>DPS fraco</t>
        </is>
      </c>
      <c r="W15" s="161" t="inlineStr">
        <is>
          <t>Estrada dos Bandidos</t>
        </is>
      </c>
      <c r="X15" s="242" t="n"/>
      <c r="Y15" s="161" t="inlineStr">
        <is>
          <t>Rende-se a 25% de HP — pode ser poupado (gancho de quest).</t>
        </is>
      </c>
      <c r="Z15" s="161" t="inlineStr">
        <is>
          <t>Milícia dos Desamparados aceita entregá-lo vivo em troca de reputação.</t>
        </is>
      </c>
      <c r="AA15" s="242" t="n"/>
    </row>
    <row r="16" ht="15" customHeight="1" s="116">
      <c r="A16" s="241" t="inlineStr">
        <is>
          <t>Sucata Enferrujada</t>
        </is>
      </c>
      <c r="B16" s="241" t="inlineStr">
        <is>
          <t>Criança Marcada</t>
        </is>
      </c>
      <c r="C16" s="241" t="inlineStr">
        <is>
          <t>Comum</t>
        </is>
      </c>
      <c r="D16" s="241" t="n">
        <v>1</v>
      </c>
      <c r="E16" s="241">
        <f>ROUND(INDEX('Curva Mestra'!$F$20:$F$94,MATCH(D16,'Curva Mestra'!$A$20:$A$94,0)),0)</f>
        <v/>
      </c>
      <c r="F16" s="241">
        <f>ROUND(INDEX('Curva Mestra'!$C$20:$C$94,MATCH(D16,'Curva Mestra'!$A$20:$A$94,0))*INDEX($B$5:$B$8,MATCH(C16,$A$5:$A$8,0)),0)</f>
        <v/>
      </c>
      <c r="G16" s="241">
        <f>ROUND(INDEX('Curva Mestra'!$D$20:$D$94,MATCH(D16,'Curva Mestra'!$A$20:$A$94,0))+INDEX($C$5:$C$8,MATCH(C16,$A$5:$A$8,0)),0)</f>
        <v/>
      </c>
      <c r="H16" s="241" t="inlineStr">
        <is>
          <t>Encontrada perdida no Acampamento dos Marcados.</t>
        </is>
      </c>
      <c r="I16" s="241" t="inlineStr">
        <is>
          <t>(não ataca)</t>
        </is>
      </c>
      <c r="J16" s="241" t="inlineStr">
        <is>
          <t>Não-hostil: só ataca se atacada primeiro. Se poupada, revela um local secreto.</t>
        </is>
      </c>
      <c r="K16" s="241" t="inlineStr">
        <is>
          <t>Não entende o que aconteceu com ela. Ainda procura a mãe.</t>
        </is>
      </c>
      <c r="L16" s="241">
        <f>IF(C16="Comum",ROUND(E16*1.3,0),"—")</f>
        <v/>
      </c>
      <c r="M16" s="241">
        <f>IF(C16="Comum",ROUND(F16*1.15,0),"—")</f>
        <v/>
      </c>
      <c r="N16" s="241">
        <f>IF(C16="Comum",G16+2,"—")</f>
        <v/>
      </c>
      <c r="O16" s="241">
        <f>IF(C16="Comum",ROUND(E16*1.6,0),"—")</f>
        <v/>
      </c>
      <c r="P16" s="241">
        <f>IF(C16="Comum",ROUND(F16*1.3,0),"—")</f>
        <v/>
      </c>
      <c r="Q16" s="241">
        <f>IF(C16="Comum",G16+4,"—")</f>
        <v/>
      </c>
      <c r="R16" s="242" t="n"/>
      <c r="S16" s="241">
        <f>ROUND(3+0.6*D16+IF(C16="Comum",0,IF(C16="Elite",2,IF(C16="Boss",4,6))),0)</f>
        <v/>
      </c>
      <c r="T16" s="241" t="inlineStr">
        <is>
          <t>Ouro + Boneco de Pano Remendado</t>
        </is>
      </c>
      <c r="U16" s="241" t="inlineStr">
        <is>
          <t>Sem fraqueza óbvia — precisa de Knowledge alto pra descobrir algo específico.</t>
        </is>
      </c>
      <c r="V16" s="241" t="inlineStr">
        <is>
          <t>Não-hostil</t>
        </is>
      </c>
      <c r="W16" s="241" t="inlineStr">
        <is>
          <t>Acampamento dos Marcados</t>
        </is>
      </c>
      <c r="X16" s="243" t="n"/>
      <c r="Y16" s="241" t="inlineStr">
        <is>
          <t>Segue o jogador em silêncio por 2 explorações se poupada.</t>
        </is>
      </c>
      <c r="Z16" s="243" t="n"/>
      <c r="AA16" s="243" t="n"/>
    </row>
    <row r="17" ht="15" customHeight="1" s="116">
      <c r="A17" s="241" t="inlineStr">
        <is>
          <t>Sucata Enferrujada</t>
        </is>
      </c>
      <c r="B17" s="241" t="inlineStr">
        <is>
          <t>Acólito Recém-Marcado</t>
        </is>
      </c>
      <c r="C17" s="241" t="inlineStr">
        <is>
          <t>Comum</t>
        </is>
      </c>
      <c r="D17" s="241" t="n">
        <v>1</v>
      </c>
      <c r="E17" s="241">
        <f>ROUND(INDEX('Curva Mestra'!$F$20:$F$94,MATCH(D17,'Curva Mestra'!$A$20:$A$94,0)),0)</f>
        <v/>
      </c>
      <c r="F17" s="241">
        <f>ROUND(INDEX('Curva Mestra'!$C$20:$C$94,MATCH(D17,'Curva Mestra'!$A$20:$A$94,0))*INDEX($B$5:$B$8,MATCH(C17,$A$5:$A$8,0)),0)</f>
        <v/>
      </c>
      <c r="G17" s="241">
        <f>ROUND(INDEX('Curva Mestra'!$D$20:$D$94,MATCH(D17,'Curva Mestra'!$A$20:$A$94,0))+INDEX($C$5:$C$8,MATCH(C17,$A$5:$A$8,0)),0)</f>
        <v/>
      </c>
      <c r="H17" s="241" t="inlineStr">
        <is>
          <t>Novo membro do culto, ainda no Acampamento dos Marcados.</t>
        </is>
      </c>
      <c r="I17" s="241" t="inlineStr">
        <is>
          <t>Corte Hesitante</t>
        </is>
      </c>
      <c r="J17" s="241" t="inlineStr">
        <is>
          <t>Nenhum efeito adicional.</t>
        </is>
      </c>
      <c r="K17" s="241" t="inlineStr">
        <is>
          <t>Marcou a própria porta ontem. Ainda tem a mão tremendo.</t>
        </is>
      </c>
      <c r="L17" s="241">
        <f>IF(C17="Comum",ROUND(E17*1.3,0),"—")</f>
        <v/>
      </c>
      <c r="M17" s="241">
        <f>IF(C17="Comum",ROUND(F17*1.15,0),"—")</f>
        <v/>
      </c>
      <c r="N17" s="241">
        <f>IF(C17="Comum",G17+2,"—")</f>
        <v/>
      </c>
      <c r="O17" s="241">
        <f>IF(C17="Comum",ROUND(E17*1.6,0),"—")</f>
        <v/>
      </c>
      <c r="P17" s="241">
        <f>IF(C17="Comum",ROUND(F17*1.3,0),"—")</f>
        <v/>
      </c>
      <c r="Q17" s="241">
        <f>IF(C17="Comum",G17+4,"—")</f>
        <v/>
      </c>
      <c r="R17" s="242" t="n"/>
      <c r="S17" s="241">
        <f>ROUND(3+0.6*D17+IF(C17="Comum",0,IF(C17="Elite",2,IF(C17="Boss",4,6))),0)</f>
        <v/>
      </c>
      <c r="T17" s="241" t="inlineStr">
        <is>
          <t>Ouro + Fragmento de Tinta Ritual + Pano do Culto Rasgado</t>
        </is>
      </c>
      <c r="U17" s="241" t="inlineStr">
        <is>
          <t>Ignora Defesa</t>
        </is>
      </c>
      <c r="V17" s="241" t="inlineStr">
        <is>
          <t>DPS fraco</t>
        </is>
      </c>
      <c r="W17" s="241" t="inlineStr">
        <is>
          <t>Acampamento dos Marcados</t>
        </is>
      </c>
      <c r="X17" s="243" t="n"/>
      <c r="Y17" s="243" t="n"/>
      <c r="Z17" s="243" t="n"/>
      <c r="AA17" s="243" t="n"/>
    </row>
    <row r="18" ht="15" customHeight="1" s="116">
      <c r="A18" s="241" t="inlineStr">
        <is>
          <t>Sucata Enferrujada</t>
        </is>
      </c>
      <c r="B18" s="241" t="inlineStr">
        <is>
          <t>Leitão Marcado</t>
        </is>
      </c>
      <c r="C18" s="241" t="inlineStr">
        <is>
          <t>Comum</t>
        </is>
      </c>
      <c r="D18" s="241" t="n">
        <v>1</v>
      </c>
      <c r="E18" s="241">
        <f>ROUND(INDEX('Curva Mestra'!$F$20:$F$94,MATCH(D18,'Curva Mestra'!$A$20:$A$94,0)),0)</f>
        <v/>
      </c>
      <c r="F18" s="241">
        <f>ROUND(INDEX('Curva Mestra'!$C$20:$C$94,MATCH(D18,'Curva Mestra'!$A$20:$A$94,0))*INDEX($B$5:$B$8,MATCH(C18,$A$5:$A$8,0)),0)</f>
        <v/>
      </c>
      <c r="G18" s="241">
        <f>ROUND(INDEX('Curva Mestra'!$D$20:$D$94,MATCH(D18,'Curva Mestra'!$A$20:$A$94,0))+INDEX($C$5:$C$8,MATCH(C18,$A$5:$A$8,0)),0)</f>
        <v/>
      </c>
      <c r="H18" s="241" t="inlineStr">
        <is>
          <t>Filhote do Javali Alfa, encontrado no Bosque Sombrio.</t>
        </is>
      </c>
      <c r="I18" s="241" t="inlineStr">
        <is>
          <t>Mordidinha</t>
        </is>
      </c>
      <c r="J18" s="241" t="inlineStr">
        <is>
          <t>Nenhum efeito adicional — sempre aparecem em grupo de 3.</t>
        </is>
      </c>
      <c r="K18" s="241" t="inlineStr">
        <is>
          <t>Ninhada do Javali Alfa. Já nasceram com a marca.</t>
        </is>
      </c>
      <c r="L18" s="241">
        <f>IF(C18="Comum",ROUND(E18*1.3,0),"—")</f>
        <v/>
      </c>
      <c r="M18" s="241">
        <f>IF(C18="Comum",ROUND(F18*1.15,0),"—")</f>
        <v/>
      </c>
      <c r="N18" s="241">
        <f>IF(C18="Comum",G18+2,"—")</f>
        <v/>
      </c>
      <c r="O18" s="241">
        <f>IF(C18="Comum",ROUND(E18*1.6,0),"—")</f>
        <v/>
      </c>
      <c r="P18" s="241">
        <f>IF(C18="Comum",ROUND(F18*1.3,0),"—")</f>
        <v/>
      </c>
      <c r="Q18" s="241">
        <f>IF(C18="Comum",G18+4,"—")</f>
        <v/>
      </c>
      <c r="R18" s="242" t="n"/>
      <c r="S18" s="241">
        <f>ROUND(3+0.6*D18+IF(C18="Comum",0,IF(C18="Elite",2,IF(C18="Boss",4,6))),0)</f>
        <v/>
      </c>
      <c r="T18" s="241" t="inlineStr">
        <is>
          <t>Ouro + Presa de Leitão + Couro Marcado de Leitão</t>
        </is>
      </c>
      <c r="U18" s="241" t="inlineStr">
        <is>
          <t>Queimadura</t>
        </is>
      </c>
      <c r="V18" s="241" t="inlineStr">
        <is>
          <t>Enxame</t>
        </is>
      </c>
      <c r="W18" s="241" t="inlineStr">
        <is>
          <t>Bosque Sombrio</t>
        </is>
      </c>
      <c r="X18" s="243" t="n"/>
      <c r="Y18" s="241" t="inlineStr">
        <is>
          <t>Chamam o Javali Alfa se todos morrerem (10% de chance).</t>
        </is>
      </c>
      <c r="Z18" s="243" t="n"/>
      <c r="AA18" s="243" t="n"/>
    </row>
    <row r="19" ht="15" customHeight="1" s="116">
      <c r="A19" s="241" t="inlineStr">
        <is>
          <t>Sucata Enferrujada</t>
        </is>
      </c>
      <c r="B19" s="241" t="inlineStr">
        <is>
          <t>Carrapato Grande do Javali</t>
        </is>
      </c>
      <c r="C19" s="241" t="inlineStr">
        <is>
          <t>Comum</t>
        </is>
      </c>
      <c r="D19" s="241" t="n">
        <v>1</v>
      </c>
      <c r="E19" s="241">
        <f>ROUND(INDEX('Curva Mestra'!$F$20:$F$94,MATCH(D19,'Curva Mestra'!$A$20:$A$94,0)),0)</f>
        <v/>
      </c>
      <c r="F19" s="241">
        <f>ROUND(INDEX('Curva Mestra'!$C$20:$C$94,MATCH(D19,'Curva Mestra'!$A$20:$A$94,0))*INDEX($B$5:$B$8,MATCH(C19,$A$5:$A$8,0)),0)</f>
        <v/>
      </c>
      <c r="G19" s="241">
        <f>ROUND(INDEX('Curva Mestra'!$D$20:$D$94,MATCH(D19,'Curva Mestra'!$A$20:$A$94,0))+INDEX($C$5:$C$8,MATCH(C19,$A$5:$A$8,0)),0)</f>
        <v/>
      </c>
      <c r="H19" s="241" t="inlineStr">
        <is>
          <t>Vive grudado no Javali Selvagem Alfa ou em seus filhotes.</t>
        </is>
      </c>
      <c r="I19" s="241" t="inlineStr">
        <is>
          <t>Fixar</t>
        </is>
      </c>
      <c r="J19" s="241" t="inlineStr">
        <is>
          <t>Rouba Vida (15%) — só aparece junto com Javali Alfa ou Leitão.</t>
        </is>
      </c>
      <c r="K19" s="241" t="inlineStr">
        <is>
          <t>Vive no lombo dos javalis marcados, bebe o sangue infectado.</t>
        </is>
      </c>
      <c r="L19" s="241">
        <f>IF(C19="Comum",ROUND(E19*1.3,0),"—")</f>
        <v/>
      </c>
      <c r="M19" s="241">
        <f>IF(C19="Comum",ROUND(F19*1.15,0),"—")</f>
        <v/>
      </c>
      <c r="N19" s="241">
        <f>IF(C19="Comum",G19+2,"—")</f>
        <v/>
      </c>
      <c r="O19" s="241">
        <f>IF(C19="Comum",ROUND(E19*1.6,0),"—")</f>
        <v/>
      </c>
      <c r="P19" s="241">
        <f>IF(C19="Comum",ROUND(F19*1.3,0),"—")</f>
        <v/>
      </c>
      <c r="Q19" s="241">
        <f>IF(C19="Comum",G19+4,"—")</f>
        <v/>
      </c>
      <c r="R19" s="242" t="n"/>
      <c r="S19" s="241">
        <f>ROUND(3+0.6*D19+IF(C19="Comum",0,IF(C19="Elite",2,IF(C19="Boss",4,6))),0)</f>
        <v/>
      </c>
      <c r="T19" s="241" t="inlineStr">
        <is>
          <t>Ouro + Glândula de Carrapato</t>
        </is>
      </c>
      <c r="U19" s="241" t="inlineStr">
        <is>
          <t>Queimadura</t>
        </is>
      </c>
      <c r="V19" s="241" t="inlineStr">
        <is>
          <t>Parasita</t>
        </is>
      </c>
      <c r="W19" s="241" t="inlineStr">
        <is>
          <t>Bosque Sombrio, só com Javali/Leitão presente</t>
        </is>
      </c>
      <c r="X19" s="243" t="n"/>
      <c r="Y19" s="241" t="inlineStr">
        <is>
          <t>Se o hospedeiro morrer, fica 2x mais agressivo.</t>
        </is>
      </c>
      <c r="Z19" s="243" t="n"/>
      <c r="AA19" s="243" t="n"/>
    </row>
    <row r="20" ht="15" customHeight="1" s="116">
      <c r="A20" s="241" t="inlineStr">
        <is>
          <t>Sucata Enferrujada</t>
        </is>
      </c>
      <c r="B20" s="241" t="inlineStr">
        <is>
          <t>Bandido de Estrada Marcado</t>
        </is>
      </c>
      <c r="C20" s="241" t="inlineStr">
        <is>
          <t>Comum</t>
        </is>
      </c>
      <c r="D20" s="241" t="n">
        <v>2</v>
      </c>
      <c r="E20" s="241">
        <f>ROUND(INDEX('Curva Mestra'!$F$20:$F$94,MATCH(D20,'Curva Mestra'!$A$20:$A$94,0)),0)</f>
        <v/>
      </c>
      <c r="F20" s="241">
        <f>ROUND(INDEX('Curva Mestra'!$C$20:$C$94,MATCH(D20,'Curva Mestra'!$A$20:$A$94,0))*INDEX($B$5:$B$8,MATCH(C20,$A$5:$A$8,0)),0)</f>
        <v/>
      </c>
      <c r="G20" s="241">
        <f>ROUND(INDEX('Curva Mestra'!$D$20:$D$94,MATCH(D20,'Curva Mestra'!$A$20:$A$94,0))+INDEX($C$5:$C$8,MATCH(C20,$A$5:$A$8,0)),0)</f>
        <v/>
      </c>
      <c r="H20" s="241" t="inlineStr">
        <is>
          <t>Ronda a regiao do tier Sucata Enferrujada</t>
        </is>
      </c>
      <c r="I20" s="241" t="inlineStr">
        <is>
          <t>Faca Enferrujada</t>
        </is>
      </c>
      <c r="J20" s="241" t="inlineStr">
        <is>
          <t>Nada especial — ameaça pela quantidade, não pela força.</t>
        </is>
      </c>
      <c r="K20" s="241" t="inlineStr">
        <is>
          <t>Bandido comum que achou um caco do "Fragmento do Sangue" perdido na estrada e o carrega como amuleto de sorte, sem saber o que é.</t>
        </is>
      </c>
      <c r="L20" s="241">
        <f>IF(C20="Comum",ROUND(E20*1.3,0),"—")</f>
        <v/>
      </c>
      <c r="M20" s="241">
        <f>IF(C20="Comum",ROUND(F20*1.15,0),"—")</f>
        <v/>
      </c>
      <c r="N20" s="241">
        <f>IF(C20="Comum",G20+2,"—")</f>
        <v/>
      </c>
      <c r="O20" s="241">
        <f>IF(C20="Comum",ROUND(E20*1.6,0),"—")</f>
        <v/>
      </c>
      <c r="P20" s="241">
        <f>IF(C20="Comum",ROUND(F20*1.3,0),"—")</f>
        <v/>
      </c>
      <c r="Q20" s="241">
        <f>IF(C20="Comum",G20+4,"—")</f>
        <v/>
      </c>
      <c r="R20" s="161" t="inlineStr">
        <is>
          <t>A Estrada Insegura; O Baú do Salteador Afogado</t>
        </is>
      </c>
      <c r="S20" s="241">
        <f>ROUND(INDEX('Curva Mestra'!$D$20:$D$94,MATCH(D20,'Curva Mestra'!$A$20:$A$94,0))-IF(C20="Comum",9,IF(C20="Elite",6,IF(C20="Boss",4,3))),0)</f>
        <v/>
      </c>
      <c r="T20" s="241" t="inlineStr">
        <is>
          <t>Ouro + Couro Áspero de Javali (chance rara) + Faca Enferrujada de Bandido</t>
        </is>
      </c>
      <c r="U20" s="241" t="inlineStr">
        <is>
          <t>Sem fraqueza óbvia — precisa de Knowledge alto pra descobrir algo específico.</t>
        </is>
      </c>
      <c r="V20" s="241" t="inlineStr">
        <is>
          <t>DPS</t>
        </is>
      </c>
      <c r="W20" s="243" t="inlineStr">
        <is>
          <t>Bosque Sombrio</t>
        </is>
      </c>
      <c r="X20" s="243" t="n"/>
      <c r="Y20" s="243" t="n"/>
      <c r="Z20" s="243" t="n"/>
      <c r="AA20" s="243" t="n"/>
    </row>
    <row r="21" ht="15" customHeight="1" s="116">
      <c r="A21" s="241" t="inlineStr">
        <is>
          <t>Sucata Enferrujada</t>
        </is>
      </c>
      <c r="B21" s="241" t="inlineStr">
        <is>
          <t>Peregrino Marcado</t>
        </is>
      </c>
      <c r="C21" s="241" t="inlineStr">
        <is>
          <t>Comum</t>
        </is>
      </c>
      <c r="D21" s="241" t="n">
        <v>2</v>
      </c>
      <c r="E21" s="241">
        <f>ROUND(INDEX('Curva Mestra'!$F$20:$F$94,MATCH(D21,'Curva Mestra'!$A$20:$A$94,0)),0)</f>
        <v/>
      </c>
      <c r="F21" s="241">
        <f>ROUND(INDEX('Curva Mestra'!$C$20:$C$94,MATCH(D21,'Curva Mestra'!$A$20:$A$94,0))*INDEX($B$5:$B$8,MATCH(C21,$A$5:$A$8,0)),0)</f>
        <v/>
      </c>
      <c r="G21" s="241">
        <f>ROUND(INDEX('Curva Mestra'!$D$20:$D$94,MATCH(D21,'Curva Mestra'!$A$20:$A$94,0))+INDEX($C$5:$C$8,MATCH(C21,$A$5:$A$8,0)),0)</f>
        <v/>
      </c>
      <c r="H21" s="241" t="inlineStr">
        <is>
          <t>Ligado a Zumbi, região de Sucata Enferrujada.</t>
        </is>
      </c>
      <c r="I21" s="241" t="inlineStr">
        <is>
          <t>Abraço de Ferrugem</t>
        </is>
      </c>
      <c r="J21" s="241" t="inlineStr">
        <is>
          <t>Tenta imobilizar o alvo por 1 turno (teste FOR CD 10 pra escapar).</t>
        </is>
      </c>
      <c r="K21" s="241" t="inlineStr">
        <is>
          <t>Um camponês que tocou uma porta pintada com dedos ensanguentados por curiosidade. Ainda usa as roupas de viagem — só nunca chegou a lugar nenhum.</t>
        </is>
      </c>
      <c r="L21" s="241">
        <f>IF(C21="Comum",ROUND(E21*1.3,0),"—")</f>
        <v/>
      </c>
      <c r="M21" s="241">
        <f>IF(C21="Comum",ROUND(F21*1.15,0),"—")</f>
        <v/>
      </c>
      <c r="N21" s="241">
        <f>IF(C21="Comum",G21+2,"—")</f>
        <v/>
      </c>
      <c r="O21" s="241">
        <f>IF(C21="Comum",ROUND(E21*1.6,0),"—")</f>
        <v/>
      </c>
      <c r="P21" s="241">
        <f>IF(C21="Comum",ROUND(F21*1.3,0),"—")</f>
        <v/>
      </c>
      <c r="Q21" s="241">
        <f>IF(C21="Comum",G21+4,"—")</f>
        <v/>
      </c>
      <c r="R21" s="161" t="inlineStr">
        <is>
          <t>O Amigo que Sumiu</t>
        </is>
      </c>
      <c r="S21" s="241">
        <f>ROUND(INDEX('Curva Mestra'!$D$20:$D$94,MATCH(D21,'Curva Mestra'!$A$20:$A$94,0))-IF(C21="Comum",9,IF(C21="Elite",6,IF(C21="Boss",4,3))),0)</f>
        <v/>
      </c>
      <c r="T21" s="241" t="inlineStr">
        <is>
          <t>Ouro + Couro Áspero de Javali (chance rara) + Manto Rasgado de Peregrino</t>
        </is>
      </c>
      <c r="U21" s="241" t="inlineStr">
        <is>
          <t>Sem fraqueza óbvia — precisa de Knowledge alto pra descobrir algo específico.</t>
        </is>
      </c>
      <c r="V21" s="241" t="inlineStr">
        <is>
          <t>Controle</t>
        </is>
      </c>
      <c r="W21" s="243" t="inlineStr">
        <is>
          <t>Bosque Sombrio</t>
        </is>
      </c>
      <c r="X21" s="243" t="n"/>
      <c r="Y21" s="243" t="n"/>
      <c r="Z21" s="243" t="n"/>
      <c r="AA21" s="243" t="n"/>
    </row>
    <row r="22" ht="15" customHeight="1" s="116">
      <c r="A22" s="241" t="inlineStr">
        <is>
          <t>Sucata Enferrujada</t>
        </is>
      </c>
      <c r="B22" s="241" t="inlineStr">
        <is>
          <t>Enxame de Vermes Pálidos</t>
        </is>
      </c>
      <c r="C22" s="241" t="inlineStr">
        <is>
          <t>Comum</t>
        </is>
      </c>
      <c r="D22" s="241" t="n">
        <v>2</v>
      </c>
      <c r="E22" s="241">
        <f>ROUND(INDEX('Curva Mestra'!$F$20:$F$94,MATCH(D22,'Curva Mestra'!$A$20:$A$94,0)),0)</f>
        <v/>
      </c>
      <c r="F22" s="241">
        <f>ROUND(INDEX('Curva Mestra'!$C$20:$C$94,MATCH(D22,'Curva Mestra'!$A$20:$A$94,0))*INDEX($B$5:$B$8,MATCH(C22,$A$5:$A$8,0)),0)</f>
        <v/>
      </c>
      <c r="G22" s="241">
        <f>ROUND(INDEX('Curva Mestra'!$D$20:$D$94,MATCH(D22,'Curva Mestra'!$A$20:$A$94,0))+INDEX($C$5:$C$8,MATCH(C22,$A$5:$A$8,0)),0)</f>
        <v/>
      </c>
      <c r="H22" s="241" t="inlineStr">
        <is>
          <t>Infesta o Veio de Sucata, alimentando-se dos restos do minério.</t>
        </is>
      </c>
      <c r="I22" s="241" t="inlineStr">
        <is>
          <t>Mordida Ácida</t>
        </is>
      </c>
      <c r="J22" s="241" t="inlineStr">
        <is>
          <t>Veneno (1 dano/turno, 2 turnos).</t>
        </is>
      </c>
      <c r="K22" s="241" t="inlineStr">
        <is>
          <t>Vivem no minério enferrujado, comem o que sobra dos mineradores.</t>
        </is>
      </c>
      <c r="L22" s="241">
        <f>IF(C22="Comum",ROUND(E22*1.3,0),"—")</f>
        <v/>
      </c>
      <c r="M22" s="241">
        <f>IF(C22="Comum",ROUND(F22*1.15,0),"—")</f>
        <v/>
      </c>
      <c r="N22" s="241">
        <f>IF(C22="Comum",G22+2,"—")</f>
        <v/>
      </c>
      <c r="O22" s="241">
        <f>IF(C22="Comum",ROUND(E22*1.6,0),"—")</f>
        <v/>
      </c>
      <c r="P22" s="241">
        <f>IF(C22="Comum",ROUND(F22*1.3,0),"—")</f>
        <v/>
      </c>
      <c r="Q22" s="241">
        <f>IF(C22="Comum",G22+4,"—")</f>
        <v/>
      </c>
      <c r="R22" s="242" t="n"/>
      <c r="S22" s="241">
        <f>ROUND(3+0.6*D22+IF(C22="Comum",0,IF(C22="Elite",2,IF(C22="Boss",4,6))),0)</f>
        <v/>
      </c>
      <c r="T22" s="241" t="inlineStr">
        <is>
          <t>Sucata Retorcida + Casulo de Verme Pálido + Baba Corrosiva</t>
        </is>
      </c>
      <c r="U22" s="241" t="inlineStr">
        <is>
          <t>Queimadura</t>
        </is>
      </c>
      <c r="V22" s="241" t="inlineStr">
        <is>
          <t>Debuffer</t>
        </is>
      </c>
      <c r="W22" s="241" t="inlineStr">
        <is>
          <t>Veio de Sucata</t>
        </is>
      </c>
      <c r="X22" s="243" t="n"/>
      <c r="Y22" s="241" t="inlineStr">
        <is>
          <t>Contamina o material coletado ali (perde 1 unidade).</t>
        </is>
      </c>
      <c r="Z22" s="243" t="n"/>
      <c r="AA22" s="243" t="n"/>
    </row>
    <row r="23" ht="15" customHeight="1" s="116">
      <c r="A23" s="241" t="inlineStr">
        <is>
          <t>Sucata Enferrujada</t>
        </is>
      </c>
      <c r="B23" s="241" t="inlineStr">
        <is>
          <t>Casulo Pulsante</t>
        </is>
      </c>
      <c r="C23" s="241" t="inlineStr">
        <is>
          <t>Comum</t>
        </is>
      </c>
      <c r="D23" s="241" t="n">
        <v>2</v>
      </c>
      <c r="E23" s="241">
        <f>ROUND(INDEX('Curva Mestra'!$F$20:$F$94,MATCH(D23,'Curva Mestra'!$A$20:$A$94,0)),0)</f>
        <v/>
      </c>
      <c r="F23" s="241">
        <f>ROUND(INDEX('Curva Mestra'!$C$20:$C$94,MATCH(D23,'Curva Mestra'!$A$20:$A$94,0))*INDEX($B$5:$B$8,MATCH(C23,$A$5:$A$8,0)),0)</f>
        <v/>
      </c>
      <c r="G23" s="241">
        <f>ROUND(INDEX('Curva Mestra'!$D$20:$D$94,MATCH(D23,'Curva Mestra'!$A$20:$A$94,0))+INDEX($C$5:$C$8,MATCH(C23,$A$5:$A$8,0)),0)</f>
        <v/>
      </c>
      <c r="H23" s="241" t="inlineStr">
        <is>
          <t>Plantado no Pântano dos Enxames por mãos desconhecidas.</t>
        </is>
      </c>
      <c r="I23" s="241" t="inlineStr">
        <is>
          <t>(não ataca)</t>
        </is>
      </c>
      <c r="J23" s="241" t="inlineStr">
        <is>
          <t>Explode ao morrer: 3 de dano + Veneno em quem matou.</t>
        </is>
      </c>
      <c r="K23" s="241" t="inlineStr">
        <is>
          <t>Não é criatura — é um berço. Alguém plantou ali de propósito.</t>
        </is>
      </c>
      <c r="L23" s="241">
        <f>IF(C23="Comum",ROUND(E23*1.3,0),"—")</f>
        <v/>
      </c>
      <c r="M23" s="241">
        <f>IF(C23="Comum",ROUND(F23*1.15,0),"—")</f>
        <v/>
      </c>
      <c r="N23" s="241">
        <f>IF(C23="Comum",G23+2,"—")</f>
        <v/>
      </c>
      <c r="O23" s="241">
        <f>IF(C23="Comum",ROUND(E23*1.6,0),"—")</f>
        <v/>
      </c>
      <c r="P23" s="241">
        <f>IF(C23="Comum",ROUND(F23*1.3,0),"—")</f>
        <v/>
      </c>
      <c r="Q23" s="241">
        <f>IF(C23="Comum",G23+4,"—")</f>
        <v/>
      </c>
      <c r="R23" s="242" t="n"/>
      <c r="S23" s="241">
        <f>ROUND(3+0.6*D23+IF(C23="Comum",0,IF(C23="Elite",2,IF(C23="Boss",4,6))),0)</f>
        <v/>
      </c>
      <c r="T23" s="241" t="inlineStr">
        <is>
          <t>Ouro + Membrana Pulsante</t>
        </is>
      </c>
      <c r="U23" s="241" t="inlineStr">
        <is>
          <t>Ignora Defesa</t>
        </is>
      </c>
      <c r="V23" s="241" t="inlineStr">
        <is>
          <t>Explosivo</t>
        </is>
      </c>
      <c r="W23" s="241" t="inlineStr">
        <is>
          <t>Pântano dos Enxames</t>
        </is>
      </c>
      <c r="X23" s="243" t="n"/>
      <c r="Y23" s="241" t="inlineStr">
        <is>
          <t>Se ignorado por 3 turnos, vira Enxame de Vermes Pálidos.</t>
        </is>
      </c>
      <c r="Z23" s="243" t="n"/>
      <c r="AA23" s="243" t="n"/>
    </row>
    <row r="24" ht="15" customHeight="1" s="116">
      <c r="A24" s="241" t="inlineStr">
        <is>
          <t>Sucata Enferrujada</t>
        </is>
      </c>
      <c r="B24" s="241" t="inlineStr">
        <is>
          <t>Mão Decepada Rastejante</t>
        </is>
      </c>
      <c r="C24" s="241" t="inlineStr">
        <is>
          <t>Comum</t>
        </is>
      </c>
      <c r="D24" s="241" t="n">
        <v>2</v>
      </c>
      <c r="E24" s="241">
        <f>ROUND(INDEX('Curva Mestra'!$F$20:$F$94,MATCH(D24,'Curva Mestra'!$A$20:$A$94,0)),0)</f>
        <v/>
      </c>
      <c r="F24" s="241">
        <f>ROUND(INDEX('Curva Mestra'!$C$20:$C$94,MATCH(D24,'Curva Mestra'!$A$20:$A$94,0))*INDEX($B$5:$B$8,MATCH(C24,$A$5:$A$8,0)),0)</f>
        <v/>
      </c>
      <c r="G24" s="241">
        <f>ROUND(INDEX('Curva Mestra'!$D$20:$D$94,MATCH(D24,'Curva Mestra'!$A$20:$A$94,0))+INDEX($C$5:$C$8,MATCH(C24,$A$5:$A$8,0)),0)</f>
        <v/>
      </c>
      <c r="H24" s="241" t="inlineStr">
        <is>
          <t>Esconde-se entre os corpos do Acampamento dos Marcados.</t>
        </is>
      </c>
      <c r="I24" s="241" t="inlineStr">
        <is>
          <t>Agarrar a Garganta</t>
        </is>
      </c>
      <c r="J24" s="241" t="inlineStr">
        <is>
          <t>Sangramento + impede fuga por 1 turno.</t>
        </is>
      </c>
      <c r="K24" s="241" t="inlineStr">
        <is>
          <t>Alguém cortou a própria mão pra impedir a marca de subir. Não adiantou.</t>
        </is>
      </c>
      <c r="L24" s="241">
        <f>IF(C24="Comum",ROUND(E24*1.3,0),"—")</f>
        <v/>
      </c>
      <c r="M24" s="241">
        <f>IF(C24="Comum",ROUND(F24*1.15,0),"—")</f>
        <v/>
      </c>
      <c r="N24" s="241">
        <f>IF(C24="Comum",G24+2,"—")</f>
        <v/>
      </c>
      <c r="O24" s="241">
        <f>IF(C24="Comum",ROUND(E24*1.6,0),"—")</f>
        <v/>
      </c>
      <c r="P24" s="241">
        <f>IF(C24="Comum",ROUND(F24*1.3,0),"—")</f>
        <v/>
      </c>
      <c r="Q24" s="241">
        <f>IF(C24="Comum",G24+4,"—")</f>
        <v/>
      </c>
      <c r="R24" s="242" t="n"/>
      <c r="S24" s="241">
        <f>ROUND(3+0.6*D24+IF(C24="Comum",0,IF(C24="Elite",2,IF(C24="Boss",4,6))),0)</f>
        <v/>
      </c>
      <c r="T24" s="241" t="inlineStr">
        <is>
          <t>Ouro + Dedo Enrijecido + Anel Perdido</t>
        </is>
      </c>
      <c r="U24" s="241" t="inlineStr">
        <is>
          <t>Atordoamento</t>
        </is>
      </c>
      <c r="V24" s="241" t="inlineStr">
        <is>
          <t>Assassino</t>
        </is>
      </c>
      <c r="W24" s="241" t="inlineStr">
        <is>
          <t>Acampamento dos Marcados</t>
        </is>
      </c>
      <c r="X24" s="243" t="n"/>
      <c r="Y24" s="241" t="inlineStr">
        <is>
          <t>Se esconde entre cadáveres — emboscada.</t>
        </is>
      </c>
      <c r="Z24" s="243" t="n"/>
      <c r="AA24" s="243" t="n"/>
    </row>
    <row r="25" ht="15" customHeight="1" s="116">
      <c r="A25" s="241" t="inlineStr">
        <is>
          <t>Sucata Enferrujada</t>
        </is>
      </c>
      <c r="B25" s="241" t="inlineStr">
        <is>
          <t>Corvo Necrófago</t>
        </is>
      </c>
      <c r="C25" s="241" t="inlineStr">
        <is>
          <t>Comum</t>
        </is>
      </c>
      <c r="D25" s="241" t="n">
        <v>2</v>
      </c>
      <c r="E25" s="241">
        <f>ROUND(INDEX('Curva Mestra'!$F$20:$F$94,MATCH(D25,'Curva Mestra'!$A$20:$A$94,0)),0)</f>
        <v/>
      </c>
      <c r="F25" s="241">
        <f>ROUND(INDEX('Curva Mestra'!$C$20:$C$94,MATCH(D25,'Curva Mestra'!$A$20:$A$94,0))*INDEX($B$5:$B$8,MATCH(C25,$A$5:$A$8,0)),0)</f>
        <v/>
      </c>
      <c r="G25" s="241">
        <f>ROUND(INDEX('Curva Mestra'!$D$20:$D$94,MATCH(D25,'Curva Mestra'!$A$20:$A$94,0))+INDEX($C$5:$C$8,MATCH(C25,$A$5:$A$8,0)),0)</f>
        <v/>
      </c>
      <c r="H25" s="241" t="inlineStr">
        <is>
          <t>Sobrevoa qualquer área da região onde um combate acabou de acontecer.</t>
        </is>
      </c>
      <c r="I25" s="241" t="inlineStr">
        <is>
          <t>Bicada nos Olhos</t>
        </is>
      </c>
      <c r="J25" s="241" t="inlineStr">
        <is>
          <t>-2 na chance de acerto do jogador por 1 turno.</t>
        </is>
      </c>
      <c r="K25" s="241" t="inlineStr">
        <is>
          <t>Segue os mortos. Onde ele pousa, alguém caiu.</t>
        </is>
      </c>
      <c r="L25" s="241">
        <f>IF(C25="Comum",ROUND(E25*1.3,0),"—")</f>
        <v/>
      </c>
      <c r="M25" s="241">
        <f>IF(C25="Comum",ROUND(F25*1.15,0),"—")</f>
        <v/>
      </c>
      <c r="N25" s="241">
        <f>IF(C25="Comum",G25+2,"—")</f>
        <v/>
      </c>
      <c r="O25" s="241">
        <f>IF(C25="Comum",ROUND(E25*1.6,0),"—")</f>
        <v/>
      </c>
      <c r="P25" s="241">
        <f>IF(C25="Comum",ROUND(F25*1.3,0),"—")</f>
        <v/>
      </c>
      <c r="Q25" s="241">
        <f>IF(C25="Comum",G25+4,"—")</f>
        <v/>
      </c>
      <c r="R25" s="242" t="n"/>
      <c r="S25" s="241">
        <f>ROUND(3+0.6*D25+IF(C25="Comum",0,IF(C25="Elite",2,IF(C25="Boss",4,6))),0)</f>
        <v/>
      </c>
      <c r="T25" s="241" t="inlineStr">
        <is>
          <t>Ouro + Pena Necrófaga + Bico de Corvo</t>
        </is>
      </c>
      <c r="U25" s="241" t="inlineStr">
        <is>
          <t>Atordoamento</t>
        </is>
      </c>
      <c r="V25" s="241" t="inlineStr">
        <is>
          <t>Necrófago</t>
        </is>
      </c>
      <c r="W25" s="241" t="inlineStr">
        <is>
          <t>Qualquer local, após um combate vencido</t>
        </is>
      </c>
      <c r="X25" s="243" t="n"/>
      <c r="Y25" s="241" t="inlineStr">
        <is>
          <t>Cura 5 HP por cadáver presente no local.</t>
        </is>
      </c>
      <c r="Z25" s="243" t="n"/>
      <c r="AA25" s="243" t="n"/>
    </row>
    <row r="26" ht="15" customHeight="1" s="116">
      <c r="A26" s="241" t="inlineStr">
        <is>
          <t>Sucata Enferrujada</t>
        </is>
      </c>
      <c r="B26" s="241" t="inlineStr">
        <is>
          <t>Corredor de Sangue</t>
        </is>
      </c>
      <c r="C26" s="241" t="inlineStr">
        <is>
          <t>Comum</t>
        </is>
      </c>
      <c r="D26" s="241" t="n">
        <v>2</v>
      </c>
      <c r="E26" s="241">
        <f>ROUND(INDEX('Curva Mestra'!$F$20:$F$94,MATCH(D26,'Curva Mestra'!$A$20:$A$94,0)),0)</f>
        <v/>
      </c>
      <c r="F26" s="241">
        <f>ROUND(INDEX('Curva Mestra'!$C$20:$C$94,MATCH(D26,'Curva Mestra'!$A$20:$A$94,0))*INDEX($B$5:$B$8,MATCH(C26,$A$5:$A$8,0)),0)</f>
        <v/>
      </c>
      <c r="G26" s="241">
        <f>ROUND(INDEX('Curva Mestra'!$D$20:$D$94,MATCH(D26,'Curva Mestra'!$A$20:$A$94,0))+INDEX($C$5:$C$8,MATCH(C26,$A$5:$A$8,0)),0)</f>
        <v/>
      </c>
      <c r="H26" s="241" t="inlineStr">
        <is>
          <t>Golpeia e foge, nunca fica pra terminar a luta.</t>
        </is>
      </c>
      <c r="I26" s="241" t="inlineStr">
        <is>
          <t>Corte de Passagem</t>
        </is>
      </c>
      <c r="J26" s="241" t="inlineStr">
        <is>
          <t>Sangramento — sempre ataca e tenta fugir no turno seguinte.</t>
        </is>
      </c>
      <c r="K26" s="241" t="inlineStr">
        <is>
          <t>Bandido que prefere ferir e correr a lutar até o fim.</t>
        </is>
      </c>
      <c r="L26" s="241">
        <f>IF(C26="Comum",ROUND(E26*1.3,0),"—")</f>
        <v/>
      </c>
      <c r="M26" s="241">
        <f>IF(C26="Comum",ROUND(F26*1.15,0),"—")</f>
        <v/>
      </c>
      <c r="N26" s="241">
        <f>IF(C26="Comum",G26+2,"—")</f>
        <v/>
      </c>
      <c r="O26" s="241">
        <f>IF(C26="Comum",ROUND(E26*1.6,0),"—")</f>
        <v/>
      </c>
      <c r="P26" s="241">
        <f>IF(C26="Comum",ROUND(F26*1.3,0),"—")</f>
        <v/>
      </c>
      <c r="Q26" s="241">
        <f>IF(C26="Comum",G26+4,"—")</f>
        <v/>
      </c>
      <c r="R26" s="242" t="n"/>
      <c r="S26" s="241">
        <f>ROUND(3+0.6*D26+IF(C26="Comum",0,IF(C26="Elite",2,IF(C26="Boss",4,6))),0)</f>
        <v/>
      </c>
      <c r="T26" s="241" t="inlineStr">
        <is>
          <t>Ouro + Faca de Corte Rápido Quebrada</t>
        </is>
      </c>
      <c r="U26" s="241" t="inlineStr">
        <is>
          <t>Lentidão</t>
        </is>
      </c>
      <c r="V26" s="241" t="inlineStr">
        <is>
          <t>Batedor</t>
        </is>
      </c>
      <c r="W26" s="241" t="inlineStr">
        <is>
          <t>Estrada dos Bandidos</t>
        </is>
      </c>
      <c r="X26" s="243" t="n"/>
      <c r="Y26" s="243" t="n"/>
      <c r="Z26" s="243" t="n"/>
      <c r="AA26" s="243" t="n"/>
    </row>
    <row r="27" ht="15" customHeight="1" s="116">
      <c r="A27" s="241" t="inlineStr">
        <is>
          <t>Sucata Enferrujada</t>
        </is>
      </c>
      <c r="B27" s="241" t="inlineStr">
        <is>
          <t>Saqueador de Caravana</t>
        </is>
      </c>
      <c r="C27" s="241" t="inlineStr">
        <is>
          <t>Comum</t>
        </is>
      </c>
      <c r="D27" s="241" t="n">
        <v>3</v>
      </c>
      <c r="E27" s="241">
        <f>ROUND(INDEX('Curva Mestra'!$F$20:$F$94,MATCH(D27,'Curva Mestra'!$A$20:$A$94,0)),0)</f>
        <v/>
      </c>
      <c r="F27" s="241">
        <f>ROUND(INDEX('Curva Mestra'!$C$20:$C$94,MATCH(D27,'Curva Mestra'!$A$20:$A$94,0))*INDEX($B$5:$B$8,MATCH(C27,$A$5:$A$8,0)),0)</f>
        <v/>
      </c>
      <c r="G27" s="241">
        <f>ROUND(INDEX('Curva Mestra'!$D$20:$D$94,MATCH(D27,'Curva Mestra'!$A$20:$A$94,0))+INDEX($C$5:$C$8,MATCH(C27,$A$5:$A$8,0)),0)</f>
        <v/>
      </c>
      <c r="H27" s="241" t="inlineStr">
        <is>
          <t>Ronda a Estrada dos Bandidos à espera de comerciantes desavisados.</t>
        </is>
      </c>
      <c r="I27" s="241" t="inlineStr">
        <is>
          <t>Bote Rápido</t>
        </is>
      </c>
      <c r="J27" s="241" t="inlineStr">
        <is>
          <t>Rouba 10% do seu Ouro e tenta fugir no turno seguinte.</t>
        </is>
      </c>
      <c r="K27" s="241" t="inlineStr">
        <is>
          <t>Não quer te matar. Quer o que você carrega.</t>
        </is>
      </c>
      <c r="L27" s="241">
        <f>IF(C27="Comum",ROUND(E27*1.3,0),"—")</f>
        <v/>
      </c>
      <c r="M27" s="241">
        <f>IF(C27="Comum",ROUND(F27*1.15,0),"—")</f>
        <v/>
      </c>
      <c r="N27" s="241">
        <f>IF(C27="Comum",G27+2,"—")</f>
        <v/>
      </c>
      <c r="O27" s="241">
        <f>IF(C27="Comum",ROUND(E27*1.6,0),"—")</f>
        <v/>
      </c>
      <c r="P27" s="241">
        <f>IF(C27="Comum",ROUND(F27*1.3,0),"—")</f>
        <v/>
      </c>
      <c r="Q27" s="241">
        <f>IF(C27="Comum",G27+4,"—")</f>
        <v/>
      </c>
      <c r="R27" s="242" t="n"/>
      <c r="S27" s="241">
        <f>ROUND(3+0.6*D27+IF(C27="Comum",0,IF(C27="Elite",2,IF(C27="Boss",4,6))),0)</f>
        <v/>
      </c>
      <c r="T27" s="241" t="inlineStr">
        <is>
          <t>Sucata Retorcida + Bolsa de Moedas Roubadas + Corda de Saque</t>
        </is>
      </c>
      <c r="U27" s="241" t="inlineStr">
        <is>
          <t>Lentidão</t>
        </is>
      </c>
      <c r="V27" s="241" t="inlineStr">
        <is>
          <t>Ladrão</t>
        </is>
      </c>
      <c r="W27" s="241" t="inlineStr">
        <is>
          <t>Estrada dos Bandidos</t>
        </is>
      </c>
      <c r="X27" s="243" t="n"/>
      <c r="Y27" s="241" t="inlineStr">
        <is>
          <t>Foge com o ouro se sobreviver 3 turnos — rastreável (SAB).</t>
        </is>
      </c>
      <c r="Z27" s="243" t="n"/>
      <c r="AA27" s="243" t="n"/>
    </row>
    <row r="28" ht="15" customHeight="1" s="116">
      <c r="A28" s="241" t="inlineStr">
        <is>
          <t>Sucata Enferrujada</t>
        </is>
      </c>
      <c r="B28" s="241" t="inlineStr">
        <is>
          <t>Peregrino Enlouquecido</t>
        </is>
      </c>
      <c r="C28" s="241" t="inlineStr">
        <is>
          <t>Comum</t>
        </is>
      </c>
      <c r="D28" s="241" t="n">
        <v>3</v>
      </c>
      <c r="E28" s="241">
        <f>ROUND(INDEX('Curva Mestra'!$F$20:$F$94,MATCH(D28,'Curva Mestra'!$A$20:$A$94,0)),0)</f>
        <v/>
      </c>
      <c r="F28" s="241">
        <f>ROUND(INDEX('Curva Mestra'!$C$20:$C$94,MATCH(D28,'Curva Mestra'!$A$20:$A$94,0))*INDEX($B$5:$B$8,MATCH(C28,$A$5:$A$8,0)),0)</f>
        <v/>
      </c>
      <c r="G28" s="241">
        <f>ROUND(INDEX('Curva Mestra'!$D$20:$D$94,MATCH(D28,'Curva Mestra'!$A$20:$A$94,0))+INDEX($C$5:$C$8,MATCH(C28,$A$5:$A$8,0)),0)</f>
        <v/>
      </c>
      <c r="H28" s="241" t="inlineStr">
        <is>
          <t>Vaga pelo Acampamento dos Marcados repetindo sons sem sentido.</t>
        </is>
      </c>
      <c r="I28" s="241" t="inlineStr">
        <is>
          <t>Grito Sem Palavras</t>
        </is>
      </c>
      <c r="J28" s="241" t="inlineStr">
        <is>
          <t>Atordoamento (20% de chance).</t>
        </is>
      </c>
      <c r="K28" s="241" t="inlineStr">
        <is>
          <t>A marca chegou na garganta. Não fala mais, só grita.</t>
        </is>
      </c>
      <c r="L28" s="241">
        <f>IF(C28="Comum",ROUND(E28*1.3,0),"—")</f>
        <v/>
      </c>
      <c r="M28" s="241">
        <f>IF(C28="Comum",ROUND(F28*1.15,0),"—")</f>
        <v/>
      </c>
      <c r="N28" s="241">
        <f>IF(C28="Comum",G28+2,"—")</f>
        <v/>
      </c>
      <c r="O28" s="241">
        <f>IF(C28="Comum",ROUND(E28*1.6,0),"—")</f>
        <v/>
      </c>
      <c r="P28" s="241">
        <f>IF(C28="Comum",ROUND(F28*1.3,0),"—")</f>
        <v/>
      </c>
      <c r="Q28" s="241">
        <f>IF(C28="Comum",G28+4,"—")</f>
        <v/>
      </c>
      <c r="R28" s="242" t="n"/>
      <c r="S28" s="241">
        <f>ROUND(3+0.6*D28+IF(C28="Comum",0,IF(C28="Elite",2,IF(C28="Boss",4,6))),0)</f>
        <v/>
      </c>
      <c r="T28" s="241" t="inlineStr">
        <is>
          <t>Ouro + Farrapo de Peregrino + Fragmento de Grito Preso</t>
        </is>
      </c>
      <c r="U28" s="241" t="inlineStr">
        <is>
          <t>Queimadura</t>
        </is>
      </c>
      <c r="V28" s="241" t="inlineStr">
        <is>
          <t>Controle</t>
        </is>
      </c>
      <c r="W28" s="241" t="inlineStr">
        <is>
          <t>Acampamento dos Marcados</t>
        </is>
      </c>
      <c r="X28" s="243" t="n"/>
      <c r="Y28" s="241" t="inlineStr">
        <is>
          <t>O grito acorda outros Marcados próximos.</t>
        </is>
      </c>
      <c r="Z28" s="243" t="n"/>
      <c r="AA28" s="243" t="n"/>
    </row>
    <row r="29" ht="15" customHeight="1" s="116">
      <c r="A29" s="233" t="inlineStr">
        <is>
          <t>Sucata Enferrujada</t>
        </is>
      </c>
      <c r="B29" s="234" t="inlineStr">
        <is>
          <t>Sombra da Primeira Porta</t>
        </is>
      </c>
      <c r="C29" s="233" t="inlineStr">
        <is>
          <t>Comum</t>
        </is>
      </c>
      <c r="D29" s="235" t="n">
        <v>3</v>
      </c>
      <c r="E29" s="236">
        <f>ROUND(INDEX('Curva Mestra'!$F$20:$F$94,MATCH(D29,'Curva Mestra'!$A$20:$A$94,0)),0)</f>
        <v/>
      </c>
      <c r="F29" s="236">
        <f>ROUND(INDEX('Curva Mestra'!$C$20:$C$94,MATCH(D29,'Curva Mestra'!$A$20:$A$94,0))*INDEX($B$5:$B$8,MATCH(C29,$A$5:$A$8,0)),0)</f>
        <v/>
      </c>
      <c r="G29" s="236">
        <f>ROUND(INDEX('Curva Mestra'!$D$20:$D$94,MATCH(D29,'Curva Mestra'!$A$20:$A$94,0))+INDEX($C$5:$C$8,MATCH(C29,$A$5:$A$8,0)),0)</f>
        <v/>
      </c>
      <c r="H29" s="237" t="inlineStr">
        <is>
          <t>Manifestação fraca da própria marca original.</t>
        </is>
      </c>
      <c r="I29" s="236" t="inlineStr">
        <is>
          <t>Toque da Marca Original</t>
        </is>
      </c>
      <c r="J29" s="235" t="inlineStr">
        <is>
          <t>Fragilidade — equipamento perde durabilidade mais rápido perto dele.</t>
        </is>
      </c>
      <c r="K29" s="236" t="inlineStr">
        <is>
          <t>Resíduo vivo da primeira porta que a Mão marcou nessa região.</t>
        </is>
      </c>
      <c r="L29" s="238">
        <f>IF(C29="Comum",ROUND(E29*1.3,0),"—")</f>
        <v/>
      </c>
      <c r="M29" s="239">
        <f>IF(C29="Comum",ROUND(F29*1.15,0),"—")</f>
        <v/>
      </c>
      <c r="N29" s="240">
        <f>IF(C29="Comum",G29+2,"—")</f>
        <v/>
      </c>
      <c r="O29" s="239">
        <f>IF(C29="Comum",ROUND(E29*1.6,0),"—")</f>
        <v/>
      </c>
      <c r="P29" s="241">
        <f>IF(C29="Comum",ROUND(F29*1.3,0),"—")</f>
        <v/>
      </c>
      <c r="Q29" s="241">
        <f>IF(C29="Comum",G29+4,"—")</f>
        <v/>
      </c>
      <c r="R29" s="243" t="n"/>
      <c r="S29" s="241">
        <f>ROUND(3+0.6*D29+IF(C29="Comum",0,IF(C29="Elite",2,IF(C29="Boss",4,6))),0)</f>
        <v/>
      </c>
      <c r="T29" s="241" t="inlineStr">
        <is>
          <t>Ouro + Estilhaço da Marca Original</t>
        </is>
      </c>
      <c r="U29" s="241" t="inlineStr">
        <is>
          <t>Queimadura</t>
        </is>
      </c>
      <c r="V29" s="241" t="inlineStr">
        <is>
          <t>DPS</t>
        </is>
      </c>
      <c r="W29" s="161" t="inlineStr">
        <is>
          <t>Acampamento dos Marcados</t>
        </is>
      </c>
      <c r="X29" s="242" t="n"/>
      <c r="Y29" s="242" t="n"/>
      <c r="Z29" s="242" t="n"/>
      <c r="AA29" s="242" t="n"/>
    </row>
    <row r="30" ht="15" customHeight="1" s="116">
      <c r="A30" s="233" t="inlineStr">
        <is>
          <t>Sucata Enferrujada</t>
        </is>
      </c>
      <c r="B30" s="234" t="inlineStr">
        <is>
          <t>Bandido Veterano</t>
        </is>
      </c>
      <c r="C30" s="233" t="inlineStr">
        <is>
          <t>Comum</t>
        </is>
      </c>
      <c r="D30" s="235" t="n">
        <v>4</v>
      </c>
      <c r="E30" s="236">
        <f>ROUND(INDEX('Curva Mestra'!$F$20:$F$94,MATCH(D30,'Curva Mestra'!$A$20:$A$94,0)),0)</f>
        <v/>
      </c>
      <c r="F30" s="236">
        <f>ROUND(INDEX('Curva Mestra'!$C$20:$C$94,MATCH(D30,'Curva Mestra'!$A$20:$A$94,0))*INDEX($B$5:$B$8,MATCH(C30,$A$5:$A$8,0)),0)</f>
        <v/>
      </c>
      <c r="G30" s="236">
        <f>ROUND(INDEX('Curva Mestra'!$D$20:$D$94,MATCH(D30,'Curva Mestra'!$A$20:$A$94,0))+INDEX($C$5:$C$8,MATCH(C30,$A$5:$A$8,0)),0)</f>
        <v/>
      </c>
      <c r="H30" s="237" t="inlineStr">
        <is>
          <t>Sobrevivente de vários confrontos na Estrada dos Bandidos.</t>
        </is>
      </c>
      <c r="I30" s="236" t="inlineStr">
        <is>
          <t>Corte Duplo</t>
        </is>
      </c>
      <c r="J30" s="235" t="inlineStr">
        <is>
          <t>Ataca 2x por turno, dano reduzido em cada golpe.</t>
        </is>
      </c>
      <c r="K30" s="236" t="inlineStr">
        <is>
          <t>Sobreviveu a 3 marcações e continua na estrada.</t>
        </is>
      </c>
      <c r="L30" s="238">
        <f>IF(C30="Comum",ROUND(E30*1.3,0),"—")</f>
        <v/>
      </c>
      <c r="M30" s="239">
        <f>IF(C30="Comum",ROUND(F30*1.15,0),"—")</f>
        <v/>
      </c>
      <c r="N30" s="240">
        <f>IF(C30="Comum",G30+2,"—")</f>
        <v/>
      </c>
      <c r="O30" s="239">
        <f>IF(C30="Comum",ROUND(E30*1.6,0),"—")</f>
        <v/>
      </c>
      <c r="P30" s="241">
        <f>IF(C30="Comum",ROUND(F30*1.3,0),"—")</f>
        <v/>
      </c>
      <c r="Q30" s="241">
        <f>IF(C30="Comum",G30+4,"—")</f>
        <v/>
      </c>
      <c r="R30" s="243" t="n"/>
      <c r="S30" s="241">
        <f>ROUND(3+0.6*D30+IF(C30="Comum",0,IF(C30="Elite",2,IF(C30="Boss",4,6))),0)</f>
        <v/>
      </c>
      <c r="T30" s="241" t="inlineStr">
        <is>
          <t>Sucata Retorcida + Cicatriz de Couro Curtido + Machadinha Gasta</t>
        </is>
      </c>
      <c r="U30" s="241" t="inlineStr">
        <is>
          <t>Fragilidade</t>
        </is>
      </c>
      <c r="V30" s="241" t="inlineStr">
        <is>
          <t>DPS</t>
        </is>
      </c>
      <c r="W30" s="161" t="inlineStr">
        <is>
          <t>Estrada dos Bandidos</t>
        </is>
      </c>
      <c r="X30" s="242" t="n"/>
      <c r="Y30" s="161" t="inlineStr">
        <is>
          <t>Ataca primeiro quem tem menos HP.</t>
        </is>
      </c>
      <c r="Z30" s="242" t="n"/>
      <c r="AA30" s="242" t="n"/>
    </row>
    <row r="31" ht="15" customHeight="1" s="116">
      <c r="A31" s="241" t="inlineStr">
        <is>
          <t>Sucata Enferrujada</t>
        </is>
      </c>
      <c r="B31" s="241" t="inlineStr">
        <is>
          <t>Fanático dos Dedos Rubros</t>
        </is>
      </c>
      <c r="C31" s="241" t="inlineStr">
        <is>
          <t>Elite</t>
        </is>
      </c>
      <c r="D31" s="241" t="n">
        <v>2</v>
      </c>
      <c r="E31" s="241">
        <f>ROUND(INDEX('Curva Mestra'!$G$20:$G$94,MATCH(D31,'Curva Mestra'!$A$20:$A$94,0)),0)</f>
        <v/>
      </c>
      <c r="F31" s="241">
        <f>ROUND(INDEX('Curva Mestra'!$C$20:$C$94,MATCH(D31,'Curva Mestra'!$A$20:$A$94,0))*INDEX($B$5:$B$8,MATCH(C31,$A$5:$A$8,0)),0)</f>
        <v/>
      </c>
      <c r="G31" s="241">
        <f>ROUND(INDEX('Curva Mestra'!$D$20:$D$94,MATCH(D31,'Curva Mestra'!$A$20:$A$94,0))+INDEX($C$5:$C$8,MATCH(C31,$A$5:$A$8,0)),0)</f>
        <v/>
      </c>
      <c r="H31" s="241" t="inlineStr">
        <is>
          <t>Encontro dificil dentro do tier Sucata Enferrujada</t>
        </is>
      </c>
      <c r="I31" s="241" t="inlineStr">
        <is>
          <t>Marca de Sangue</t>
        </is>
      </c>
      <c r="J31" s="241" t="inlineStr">
        <is>
          <t>Reduz a Defesa do herói em 1 até o fim do combate.</t>
        </is>
      </c>
      <c r="K31" s="241" t="inlineStr">
        <is>
          <t>Cultista que pintou o próprio rosto com sangue de vítimas — acredita que está "abrindo caminho" para a Mão.</t>
        </is>
      </c>
      <c r="L31" s="241">
        <f>IF(C31="Comum",ROUND(E31*1.3,0),"—")</f>
        <v/>
      </c>
      <c r="M31" s="241">
        <f>IF(C31="Comum",ROUND(F31*1.15,0),"—")</f>
        <v/>
      </c>
      <c r="N31" s="241">
        <f>IF(C31="Comum",G31+2,"—")</f>
        <v/>
      </c>
      <c r="O31" s="241">
        <f>IF(C31="Comum",ROUND(E31*1.6,0),"—")</f>
        <v/>
      </c>
      <c r="P31" s="241">
        <f>IF(C31="Comum",ROUND(F31*1.3,0),"—")</f>
        <v/>
      </c>
      <c r="Q31" s="241">
        <f>IF(C31="Comum",G31+4,"—")</f>
        <v/>
      </c>
      <c r="R31" s="161" t="inlineStr">
        <is>
          <t>As Portas Marcadas</t>
        </is>
      </c>
      <c r="S31" s="241">
        <f>ROUND(INDEX('Curva Mestra'!$D$20:$D$94,MATCH(D31,'Curva Mestra'!$A$20:$A$94,0))-IF(C31="Comum",9,IF(C31="Elite",6,IF(C31="Boss",4,3))),0)</f>
        <v/>
      </c>
      <c r="T31" s="241" t="inlineStr">
        <is>
          <t>Fragmento de Fanático dos Dedos Rubros + Ouro + Couro Áspero de Javali (chance baixa)</t>
        </is>
      </c>
      <c r="U31" s="241" t="inlineStr">
        <is>
          <t>Perde o bônus de grupo se isolado dos outros cultistas em combate.</t>
        </is>
      </c>
      <c r="V31" s="241" t="inlineStr">
        <is>
          <t>DPS</t>
        </is>
      </c>
      <c r="W31" s="243" t="inlineStr">
        <is>
          <t>Bosque Sombrio</t>
        </is>
      </c>
      <c r="X31" s="243" t="n"/>
      <c r="Y31" s="243" t="n"/>
      <c r="Z31" s="243" t="n"/>
      <c r="AA31" s="243" t="n"/>
    </row>
    <row r="32" ht="15" customHeight="1" s="116">
      <c r="A32" s="241" t="inlineStr">
        <is>
          <t>Sucata Enferrujada</t>
        </is>
      </c>
      <c r="B32" s="241" t="inlineStr">
        <is>
          <t>Cadela-Mãe da Ninhada</t>
        </is>
      </c>
      <c r="C32" s="241" t="inlineStr">
        <is>
          <t>Elite</t>
        </is>
      </c>
      <c r="D32" s="241" t="n">
        <v>3</v>
      </c>
      <c r="E32" s="241">
        <f>ROUND(INDEX('Curva Mestra'!$G$20:$G$94,MATCH(D32,'Curva Mestra'!$A$20:$A$94,0)),0)</f>
        <v/>
      </c>
      <c r="F32" s="241">
        <f>ROUND(INDEX('Curva Mestra'!$C$20:$C$94,MATCH(D32,'Curva Mestra'!$A$20:$A$94,0))*INDEX($B$5:$B$8,MATCH(C32,$A$5:$A$8,0)),0)</f>
        <v/>
      </c>
      <c r="G32" s="241">
        <f>ROUND(INDEX('Curva Mestra'!$D$20:$D$94,MATCH(D32,'Curva Mestra'!$A$20:$A$94,0))+INDEX($C$5:$C$8,MATCH(C32,$A$5:$A$8,0)),0)</f>
        <v/>
      </c>
      <c r="H32" s="241" t="inlineStr">
        <is>
          <t>Vive no Bosque Sombrio, escondida com a ninhada durante o dia.</t>
        </is>
      </c>
      <c r="I32" s="241" t="inlineStr">
        <is>
          <t>Chamado da Ninhada</t>
        </is>
      </c>
      <c r="J32" s="241" t="inlineStr">
        <is>
          <t>Invoca 2 Filhotes (Nv.1, HP baixo) ao chegar a 60% HP.</t>
        </is>
      </c>
      <c r="K32" s="241" t="inlineStr">
        <is>
          <t>Pariu no meio do sangue seco — os filhotes já nasceram marcados.</t>
        </is>
      </c>
      <c r="L32" s="241">
        <f>IF(C32="Comum",ROUND(E32*1.3,0),"—")</f>
        <v/>
      </c>
      <c r="M32" s="241">
        <f>IF(C32="Comum",ROUND(F32*1.15,0),"—")</f>
        <v/>
      </c>
      <c r="N32" s="241">
        <f>IF(C32="Comum",G32+2,"—")</f>
        <v/>
      </c>
      <c r="O32" s="241">
        <f>IF(C32="Comum",ROUND(E32*1.6,0),"—")</f>
        <v/>
      </c>
      <c r="P32" s="241">
        <f>IF(C32="Comum",ROUND(F32*1.3,0),"—")</f>
        <v/>
      </c>
      <c r="Q32" s="241">
        <f>IF(C32="Comum",G32+4,"—")</f>
        <v/>
      </c>
      <c r="R32" s="242" t="n"/>
      <c r="S32" s="241">
        <f>ROUND(3+0.6*D32+IF(C32="Comum",0,IF(C32="Elite",2,IF(C32="Boss",4,6))),0)</f>
        <v/>
      </c>
      <c r="T32" s="241" t="inlineStr">
        <is>
          <t>Couro Áspero de Javali, Presa</t>
        </is>
      </c>
      <c r="U32" s="241" t="inlineStr">
        <is>
          <t>Queimadura</t>
        </is>
      </c>
      <c r="V32" s="241" t="inlineStr">
        <is>
          <t>Invocador</t>
        </is>
      </c>
      <c r="W32" s="241" t="inlineStr">
        <is>
          <t>Bosque Sombrio, só à noite</t>
        </is>
      </c>
      <c r="X32" s="241" t="inlineStr">
        <is>
          <t>Enfurece se os 2 filhotes morrerem: +50% de dano.</t>
        </is>
      </c>
      <c r="Y32" s="241" t="inlineStr">
        <is>
          <t>Cava toca — some se você recuar.</t>
        </is>
      </c>
      <c r="Z32" s="243" t="n"/>
      <c r="AA32" s="243" t="n"/>
    </row>
    <row r="33" ht="15" customHeight="1" s="116">
      <c r="A33" s="241" t="inlineStr">
        <is>
          <t>Sucata Enferrujada</t>
        </is>
      </c>
      <c r="B33" s="241" t="inlineStr">
        <is>
          <t>Sussurrador de Portas</t>
        </is>
      </c>
      <c r="C33" s="241" t="inlineStr">
        <is>
          <t>Elite</t>
        </is>
      </c>
      <c r="D33" s="241" t="n">
        <v>3</v>
      </c>
      <c r="E33" s="241">
        <f>ROUND(INDEX('Curva Mestra'!$G$20:$G$94,MATCH(D33,'Curva Mestra'!$A$20:$A$94,0)),0)</f>
        <v/>
      </c>
      <c r="F33" s="241">
        <f>ROUND(INDEX('Curva Mestra'!$C$20:$C$94,MATCH(D33,'Curva Mestra'!$A$20:$A$94,0))*INDEX($B$5:$B$8,MATCH(C33,$A$5:$A$8,0)),0)</f>
        <v/>
      </c>
      <c r="G33" s="241">
        <f>ROUND(INDEX('Curva Mestra'!$D$20:$D$94,MATCH(D33,'Curva Mestra'!$A$20:$A$94,0))+INDEX($C$5:$C$8,MATCH(C33,$A$5:$A$8,0)),0)</f>
        <v/>
      </c>
      <c r="H33" s="241" t="inlineStr">
        <is>
          <t>Recita nomes de casas no centro do Acampamento dos Marcados.</t>
        </is>
      </c>
      <c r="I33" s="241" t="inlineStr">
        <is>
          <t>Ladainha da Mão</t>
        </is>
      </c>
      <c r="J33" s="241" t="inlineStr">
        <is>
          <t>Cura 3 HP/turno em todos os cultistas vivos no combate (não ataca).</t>
        </is>
      </c>
      <c r="K33" s="241" t="inlineStr">
        <is>
          <t>Recita os nomes das casas que ainda não foram marcadas.</t>
        </is>
      </c>
      <c r="L33" s="241">
        <f>IF(C33="Comum",ROUND(E33*1.3,0),"—")</f>
        <v/>
      </c>
      <c r="M33" s="241">
        <f>IF(C33="Comum",ROUND(F33*1.15,0),"—")</f>
        <v/>
      </c>
      <c r="N33" s="241">
        <f>IF(C33="Comum",G33+2,"—")</f>
        <v/>
      </c>
      <c r="O33" s="241">
        <f>IF(C33="Comum",ROUND(E33*1.6,0),"—")</f>
        <v/>
      </c>
      <c r="P33" s="241">
        <f>IF(C33="Comum",ROUND(F33*1.3,0),"—")</f>
        <v/>
      </c>
      <c r="Q33" s="241">
        <f>IF(C33="Comum",G33+4,"—")</f>
        <v/>
      </c>
      <c r="R33" s="242" t="n"/>
      <c r="S33" s="241">
        <f>ROUND(3+0.6*D33+IF(C33="Comum",0,IF(C33="Elite",2,IF(C33="Boss",4,6))),0)</f>
        <v/>
      </c>
      <c r="T33" s="241" t="inlineStr">
        <is>
          <t>Ouro + Voz Presa em Pano + Manto do Sussurrador</t>
        </is>
      </c>
      <c r="U33" s="241" t="inlineStr">
        <is>
          <t>Ignora Resistência Mágica</t>
        </is>
      </c>
      <c r="V33" s="241" t="inlineStr">
        <is>
          <t>Suporte</t>
        </is>
      </c>
      <c r="W33" s="241" t="inlineStr">
        <is>
          <t>Acampamento dos Marcados</t>
        </is>
      </c>
      <c r="X33" s="243" t="n"/>
      <c r="Y33" s="241" t="inlineStr">
        <is>
          <t>Foge se for o último cultista vivo.</t>
        </is>
      </c>
      <c r="Z33" s="243" t="n"/>
      <c r="AA33" s="243" t="n"/>
    </row>
    <row r="34" ht="15" customHeight="1" s="116">
      <c r="A34" s="241" t="inlineStr">
        <is>
          <t>Sucata Enferrujada</t>
        </is>
      </c>
      <c r="B34" s="241" t="inlineStr">
        <is>
          <t>Pintor de Portas</t>
        </is>
      </c>
      <c r="C34" s="241" t="inlineStr">
        <is>
          <t>Elite</t>
        </is>
      </c>
      <c r="D34" s="241" t="n">
        <v>3</v>
      </c>
      <c r="E34" s="241">
        <f>ROUND(INDEX('Curva Mestra'!$G$20:$G$94,MATCH(D34,'Curva Mestra'!$A$20:$A$94,0)),0)</f>
        <v/>
      </c>
      <c r="F34" s="241">
        <f>ROUND(INDEX('Curva Mestra'!$C$20:$C$94,MATCH(D34,'Curva Mestra'!$A$20:$A$94,0))*INDEX($B$5:$B$8,MATCH(C34,$A$5:$A$8,0)),0)</f>
        <v/>
      </c>
      <c r="G34" s="241">
        <f>ROUND(INDEX('Curva Mestra'!$D$20:$D$94,MATCH(D34,'Curva Mestra'!$A$20:$A$94,0))+INDEX($C$5:$C$8,MATCH(C34,$A$5:$A$8,0)),0)</f>
        <v/>
      </c>
      <c r="H34" s="241" t="inlineStr">
        <is>
          <t>Circula pelo Acampamento dos Marcados marcando o que encontra.</t>
        </is>
      </c>
      <c r="I34" s="241" t="inlineStr">
        <is>
          <t>Marca na Testa</t>
        </is>
      </c>
      <c r="J34" s="241" t="inlineStr">
        <is>
          <t>Marca o jogador: +25% de dano recebido de cultistas por 3 turnos.</t>
        </is>
      </c>
      <c r="K34" s="241" t="inlineStr">
        <is>
          <t>Não luta. Marca. Outro vem terminar o serviço.</t>
        </is>
      </c>
      <c r="L34" s="241">
        <f>IF(C34="Comum",ROUND(E34*1.3,0),"—")</f>
        <v/>
      </c>
      <c r="M34" s="241">
        <f>IF(C34="Comum",ROUND(F34*1.15,0),"—")</f>
        <v/>
      </c>
      <c r="N34" s="241">
        <f>IF(C34="Comum",G34+2,"—")</f>
        <v/>
      </c>
      <c r="O34" s="241">
        <f>IF(C34="Comum",ROUND(E34*1.6,0),"—")</f>
        <v/>
      </c>
      <c r="P34" s="241">
        <f>IF(C34="Comum",ROUND(F34*1.3,0),"—")</f>
        <v/>
      </c>
      <c r="Q34" s="241">
        <f>IF(C34="Comum",G34+4,"—")</f>
        <v/>
      </c>
      <c r="R34" s="242" t="n"/>
      <c r="S34" s="241">
        <f>ROUND(3+0.6*D34+IF(C34="Comum",0,IF(C34="Elite",2,IF(C34="Boss",4,6))),0)</f>
        <v/>
      </c>
      <c r="T34" s="241" t="inlineStr">
        <is>
          <t>Ouro + Tinta Ritual Concentrada + Pincel de Ossos</t>
        </is>
      </c>
      <c r="U34" s="241" t="inlineStr">
        <is>
          <t>Atordoamento</t>
        </is>
      </c>
      <c r="V34" s="241" t="inlineStr">
        <is>
          <t>Debuffer</t>
        </is>
      </c>
      <c r="W34" s="241" t="inlineStr">
        <is>
          <t>Acampamento dos Marcados</t>
        </is>
      </c>
      <c r="X34" s="243" t="n"/>
      <c r="Y34" s="241" t="inlineStr">
        <is>
          <t>Se sobreviver ao combate, o local ganha +1 Perigo permanente.</t>
        </is>
      </c>
      <c r="Z34" s="243" t="n"/>
      <c r="AA34" s="243" t="n"/>
    </row>
    <row r="35" ht="15" customHeight="1" s="116">
      <c r="A35" s="241" t="inlineStr">
        <is>
          <t>Sucata Enferrujada</t>
        </is>
      </c>
      <c r="B35" s="241" t="inlineStr">
        <is>
          <t>Baú de Oferendas Falso</t>
        </is>
      </c>
      <c r="C35" s="241" t="inlineStr">
        <is>
          <t>Elite</t>
        </is>
      </c>
      <c r="D35" s="241" t="n">
        <v>3</v>
      </c>
      <c r="E35" s="241">
        <f>ROUND(INDEX('Curva Mestra'!$G$20:$G$94,MATCH(D35,'Curva Mestra'!$A$20:$A$94,0)),0)</f>
        <v/>
      </c>
      <c r="F35" s="241">
        <f>ROUND(INDEX('Curva Mestra'!$C$20:$C$94,MATCH(D35,'Curva Mestra'!$A$20:$A$94,0))*INDEX($B$5:$B$8,MATCH(C35,$A$5:$A$8,0)),0)</f>
        <v/>
      </c>
      <c r="G35" s="241">
        <f>ROUND(INDEX('Curva Mestra'!$D$20:$D$94,MATCH(D35,'Curva Mestra'!$A$20:$A$94,0))+INDEX($C$5:$C$8,MATCH(C35,$A$5:$A$8,0)),0)</f>
        <v/>
      </c>
      <c r="H35" s="241" t="inlineStr">
        <is>
          <t>Disfarçado entre os pertences deixados na Estrada dos Bandidos.</t>
        </is>
      </c>
      <c r="I35" s="241" t="inlineStr">
        <is>
          <t>Mordida do Cofre</t>
        </is>
      </c>
      <c r="J35" s="241" t="inlineStr">
        <is>
          <t>Ignora Defesa + jogador perde 1 turno de surpresa.</t>
        </is>
      </c>
      <c r="K35" s="241" t="inlineStr">
        <is>
          <t>Cultistas deixam baús falsos nas estradas pra pegar saqueadores.</t>
        </is>
      </c>
      <c r="L35" s="241">
        <f>IF(C35="Comum",ROUND(E35*1.3,0),"—")</f>
        <v/>
      </c>
      <c r="M35" s="241">
        <f>IF(C35="Comum",ROUND(F35*1.15,0),"—")</f>
        <v/>
      </c>
      <c r="N35" s="241">
        <f>IF(C35="Comum",G35+2,"—")</f>
        <v/>
      </c>
      <c r="O35" s="241">
        <f>IF(C35="Comum",ROUND(E35*1.6,0),"—")</f>
        <v/>
      </c>
      <c r="P35" s="241">
        <f>IF(C35="Comum",ROUND(F35*1.3,0),"—")</f>
        <v/>
      </c>
      <c r="Q35" s="241">
        <f>IF(C35="Comum",G35+4,"—")</f>
        <v/>
      </c>
      <c r="R35" s="242" t="n"/>
      <c r="S35" s="241">
        <f>ROUND(3+0.6*D35+IF(C35="Comum",0,IF(C35="Elite",2,IF(C35="Boss",4,6))),0)</f>
        <v/>
      </c>
      <c r="T35" s="241" t="inlineStr">
        <is>
          <t>Sucata Retorcida x3</t>
        </is>
      </c>
      <c r="U35" s="241" t="inlineStr">
        <is>
          <t>Atordoamento</t>
        </is>
      </c>
      <c r="V35" s="241" t="inlineStr">
        <is>
          <t>Mímico</t>
        </is>
      </c>
      <c r="W35" s="241" t="inlineStr">
        <is>
          <t>Estrada/Acampamento, 5% ao encontrar um baú</t>
        </is>
      </c>
      <c r="X35" s="243" t="n"/>
      <c r="Y35" s="241" t="inlineStr">
        <is>
          <t>Parece loot comum — só revela a natureza ao ser interagido.</t>
        </is>
      </c>
      <c r="Z35" s="243" t="n"/>
      <c r="AA35" s="243" t="n"/>
    </row>
    <row r="36" ht="15" customHeight="1" s="116">
      <c r="A36" s="241" t="inlineStr">
        <is>
          <t>Sucata Enferrujada</t>
        </is>
      </c>
      <c r="B36" s="241" t="inlineStr">
        <is>
          <t>Besouro-Cofre Enferrujado</t>
        </is>
      </c>
      <c r="C36" s="241" t="inlineStr">
        <is>
          <t>Elite</t>
        </is>
      </c>
      <c r="D36" s="241" t="n">
        <v>3</v>
      </c>
      <c r="E36" s="241">
        <f>ROUND(INDEX('Curva Mestra'!$G$20:$G$94,MATCH(D36,'Curva Mestra'!$A$20:$A$94,0)),0)</f>
        <v/>
      </c>
      <c r="F36" s="241">
        <f>ROUND(INDEX('Curva Mestra'!$C$20:$C$94,MATCH(D36,'Curva Mestra'!$A$20:$A$94,0))*INDEX($B$5:$B$8,MATCH(C36,$A$5:$A$8,0)),0)</f>
        <v/>
      </c>
      <c r="G36" s="241">
        <f>ROUND(INDEX('Curva Mestra'!$D$20:$D$94,MATCH(D36,'Curva Mestra'!$A$20:$A$94,0))+INDEX($C$5:$C$8,MATCH(C36,$A$5:$A$8,0)),0)</f>
        <v/>
      </c>
      <c r="H36" s="241" t="inlineStr">
        <is>
          <t>Raramente visto no Veio de Sucata, atraído por metal solto.</t>
        </is>
      </c>
      <c r="I36" s="241" t="inlineStr">
        <is>
          <t>Ferrão de Fuga</t>
        </is>
      </c>
      <c r="J36" s="241" t="inlineStr">
        <is>
          <t>Não causa dano — foge no turno 3 se não for derrotado antes.</t>
        </is>
      </c>
      <c r="K36" s="241" t="inlineStr">
        <is>
          <t>Come metal. O que ele engoliu vale mais que ele.</t>
        </is>
      </c>
      <c r="L36" s="241">
        <f>IF(C36="Comum",ROUND(E36*1.3,0),"—")</f>
        <v/>
      </c>
      <c r="M36" s="241">
        <f>IF(C36="Comum",ROUND(F36*1.15,0),"—")</f>
        <v/>
      </c>
      <c r="N36" s="241">
        <f>IF(C36="Comum",G36+2,"—")</f>
        <v/>
      </c>
      <c r="O36" s="241">
        <f>IF(C36="Comum",ROUND(E36*1.6,0),"—")</f>
        <v/>
      </c>
      <c r="P36" s="241">
        <f>IF(C36="Comum",ROUND(F36*1.3,0),"—")</f>
        <v/>
      </c>
      <c r="Q36" s="241">
        <f>IF(C36="Comum",G36+4,"—")</f>
        <v/>
      </c>
      <c r="R36" s="242" t="n"/>
      <c r="S36" s="241">
        <f>ROUND(3+0.6*D36+IF(C36="Comum",0,IF(C36="Elite",2,IF(C36="Boss",4,6))),0)</f>
        <v/>
      </c>
      <c r="T36" s="241" t="inlineStr">
        <is>
          <t>Minério de Bronze Sulfuroso (material de Tier 2)</t>
        </is>
      </c>
      <c r="U36" s="241" t="inlineStr">
        <is>
          <t>Lentidão</t>
        </is>
      </c>
      <c r="V36" s="241" t="inlineStr">
        <is>
          <t>Superloot / Evasivo</t>
        </is>
      </c>
      <c r="W36" s="241" t="inlineStr">
        <is>
          <t>Veio de Sucata, spawn raro (2%)</t>
        </is>
      </c>
      <c r="X36" s="243" t="n"/>
      <c r="Y36" s="243" t="n"/>
      <c r="Z36" s="243" t="n"/>
      <c r="AA36" s="243" t="n"/>
    </row>
    <row r="37" ht="15" customHeight="1" s="116">
      <c r="A37" s="241" t="inlineStr">
        <is>
          <t>Sucata Enferrujada</t>
        </is>
      </c>
      <c r="B37" s="241" t="inlineStr">
        <is>
          <t>Caçador de Marcas</t>
        </is>
      </c>
      <c r="C37" s="241" t="inlineStr">
        <is>
          <t>Elite</t>
        </is>
      </c>
      <c r="D37" s="241" t="n">
        <v>4</v>
      </c>
      <c r="E37" s="241">
        <f>ROUND(INDEX('Curva Mestra'!$G$20:$G$94,MATCH(D37,'Curva Mestra'!$A$20:$A$94,0)),0)</f>
        <v/>
      </c>
      <c r="F37" s="241">
        <f>ROUND(INDEX('Curva Mestra'!$C$20:$C$94,MATCH(D37,'Curva Mestra'!$A$20:$A$94,0))*INDEX($B$5:$B$8,MATCH(C37,$A$5:$A$8,0)),0)</f>
        <v/>
      </c>
      <c r="G37" s="241">
        <f>ROUND(INDEX('Curva Mestra'!$D$20:$D$94,MATCH(D37,'Curva Mestra'!$A$20:$A$94,0))+INDEX($C$5:$C$8,MATCH(C37,$A$5:$A$8,0)),0)</f>
        <v/>
      </c>
      <c r="H37" s="241" t="inlineStr">
        <is>
          <t>Ligado a Culto dos Primeiros Marcados, região de Sucata Enferrujada.</t>
        </is>
      </c>
      <c r="I37" s="241" t="inlineStr">
        <is>
          <t>Faro de Sangue</t>
        </is>
      </c>
      <c r="J37" s="241" t="inlineStr">
        <is>
          <t>Nunca sofre penalidade de Furtividade contra alvos que sangraram no combate atual.</t>
        </is>
      </c>
      <c r="K37" s="241" t="inlineStr">
        <is>
          <t>Rastreia famílias que tentam fugir de vilas marcadas — reporta a localização delas ao culto antes de atacar. É a fonte do "Segredo" no diário do Irmão Lucian.</t>
        </is>
      </c>
      <c r="L37" s="241">
        <f>IF(C37="Comum",ROUND(E37*1.3,0),"—")</f>
        <v/>
      </c>
      <c r="M37" s="241">
        <f>IF(C37="Comum",ROUND(F37*1.15,0),"—")</f>
        <v/>
      </c>
      <c r="N37" s="241">
        <f>IF(C37="Comum",G37+2,"—")</f>
        <v/>
      </c>
      <c r="O37" s="241">
        <f>IF(C37="Comum",ROUND(E37*1.6,0),"—")</f>
        <v/>
      </c>
      <c r="P37" s="241">
        <f>IF(C37="Comum",ROUND(F37*1.3,0),"—")</f>
        <v/>
      </c>
      <c r="Q37" s="241">
        <f>IF(C37="Comum",G37+4,"—")</f>
        <v/>
      </c>
      <c r="R37" s="161" t="inlineStr">
        <is>
          <t>As Portas Marcadas (revelação); O Caçador Caçado</t>
        </is>
      </c>
      <c r="S37" s="241">
        <f>ROUND(INDEX('Curva Mestra'!$D$20:$D$94,MATCH(D37,'Curva Mestra'!$A$20:$A$94,0))-IF(C37="Comum",9,IF(C37="Elite",6,IF(C37="Boss",4,3))),0)</f>
        <v/>
      </c>
      <c r="T37" s="241" t="inlineStr">
        <is>
          <t>Fragmento de Caçador de Marcas + Ouro + Couro Áspero de Javali (chance baixa)</t>
        </is>
      </c>
      <c r="U37" s="241" t="inlineStr">
        <is>
          <t>Perde o bônus de grupo se isolado dos outros cultistas em combate.</t>
        </is>
      </c>
      <c r="V37" s="241" t="inlineStr">
        <is>
          <t>DPS</t>
        </is>
      </c>
      <c r="W37" s="243" t="inlineStr">
        <is>
          <t>Bosque Sombrio</t>
        </is>
      </c>
      <c r="X37" s="243" t="n"/>
      <c r="Y37" s="243" t="n"/>
      <c r="Z37" s="243" t="n"/>
      <c r="AA37" s="243" t="n"/>
    </row>
    <row r="38" ht="15" customHeight="1" s="116">
      <c r="A38" s="233" t="inlineStr">
        <is>
          <t>Sucata Enferrujada</t>
        </is>
      </c>
      <c r="B38" s="234" t="inlineStr">
        <is>
          <t>Espectro da Chuva Ferrosa</t>
        </is>
      </c>
      <c r="C38" s="233" t="inlineStr">
        <is>
          <t>Elite</t>
        </is>
      </c>
      <c r="D38" s="235" t="n">
        <v>4</v>
      </c>
      <c r="E38" s="236">
        <f>ROUND(INDEX('Curva Mestra'!$G$20:$G$94,MATCH(D38,'Curva Mestra'!$A$20:$A$94,0)),0)</f>
        <v/>
      </c>
      <c r="F38" s="236">
        <f>ROUND(INDEX('Curva Mestra'!$C$20:$C$94,MATCH(D38,'Curva Mestra'!$A$20:$A$94,0))*INDEX($B$5:$B$8,MATCH(C38,$A$5:$A$8,0)),0)</f>
        <v/>
      </c>
      <c r="G38" s="236">
        <f>ROUND(INDEX('Curva Mestra'!$D$20:$D$94,MATCH(D38,'Curva Mestra'!$A$20:$A$94,0))+INDEX($C$5:$C$8,MATCH(C38,$A$5:$A$8,0)),0)</f>
        <v/>
      </c>
      <c r="H38" s="237" t="inlineStr">
        <is>
          <t>Só se manifesta quando a chuva cai sobre o ferro marcado da região.</t>
        </is>
      </c>
      <c r="I38" s="236" t="inlineStr">
        <is>
          <t>Toque Oxidado</t>
        </is>
      </c>
      <c r="J38" s="235" t="inlineStr">
        <is>
          <t>Fragilidade forte (equipamento perde durabilidade 3x mais rápido).</t>
        </is>
      </c>
      <c r="K38" s="236" t="inlineStr">
        <is>
          <t>Só se forma quando a chuva passa pelo ferro marcado da região.</t>
        </is>
      </c>
      <c r="L38" s="238">
        <f>IF(C38="Comum",ROUND(E38*1.3,0),"—")</f>
        <v/>
      </c>
      <c r="M38" s="239">
        <f>IF(C38="Comum",ROUND(F38*1.15,0),"—")</f>
        <v/>
      </c>
      <c r="N38" s="240">
        <f>IF(C38="Comum",G38+2,"—")</f>
        <v/>
      </c>
      <c r="O38" s="239">
        <f>IF(C38="Comum",ROUND(E38*1.6,0),"—")</f>
        <v/>
      </c>
      <c r="P38" s="241">
        <f>IF(C38="Comum",ROUND(F38*1.3,0),"—")</f>
        <v/>
      </c>
      <c r="Q38" s="241">
        <f>IF(C38="Comum",G38+4,"—")</f>
        <v/>
      </c>
      <c r="R38" s="243" t="n"/>
      <c r="S38" s="241">
        <f>ROUND(3+0.6*D38+IF(C38="Comum",0,IF(C38="Elite",2,IF(C38="Boss",4,6))),0)</f>
        <v/>
      </c>
      <c r="T38" s="241" t="inlineStr">
        <is>
          <t>Ouro + Gota de Chuva Cristalizada + Resíduo Espectral Ferroso</t>
        </is>
      </c>
      <c r="U38" s="241" t="inlineStr">
        <is>
          <t>Ignora Resistência Mágica</t>
        </is>
      </c>
      <c r="V38" s="241" t="inlineStr">
        <is>
          <t>Condicional</t>
        </is>
      </c>
      <c r="W38" s="161" t="inlineStr">
        <is>
          <t>Só durante o evento Chuva Ferrosa das Ruínas</t>
        </is>
      </c>
      <c r="X38" s="242" t="n"/>
      <c r="Y38" s="161" t="inlineStr">
        <is>
          <t>Desaparece sozinho quando a chuva passa.</t>
        </is>
      </c>
      <c r="Z38" s="242" t="n"/>
      <c r="AA38" s="242" t="n"/>
    </row>
    <row r="39" ht="15" customHeight="1" s="116">
      <c r="A39" s="233" t="inlineStr">
        <is>
          <t>Sucata Enferrujada</t>
        </is>
      </c>
      <c r="B39" s="234" t="inlineStr">
        <is>
          <t>Garr'th, o Primeiro Vira-Casaca</t>
        </is>
      </c>
      <c r="C39" s="233" t="inlineStr">
        <is>
          <t>Elite</t>
        </is>
      </c>
      <c r="D39" s="235" t="n">
        <v>5</v>
      </c>
      <c r="E39" s="236">
        <f>ROUND(INDEX('Curva Mestra'!$G$20:$G$94,MATCH(D39,'Curva Mestra'!$A$20:$A$94,0)),0)</f>
        <v/>
      </c>
      <c r="F39" s="236">
        <f>ROUND(INDEX('Curva Mestra'!$C$20:$C$94,MATCH(D39,'Curva Mestra'!$A$20:$A$94,0))*INDEX($B$5:$B$8,MATCH(C39,$A$5:$A$8,0)),0)</f>
        <v/>
      </c>
      <c r="G39" s="236">
        <f>ROUND(INDEX('Curva Mestra'!$D$20:$D$94,MATCH(D39,'Curva Mestra'!$A$20:$A$94,0))+INDEX($C$5:$C$8,MATCH(C39,$A$5:$A$8,0)),0)</f>
        <v/>
      </c>
      <c r="H39" s="237" t="inlineStr">
        <is>
          <t>Aparece raramente na Estrada dos Bandidos, sempre sozinho.</t>
        </is>
      </c>
      <c r="I39" s="236" t="inlineStr">
        <is>
          <t>Lâmina do Arrependido</t>
        </is>
      </c>
      <c r="J39" s="235" t="inlineStr">
        <is>
          <t>Ignora Defesa + Rouba Vida (15%).</t>
        </is>
      </c>
      <c r="K39" s="236" t="inlineStr">
        <is>
          <t>Foi da Milícia dos Desamparados. Entregou a própria vila ao Culto em troca da vida da filha.</t>
        </is>
      </c>
      <c r="L39" s="238">
        <f>IF(C39="Comum",ROUND(E39*1.3,0),"—")</f>
        <v/>
      </c>
      <c r="M39" s="239">
        <f>IF(C39="Comum",ROUND(F39*1.15,0),"—")</f>
        <v/>
      </c>
      <c r="N39" s="240">
        <f>IF(C39="Comum",G39+2,"—")</f>
        <v/>
      </c>
      <c r="O39" s="239">
        <f>IF(C39="Comum",ROUND(E39*1.6,0),"—")</f>
        <v/>
      </c>
      <c r="P39" s="241">
        <f>IF(C39="Comum",ROUND(F39*1.3,0),"—")</f>
        <v/>
      </c>
      <c r="Q39" s="241">
        <f>IF(C39="Comum",G39+4,"—")</f>
        <v/>
      </c>
      <c r="R39" s="243" t="n"/>
      <c r="S39" s="241">
        <f>ROUND(3+0.6*D39+IF(C39="Comum",0,IF(C39="Elite",2,IF(C39="Boss",4,6))),0)</f>
        <v/>
      </c>
      <c r="T39" s="241" t="inlineStr">
        <is>
          <t>Ouro + Fragmento da Lâmina do Arrependido</t>
        </is>
      </c>
      <c r="U39" s="241" t="inlineStr">
        <is>
          <t>Ignora Resistência Mágica</t>
        </is>
      </c>
      <c r="V39" s="241" t="inlineStr">
        <is>
          <t>Nomeado / Mini-Boss</t>
        </is>
      </c>
      <c r="W39" s="161" t="inlineStr">
        <is>
          <t>Estrada dos Bandidos, spawn raro (3%)</t>
        </is>
      </c>
      <c r="X39" s="161" t="inlineStr">
        <is>
          <t>A 40% de HP pede pra ser morto — poupá-lo dá Título, matá-lo dá Loot Único.</t>
        </is>
      </c>
      <c r="Y39" s="242" t="n"/>
      <c r="Z39" s="161" t="inlineStr">
        <is>
          <t>Milícia dos Desamparados o caça ativamente: reputação ao derrotá-lo.</t>
        </is>
      </c>
      <c r="AA39" s="161" t="inlineStr">
        <is>
          <t>Anel do Traidor Perdoado [ver Artefatos e Relíquias]</t>
        </is>
      </c>
    </row>
    <row r="40" ht="15" customHeight="1" s="116">
      <c r="A40" s="233" t="inlineStr">
        <is>
          <t>Sucata Enferrujada</t>
        </is>
      </c>
      <c r="B40" s="234" t="inlineStr">
        <is>
          <t>Javali Selvagem Alfa</t>
        </is>
      </c>
      <c r="C40" s="233" t="inlineStr">
        <is>
          <t>Boss</t>
        </is>
      </c>
      <c r="D40" s="235" t="n">
        <v>4</v>
      </c>
      <c r="E40" s="236">
        <f>ROUND(INDEX('Curva Mestra'!$H$20:$H$94,MATCH(D40,'Curva Mestra'!$A$20:$A$94,0)),0)</f>
        <v/>
      </c>
      <c r="F40" s="236">
        <f>ROUND(INDEX('Curva Mestra'!$C$20:$C$94,MATCH(D40,'Curva Mestra'!$A$20:$A$94,0))*INDEX($B$5:$B$8,MATCH(C40,$A$5:$A$8,0)),0)</f>
        <v/>
      </c>
      <c r="G40" s="236">
        <f>ROUND(INDEX('Curva Mestra'!$D$20:$D$94,MATCH(D40,'Curva Mestra'!$A$20:$A$94,0))+INDEX($C$5:$C$8,MATCH(C40,$A$5:$A$8,0)),0)</f>
        <v/>
      </c>
      <c r="H40" s="237" t="inlineStr">
        <is>
          <t>Chefe / marco final do tier Sucata Enferrujada</t>
        </is>
      </c>
      <c r="I40" s="236" t="inlineStr">
        <is>
          <t>Investida Ensanguentada</t>
        </is>
      </c>
      <c r="J40" s="235" t="inlineStr">
        <is>
          <t>Empurra o alvo 2m e causa sangramento por 1 turno.</t>
        </is>
      </c>
      <c r="K40" s="236" t="inlineStr">
        <is>
          <t>A primeira fera a nascer já corrompida na região — sua presa quebrada virou o artefato "Anel de Dente do Javali Alfa".</t>
        </is>
      </c>
      <c r="L40" s="238">
        <f>IF(C40="Comum",ROUND(E40*1.3,0),"—")</f>
        <v/>
      </c>
      <c r="M40" s="239">
        <f>IF(C40="Comum",ROUND(F40*1.15,0),"—")</f>
        <v/>
      </c>
      <c r="N40" s="240">
        <f>IF(C40="Comum",G40+2,"—")</f>
        <v/>
      </c>
      <c r="O40" s="239">
        <f>IF(C40="Comum",ROUND(E40*1.6,0),"—")</f>
        <v/>
      </c>
      <c r="P40" s="241">
        <f>IF(C40="Comum",ROUND(F40*1.3,0),"—")</f>
        <v/>
      </c>
      <c r="Q40" s="241">
        <f>IF(C40="Comum",G40+4,"—")</f>
        <v/>
      </c>
      <c r="R40" s="241" t="inlineStr">
        <is>
          <t>A Estrada Insegura (item de origem: Anel de Dente do Javali Alfa)</t>
        </is>
      </c>
      <c r="S40" s="241">
        <f>ROUND(INDEX('Curva Mestra'!$D$20:$D$94,MATCH(D40,'Curva Mestra'!$A$20:$A$94,0))-IF(C40="Comum",9,IF(C40="Elite",6,IF(C40="Boss",4,3))),0)</f>
        <v/>
      </c>
      <c r="T40" s="241" t="inlineStr">
        <is>
          <t>Presa de Javali Selvagem Alfa + Essência de Javali Selvagem Alfa + Ouro + Couro Áspero de Javali (chance baixa)</t>
        </is>
      </c>
      <c r="U40" s="241" t="inlineStr">
        <is>
          <t>Vulnerável a Ignora Defesa — pele grossa, mas com pontos fracos previsíveis.</t>
        </is>
      </c>
      <c r="V40" s="161" t="inlineStr">
        <is>
          <t>DPS</t>
        </is>
      </c>
      <c r="W40" s="242" t="inlineStr">
        <is>
          <t>Bosque Sombrio</t>
        </is>
      </c>
      <c r="X40" s="242" t="n"/>
      <c r="Y40" s="242" t="n"/>
      <c r="Z40" s="242" t="n"/>
      <c r="AA40" s="242" t="inlineStr">
        <is>
          <t>Anel de Dente do Javali Alfa</t>
        </is>
      </c>
    </row>
    <row r="41" ht="15" customHeight="1" s="116">
      <c r="A41" s="233" t="inlineStr">
        <is>
          <t>Sucata Enferrujada</t>
        </is>
      </c>
      <c r="B41" s="234" t="inlineStr">
        <is>
          <t>O Colhedor do Primeiro Sangue</t>
        </is>
      </c>
      <c r="C41" s="233" t="inlineStr">
        <is>
          <t>Boss</t>
        </is>
      </c>
      <c r="D41" s="235" t="n">
        <v>5</v>
      </c>
      <c r="E41" s="236">
        <f>ROUND(INDEX('Curva Mestra'!$H$20:$H$94,MATCH(D41,'Curva Mestra'!$A$20:$A$94,0)),0)</f>
        <v/>
      </c>
      <c r="F41" s="236">
        <f>ROUND(INDEX('Curva Mestra'!$C$20:$C$94,MATCH(D41,'Curva Mestra'!$A$20:$A$94,0))*INDEX($B$5:$B$8,MATCH(C41,$A$5:$A$8,0)),0)</f>
        <v/>
      </c>
      <c r="G41" s="236">
        <f>ROUND(INDEX('Curva Mestra'!$D$20:$D$94,MATCH(D41,'Curva Mestra'!$A$20:$A$94,0))+INDEX($C$5:$C$8,MATCH(C41,$A$5:$A$8,0)),0)</f>
        <v/>
      </c>
      <c r="H41" s="237" t="inlineStr">
        <is>
          <t>Ligado a Culto dos Primeiros Marcados (líder local), região de Sucata Enferrujada.</t>
        </is>
      </c>
      <c r="I41" s="236" t="inlineStr">
        <is>
          <t>Ceifa Ritual</t>
        </is>
      </c>
      <c r="J41" s="235" t="inlineStr">
        <is>
          <t>Cura 20% do dano causado como HP para si mesmo.</t>
        </is>
      </c>
      <c r="K41" s="236" t="inlineStr">
        <is>
          <t>O cultista que pintou a primeira porta da região. Não é forte por poder próprio — é forte porque acredita que está certo. Guarda o segundo Fragmento do Sangue perdido.</t>
        </is>
      </c>
      <c r="L41" s="238">
        <f>IF(C41="Comum",ROUND(E41*1.3,0),"—")</f>
        <v/>
      </c>
      <c r="M41" s="239">
        <f>IF(C41="Comum",ROUND(F41*1.15,0),"—")</f>
        <v/>
      </c>
      <c r="N41" s="240">
        <f>IF(C41="Comum",G41+2,"—")</f>
        <v/>
      </c>
      <c r="O41" s="239">
        <f>IF(C41="Comum",ROUND(E41*1.6,0),"—")</f>
        <v/>
      </c>
      <c r="P41" s="241">
        <f>IF(C41="Comum",ROUND(F41*1.3,0),"—")</f>
        <v/>
      </c>
      <c r="Q41" s="241">
        <f>IF(C41="Comum",G41+4,"—")</f>
        <v/>
      </c>
      <c r="R41" s="241" t="inlineStr">
        <is>
          <t>O Colhedor do Primeiro Sangue (boss opcional, fecha o Tier)</t>
        </is>
      </c>
      <c r="S41" s="241">
        <f>ROUND(INDEX('Curva Mestra'!$D$20:$D$94,MATCH(D41,'Curva Mestra'!$A$20:$A$94,0))-IF(C41="Comum",9,IF(C41="Elite",6,IF(C41="Boss",4,3))),0)</f>
        <v/>
      </c>
      <c r="T41" s="241" t="inlineStr">
        <is>
          <t>Amostra de Carne de O Colhedor do Primeiro Sangue + Essência de O Colhedor do Primeiro Sangue + Ouro + Couro Áspero de Javali (chance baixa)</t>
        </is>
      </c>
      <c r="U41" s="241" t="inlineStr">
        <is>
          <t>Perde o bônus de grupo se isolado dos outros cultistas em combate.</t>
        </is>
      </c>
      <c r="V41" s="161" t="inlineStr">
        <is>
          <t>Suporte</t>
        </is>
      </c>
      <c r="W41" s="242" t="inlineStr">
        <is>
          <t>Bosque Sombrio</t>
        </is>
      </c>
      <c r="X41" s="242" t="n"/>
      <c r="Y41" s="242" t="n"/>
      <c r="Z41" s="242" t="n"/>
      <c r="AA41" s="242" t="n"/>
    </row>
    <row r="42" ht="15" customHeight="1" s="116">
      <c r="A42" s="233" t="inlineStr">
        <is>
          <t>Bronze</t>
        </is>
      </c>
      <c r="B42" s="234" t="inlineStr">
        <is>
          <t>Cão de Mina Cego</t>
        </is>
      </c>
      <c r="C42" s="233" t="inlineStr">
        <is>
          <t>Comum</t>
        </is>
      </c>
      <c r="D42" s="235" t="n">
        <v>3</v>
      </c>
      <c r="E42" s="236">
        <f>ROUND(INDEX('Curva Mestra'!$F$20:$F$94,MATCH(D42,'Curva Mestra'!$A$20:$A$94,0)),0)</f>
        <v/>
      </c>
      <c r="F42" s="236">
        <f>ROUND(INDEX('Curva Mestra'!$C$20:$C$94,MATCH(D42,'Curva Mestra'!$A$20:$A$94,0))*INDEX($B$5:$B$8,MATCH(C42,$A$5:$A$8,0)),0)</f>
        <v/>
      </c>
      <c r="G42" s="236">
        <f>ROUND(INDEX('Curva Mestra'!$D$20:$D$94,MATCH(D42,'Curva Mestra'!$A$20:$A$94,0))+INDEX($C$5:$C$8,MATCH(C42,$A$5:$A$8,0)),0)</f>
        <v/>
      </c>
      <c r="H42" s="237" t="inlineStr">
        <is>
          <t>Perambula pelos corredores da Mina de Bronze havia anos.</t>
        </is>
      </c>
      <c r="I42" s="236" t="inlineStr">
        <is>
          <t>(não ataca)</t>
        </is>
      </c>
      <c r="J42" s="235" t="inlineStr">
        <is>
          <t>Não-hostil: segue luz. Se poupado, guia até um ponto de coleta melhor (Qualidade Boa garantida).</t>
        </is>
      </c>
      <c r="K42" s="236" t="inlineStr">
        <is>
          <t>Ficou cego respirando gás há anos. Confia em quem carrega tocha.</t>
        </is>
      </c>
      <c r="L42" s="238">
        <f>IF(C42="Comum",ROUND(E42*1.3,0),"—")</f>
        <v/>
      </c>
      <c r="M42" s="239">
        <f>IF(C42="Comum",ROUND(F42*1.15,0),"—")</f>
        <v/>
      </c>
      <c r="N42" s="240">
        <f>IF(C42="Comum",G42+2,"—")</f>
        <v/>
      </c>
      <c r="O42" s="239">
        <f>IF(C42="Comum",ROUND(E42*1.6,0),"—")</f>
        <v/>
      </c>
      <c r="P42" s="241">
        <f>IF(C42="Comum",ROUND(F42*1.3,0),"—")</f>
        <v/>
      </c>
      <c r="Q42" s="241">
        <f>IF(C42="Comum",G42+4,"—")</f>
        <v/>
      </c>
      <c r="R42" s="243" t="n"/>
      <c r="S42" s="241">
        <f>ROUND(3+0.6*D42+IF(C42="Comum",0,IF(C42="Elite",2,IF(C42="Boss",4,6))),0)</f>
        <v/>
      </c>
      <c r="T42" s="241" t="inlineStr">
        <is>
          <t>Ouro + Pelo Embotado de Cão de Mina Cego + Faro Apurado de Cão de Mina Cego</t>
        </is>
      </c>
      <c r="U42" s="241" t="inlineStr">
        <is>
          <t>Sem fraqueza óbvia — precisa de Knowledge alto pra descobrir algo específico.</t>
        </is>
      </c>
      <c r="V42" s="161" t="inlineStr">
        <is>
          <t>Não-hostil</t>
        </is>
      </c>
      <c r="W42" s="161" t="inlineStr">
        <is>
          <t>Mina de Bronze</t>
        </is>
      </c>
      <c r="X42" s="242" t="n"/>
      <c r="Y42" s="161" t="inlineStr">
        <is>
          <t>Segue o jogador em 1 exploração se poupado.</t>
        </is>
      </c>
      <c r="Z42" s="242" t="n"/>
      <c r="AA42" s="242" t="n"/>
    </row>
    <row r="43" ht="15" customHeight="1" s="116">
      <c r="A43" s="233" t="inlineStr">
        <is>
          <t>Bronze</t>
        </is>
      </c>
      <c r="B43" s="234" t="inlineStr">
        <is>
          <t>Coletor Enferrujado da Mão</t>
        </is>
      </c>
      <c r="C43" s="233" t="inlineStr">
        <is>
          <t>Comum</t>
        </is>
      </c>
      <c r="D43" s="235" t="n">
        <v>4</v>
      </c>
      <c r="E43" s="236">
        <f>ROUND(INDEX('Curva Mestra'!$F$20:$F$94,MATCH(D43,'Curva Mestra'!$A$20:$A$94,0)),0)</f>
        <v/>
      </c>
      <c r="F43" s="236">
        <f>ROUND(INDEX('Curva Mestra'!$C$20:$C$94,MATCH(D43,'Curva Mestra'!$A$20:$A$94,0))*INDEX($B$5:$B$8,MATCH(C43,$A$5:$A$8,0)),0)</f>
        <v/>
      </c>
      <c r="G43" s="236">
        <f>ROUND(INDEX('Curva Mestra'!$D$20:$D$94,MATCH(D43,'Curva Mestra'!$A$20:$A$94,0))+INDEX($C$5:$C$8,MATCH(C43,$A$5:$A$8,0)),0)</f>
        <v/>
      </c>
      <c r="H43" s="237" t="inlineStr">
        <is>
          <t>Ronda a regiao do tier Bronze</t>
        </is>
      </c>
      <c r="I43" s="236" t="inlineStr">
        <is>
          <t>Golpe de Sucata</t>
        </is>
      </c>
      <c r="J43" s="235" t="inlineStr">
        <is>
          <t>Sem efeito especial — ataque cru de metal retorcido.</t>
        </is>
      </c>
      <c r="K43" s="236" t="inlineStr">
        <is>
          <t>Coleta minério pra vender ao Barão Grimm mesmo sabendo que os túneis "sussurram" — o vício em ganhar a próxima moeda já é uma forma leve de infecção.</t>
        </is>
      </c>
      <c r="L43" s="238">
        <f>IF(C43="Comum",ROUND(E43*1.3,0),"—")</f>
        <v/>
      </c>
      <c r="M43" s="239">
        <f>IF(C43="Comum",ROUND(F43*1.15,0),"—")</f>
        <v/>
      </c>
      <c r="N43" s="240">
        <f>IF(C43="Comum",G43+2,"—")</f>
        <v/>
      </c>
      <c r="O43" s="239">
        <f>IF(C43="Comum",ROUND(E43*1.6,0),"—")</f>
        <v/>
      </c>
      <c r="P43" s="241">
        <f>IF(C43="Comum",ROUND(F43*1.3,0),"—")</f>
        <v/>
      </c>
      <c r="Q43" s="241">
        <f>IF(C43="Comum",G43+4,"—")</f>
        <v/>
      </c>
      <c r="R43" s="241" t="inlineStr">
        <is>
          <t>A Mina Sufocada</t>
        </is>
      </c>
      <c r="S43" s="241">
        <f>ROUND(INDEX('Curva Mestra'!$D$20:$D$94,MATCH(D43,'Curva Mestra'!$A$20:$A$94,0))-IF(C43="Comum",9,IF(C43="Elite",6,IF(C43="Boss",4,3))),0)</f>
        <v/>
      </c>
      <c r="T43" s="241" t="inlineStr">
        <is>
          <t>Ouro + Saco de Minério Roubado + Picareta Cega do Coletor</t>
        </is>
      </c>
      <c r="U43" s="241" t="inlineStr">
        <is>
          <t>Sem fraqueza óbvia — precisa de Knowledge alto pra descobrir algo específico.</t>
        </is>
      </c>
      <c r="V43" s="242" t="inlineStr">
        <is>
          <t>DPS</t>
        </is>
      </c>
      <c r="W43" s="242" t="inlineStr">
        <is>
          <t>Mina de Bronze</t>
        </is>
      </c>
      <c r="X43" s="242" t="n"/>
      <c r="Y43" s="242" t="n"/>
      <c r="Z43" s="242" t="n"/>
      <c r="AA43" s="242" t="n"/>
    </row>
    <row r="44" ht="15" customHeight="1" s="116">
      <c r="A44" s="241" t="inlineStr">
        <is>
          <t>Bronze</t>
        </is>
      </c>
      <c r="B44" s="241" t="inlineStr">
        <is>
          <t>Mineiro Exausto</t>
        </is>
      </c>
      <c r="C44" s="241" t="inlineStr">
        <is>
          <t>Comum</t>
        </is>
      </c>
      <c r="D44" s="241" t="n">
        <v>4</v>
      </c>
      <c r="E44" s="241">
        <f>ROUND(INDEX('Curva Mestra'!$F$20:$F$94,MATCH(D44,'Curva Mestra'!$A$20:$A$94,0)),0)</f>
        <v/>
      </c>
      <c r="F44" s="241">
        <f>ROUND(INDEX('Curva Mestra'!$C$20:$C$94,MATCH(D44,'Curva Mestra'!$A$20:$A$94,0))*INDEX($B$5:$B$8,MATCH(C44,$A$5:$A$8,0)),0)</f>
        <v/>
      </c>
      <c r="G44" s="241">
        <f>ROUND(INDEX('Curva Mestra'!$D$20:$D$94,MATCH(D44,'Curva Mestra'!$A$20:$A$94,0))+INDEX($C$5:$C$8,MATCH(C44,$A$5:$A$8,0)),0)</f>
        <v/>
      </c>
      <c r="H44" s="241" t="inlineStr">
        <is>
          <t>Trabalha nas galerias principais da Mina de Bronze desde antes da marca.</t>
        </is>
      </c>
      <c r="I44" s="241" t="inlineStr">
        <is>
          <t>Picareta Fraca</t>
        </is>
      </c>
      <c r="J44" s="241" t="inlineStr">
        <is>
          <t>Nenhum efeito — 20% de chance de simplesmente desistir de lutar.</t>
        </is>
      </c>
      <c r="K44" s="241" t="inlineStr">
        <is>
          <t>Trabalha desde antes da marca aparecer. Não tem mais forças.</t>
        </is>
      </c>
      <c r="L44" s="241">
        <f>IF(C44="Comum",ROUND(E44*1.3,0),"—")</f>
        <v/>
      </c>
      <c r="M44" s="241">
        <f>IF(C44="Comum",ROUND(F44*1.15,0),"—")</f>
        <v/>
      </c>
      <c r="N44" s="241">
        <f>IF(C44="Comum",G44+2,"—")</f>
        <v/>
      </c>
      <c r="O44" s="241">
        <f>IF(C44="Comum",ROUND(E44*1.6,0),"—")</f>
        <v/>
      </c>
      <c r="P44" s="241">
        <f>IF(C44="Comum",ROUND(F44*1.3,0),"—")</f>
        <v/>
      </c>
      <c r="Q44" s="241">
        <f>IF(C44="Comum",G44+4,"—")</f>
        <v/>
      </c>
      <c r="R44" s="242" t="n"/>
      <c r="S44" s="241">
        <f>ROUND(3+0.6*D44+IF(C44="Comum",0,IF(C44="Elite",2,IF(C44="Boss",4,6))),0)</f>
        <v/>
      </c>
      <c r="T44" s="241" t="inlineStr">
        <is>
          <t>Ouro + Lanterna Encardida de Mineiro Exausto + Luva Rasgada de Mineiro Exausto</t>
        </is>
      </c>
      <c r="U44" s="241" t="inlineStr">
        <is>
          <t>Atordoamento</t>
        </is>
      </c>
      <c r="V44" s="241" t="inlineStr">
        <is>
          <t>Não-hostil condicional</t>
        </is>
      </c>
      <c r="W44" s="241" t="inlineStr">
        <is>
          <t>Mina de Bronze — Galeria Principal</t>
        </is>
      </c>
      <c r="X44" s="243" t="n"/>
      <c r="Y44" s="241" t="inlineStr">
        <is>
          <t>Se abordado sem arma sacada, não ataca — pode ser convencido a fugir da mina (quest).</t>
        </is>
      </c>
      <c r="Z44" s="241" t="inlineStr">
        <is>
          <t>A Guilda dos Picaretas Negros pune quem ajuda mineiros a fugir.</t>
        </is>
      </c>
      <c r="AA44" s="243" t="n"/>
    </row>
    <row r="45" ht="15" customHeight="1" s="116">
      <c r="A45" s="241" t="inlineStr">
        <is>
          <t>Bronze</t>
        </is>
      </c>
      <c r="B45" s="241" t="inlineStr">
        <is>
          <t>Aranha Recém-Nascida</t>
        </is>
      </c>
      <c r="C45" s="241" t="inlineStr">
        <is>
          <t>Comum</t>
        </is>
      </c>
      <c r="D45" s="241" t="n">
        <v>4</v>
      </c>
      <c r="E45" s="241">
        <f>ROUND(INDEX('Curva Mestra'!$F$20:$F$94,MATCH(D45,'Curva Mestra'!$A$20:$A$94,0)),0)</f>
        <v/>
      </c>
      <c r="F45" s="241">
        <f>ROUND(INDEX('Curva Mestra'!$C$20:$C$94,MATCH(D45,'Curva Mestra'!$A$20:$A$94,0))*INDEX($B$5:$B$8,MATCH(C45,$A$5:$A$8,0)),0)</f>
        <v/>
      </c>
      <c r="G45" s="241">
        <f>ROUND(INDEX('Curva Mestra'!$D$20:$D$94,MATCH(D45,'Curva Mestra'!$A$20:$A$94,0))+INDEX($C$5:$C$8,MATCH(C45,$A$5:$A$8,0)),0)</f>
        <v/>
      </c>
      <c r="H45" s="241" t="inlineStr">
        <is>
          <t>Ninhada nova encontrada nas galerias principais da mina.</t>
        </is>
      </c>
      <c r="I45" s="241" t="inlineStr">
        <is>
          <t>Picada Fraca</t>
        </is>
      </c>
      <c r="J45" s="241" t="inlineStr">
        <is>
          <t>Nenhum — sempre em grupo de 3-4.</t>
        </is>
      </c>
      <c r="K45" s="241" t="inlineStr">
        <is>
          <t>Ninhada nova da Matriarca.</t>
        </is>
      </c>
      <c r="L45" s="241">
        <f>IF(C45="Comum",ROUND(E45*1.3,0),"—")</f>
        <v/>
      </c>
      <c r="M45" s="241">
        <f>IF(C45="Comum",ROUND(F45*1.15,0),"—")</f>
        <v/>
      </c>
      <c r="N45" s="241">
        <f>IF(C45="Comum",G45+2,"—")</f>
        <v/>
      </c>
      <c r="O45" s="241">
        <f>IF(C45="Comum",ROUND(E45*1.6,0),"—")</f>
        <v/>
      </c>
      <c r="P45" s="241">
        <f>IF(C45="Comum",ROUND(F45*1.3,0),"—")</f>
        <v/>
      </c>
      <c r="Q45" s="241">
        <f>IF(C45="Comum",G45+4,"—")</f>
        <v/>
      </c>
      <c r="R45" s="242" t="n"/>
      <c r="S45" s="241">
        <f>ROUND(3+0.6*D45+IF(C45="Comum",0,IF(C45="Elite",2,IF(C45="Boss",4,6))),0)</f>
        <v/>
      </c>
      <c r="T45" s="241" t="inlineStr">
        <is>
          <t>Ouro + Fio de Teia Fresca</t>
        </is>
      </c>
      <c r="U45" s="241" t="inlineStr">
        <is>
          <t>Queimadura</t>
        </is>
      </c>
      <c r="V45" s="241" t="inlineStr">
        <is>
          <t>Enxame</t>
        </is>
      </c>
      <c r="W45" s="241" t="inlineStr">
        <is>
          <t>Mina de Bronze — Galeria Principal</t>
        </is>
      </c>
      <c r="X45" s="243" t="n"/>
      <c r="Y45" s="241" t="inlineStr">
        <is>
          <t>Chamam a Matriarca se todas morrerem (8%).</t>
        </is>
      </c>
      <c r="Z45" s="243" t="n"/>
      <c r="AA45" s="243" t="n"/>
    </row>
    <row r="46" ht="15" customHeight="1" s="116">
      <c r="A46" s="241" t="inlineStr">
        <is>
          <t>Bronze</t>
        </is>
      </c>
      <c r="B46" s="241" t="inlineStr">
        <is>
          <t>Aranha Operária</t>
        </is>
      </c>
      <c r="C46" s="241" t="inlineStr">
        <is>
          <t>Comum</t>
        </is>
      </c>
      <c r="D46" s="241" t="n">
        <v>5</v>
      </c>
      <c r="E46" s="241">
        <f>ROUND(INDEX('Curva Mestra'!$F$20:$F$94,MATCH(D46,'Curva Mestra'!$A$20:$A$94,0)),0)</f>
        <v/>
      </c>
      <c r="F46" s="241">
        <f>ROUND(INDEX('Curva Mestra'!$C$20:$C$94,MATCH(D46,'Curva Mestra'!$A$20:$A$94,0))*INDEX($B$5:$B$8,MATCH(C46,$A$5:$A$8,0)),0)</f>
        <v/>
      </c>
      <c r="G46" s="241">
        <f>ROUND(INDEX('Curva Mestra'!$D$20:$D$94,MATCH(D46,'Curva Mestra'!$A$20:$A$94,0))+INDEX($C$5:$C$8,MATCH(C46,$A$5:$A$8,0)),0)</f>
        <v/>
      </c>
      <c r="H46" s="241" t="inlineStr">
        <is>
          <t>Tece teias pelas galerias abandonadas da Mina de Bronze.</t>
        </is>
      </c>
      <c r="I46" s="241" t="inlineStr">
        <is>
          <t>Fiar Teia</t>
        </is>
      </c>
      <c r="J46" s="241" t="inlineStr">
        <is>
          <t>Cria uma Teia no local: -15% de chance de Fuga enquanto ativa.</t>
        </is>
      </c>
      <c r="K46" s="241" t="inlineStr">
        <is>
          <t>Tece as galerias abandonadas da mina, prende quem tenta correr.</t>
        </is>
      </c>
      <c r="L46" s="241">
        <f>IF(C46="Comum",ROUND(E46*1.3,0),"—")</f>
        <v/>
      </c>
      <c r="M46" s="241">
        <f>IF(C46="Comum",ROUND(F46*1.15,0),"—")</f>
        <v/>
      </c>
      <c r="N46" s="241">
        <f>IF(C46="Comum",G46+2,"—")</f>
        <v/>
      </c>
      <c r="O46" s="241">
        <f>IF(C46="Comum",ROUND(E46*1.6,0),"—")</f>
        <v/>
      </c>
      <c r="P46" s="241">
        <f>IF(C46="Comum",ROUND(F46*1.3,0),"—")</f>
        <v/>
      </c>
      <c r="Q46" s="241">
        <f>IF(C46="Comum",G46+4,"—")</f>
        <v/>
      </c>
      <c r="R46" s="242" t="n"/>
      <c r="S46" s="241">
        <f>ROUND(3+0.6*D46+IF(C46="Comum",0,IF(C46="Elite",2,IF(C46="Boss",4,6))),0)</f>
        <v/>
      </c>
      <c r="T46" s="241" t="inlineStr">
        <is>
          <t>Ouro + Fio de Teia Grossa + Glândula de Seda da Operária</t>
        </is>
      </c>
      <c r="U46" s="241" t="inlineStr">
        <is>
          <t>Queimadura</t>
        </is>
      </c>
      <c r="V46" s="241" t="inlineStr">
        <is>
          <t>Controle/Obstáculo</t>
        </is>
      </c>
      <c r="W46" s="241" t="inlineStr">
        <is>
          <t>Mina de Bronze — Galeria Principal</t>
        </is>
      </c>
      <c r="X46" s="243" t="n"/>
      <c r="Y46" s="241" t="inlineStr">
        <is>
          <t>A teia permanece 3 turnos mesmo se ela morrer.</t>
        </is>
      </c>
      <c r="Z46" s="243" t="n"/>
      <c r="AA46" s="243" t="n"/>
    </row>
    <row r="47" ht="15" customHeight="1" s="116">
      <c r="A47" s="241" t="inlineStr">
        <is>
          <t>Bronze</t>
        </is>
      </c>
      <c r="B47" s="241" t="inlineStr">
        <is>
          <t>Nuvem de Gás Sulfuroso</t>
        </is>
      </c>
      <c r="C47" s="241" t="inlineStr">
        <is>
          <t>Comum</t>
        </is>
      </c>
      <c r="D47" s="241" t="n">
        <v>5</v>
      </c>
      <c r="E47" s="241">
        <f>ROUND(INDEX('Curva Mestra'!$F$20:$F$94,MATCH(D47,'Curva Mestra'!$A$20:$A$94,0)),0)</f>
        <v/>
      </c>
      <c r="F47" s="241">
        <f>ROUND(INDEX('Curva Mestra'!$C$20:$C$94,MATCH(D47,'Curva Mestra'!$A$20:$A$94,0))*INDEX($B$5:$B$8,MATCH(C47,$A$5:$A$8,0)),0)</f>
        <v/>
      </c>
      <c r="G47" s="241">
        <f>ROUND(INDEX('Curva Mestra'!$D$20:$D$94,MATCH(D47,'Curva Mestra'!$A$20:$A$94,0))+INDEX($C$5:$C$8,MATCH(C47,$A$5:$A$8,0)),0)</f>
        <v/>
      </c>
      <c r="H47" s="241" t="inlineStr">
        <is>
          <t>Acumulada nos túneis fechados e mal ventilados da mina.</t>
        </is>
      </c>
      <c r="I47" s="241" t="inlineStr">
        <is>
          <t>Explosão de Gás</t>
        </is>
      </c>
      <c r="J47" s="241" t="inlineStr">
        <is>
          <t>3 de dano em área ao ser tocada — não persegue, fica parada.</t>
        </is>
      </c>
      <c r="K47" s="241" t="inlineStr">
        <is>
          <t>Bolsa de gás que se acumulou nos túneis mal ventilados.</t>
        </is>
      </c>
      <c r="L47" s="241">
        <f>IF(C47="Comum",ROUND(E47*1.3,0),"—")</f>
        <v/>
      </c>
      <c r="M47" s="241">
        <f>IF(C47="Comum",ROUND(F47*1.15,0),"—")</f>
        <v/>
      </c>
      <c r="N47" s="241">
        <f>IF(C47="Comum",G47+2,"—")</f>
        <v/>
      </c>
      <c r="O47" s="241">
        <f>IF(C47="Comum",ROUND(E47*1.6,0),"—")</f>
        <v/>
      </c>
      <c r="P47" s="241">
        <f>IF(C47="Comum",ROUND(F47*1.3,0),"—")</f>
        <v/>
      </c>
      <c r="Q47" s="241">
        <f>IF(C47="Comum",G47+4,"—")</f>
        <v/>
      </c>
      <c r="R47" s="242" t="n"/>
      <c r="S47" s="241">
        <f>ROUND(3+0.6*D47+IF(C47="Comum",0,IF(C47="Elite",2,IF(C47="Boss",4,6))),0)</f>
        <v/>
      </c>
      <c r="T47" s="241" t="inlineStr">
        <is>
          <t>Frasco de Gás Sulfuroso Condensado + Resíduo Amarelado da Nuvem</t>
        </is>
      </c>
      <c r="U47" s="241" t="inlineStr">
        <is>
          <t>Ignora Defesa</t>
        </is>
      </c>
      <c r="V47" s="241" t="inlineStr">
        <is>
          <t>Condicional/Explosivo</t>
        </is>
      </c>
      <c r="W47" s="241" t="inlineStr">
        <is>
          <t>Mina de Bronze — Túneis Baixos, só em área fechada</t>
        </is>
      </c>
      <c r="X47" s="243" t="n"/>
      <c r="Y47" s="241" t="inlineStr">
        <is>
          <t>Some sozinha depois de detonar uma vez.</t>
        </is>
      </c>
      <c r="Z47" s="243" t="n"/>
      <c r="AA47" s="243" t="n"/>
    </row>
    <row r="48" ht="15" customHeight="1" s="116">
      <c r="A48" s="241" t="inlineStr">
        <is>
          <t>Bronze</t>
        </is>
      </c>
      <c r="B48" s="241" t="inlineStr">
        <is>
          <t>Verme Perfurador</t>
        </is>
      </c>
      <c r="C48" s="241" t="inlineStr">
        <is>
          <t>Comum</t>
        </is>
      </c>
      <c r="D48" s="241" t="n">
        <v>5</v>
      </c>
      <c r="E48" s="241">
        <f>ROUND(INDEX('Curva Mestra'!$F$20:$F$94,MATCH(D48,'Curva Mestra'!$A$20:$A$94,0)),0)</f>
        <v/>
      </c>
      <c r="F48" s="241">
        <f>ROUND(INDEX('Curva Mestra'!$C$20:$C$94,MATCH(D48,'Curva Mestra'!$A$20:$A$94,0))*INDEX($B$5:$B$8,MATCH(C48,$A$5:$A$8,0)),0)</f>
        <v/>
      </c>
      <c r="G48" s="241">
        <f>ROUND(INDEX('Curva Mestra'!$D$20:$D$94,MATCH(D48,'Curva Mestra'!$A$20:$A$94,0))+INDEX($C$5:$C$8,MATCH(C48,$A$5:$A$8,0)),0)</f>
        <v/>
      </c>
      <c r="H48" s="241" t="inlineStr">
        <is>
          <t>Cava através da rocha mole dos túneis baixos da mina.</t>
        </is>
      </c>
      <c r="I48" s="241" t="inlineStr">
        <is>
          <t>Investida Subterrânea</t>
        </is>
      </c>
      <c r="J48" s="241" t="inlineStr">
        <is>
          <t>Ignora Defesa (perfura por baixo).</t>
        </is>
      </c>
      <c r="K48" s="241" t="inlineStr">
        <is>
          <t>Cava através da rocha mole — some e reaparece de outro ângulo.</t>
        </is>
      </c>
      <c r="L48" s="241">
        <f>IF(C48="Comum",ROUND(E48*1.3,0),"—")</f>
        <v/>
      </c>
      <c r="M48" s="241">
        <f>IF(C48="Comum",ROUND(F48*1.15,0),"—")</f>
        <v/>
      </c>
      <c r="N48" s="241">
        <f>IF(C48="Comum",G48+2,"—")</f>
        <v/>
      </c>
      <c r="O48" s="241">
        <f>IF(C48="Comum",ROUND(E48*1.6,0),"—")</f>
        <v/>
      </c>
      <c r="P48" s="241">
        <f>IF(C48="Comum",ROUND(F48*1.3,0),"—")</f>
        <v/>
      </c>
      <c r="Q48" s="241">
        <f>IF(C48="Comum",G48+4,"—")</f>
        <v/>
      </c>
      <c r="R48" s="242" t="n"/>
      <c r="S48" s="241">
        <f>ROUND(3+0.6*D48+IF(C48="Comum",0,IF(C48="Elite",2,IF(C48="Boss",4,6))),0)</f>
        <v/>
      </c>
      <c r="T48" s="241" t="inlineStr">
        <is>
          <t>Ouro + Mandíbula do Verme Perfurador + Segmento Escamoso de Verme</t>
        </is>
      </c>
      <c r="U48" s="241" t="inlineStr">
        <is>
          <t>Fragilidade</t>
        </is>
      </c>
      <c r="V48" s="241" t="inlineStr">
        <is>
          <t>Assassino</t>
        </is>
      </c>
      <c r="W48" s="241" t="inlineStr">
        <is>
          <t>Mina de Bronze — Túneis Baixos</t>
        </is>
      </c>
      <c r="X48" s="243" t="n"/>
      <c r="Y48" s="241" t="inlineStr">
        <is>
          <t>Pode sumir e reaparecer em outro ponto do combate.</t>
        </is>
      </c>
      <c r="Z48" s="243" t="n"/>
      <c r="AA48" s="243" t="n"/>
    </row>
    <row r="49" ht="15" customHeight="1" s="116">
      <c r="A49" s="241" t="inlineStr">
        <is>
          <t>Bronze</t>
        </is>
      </c>
      <c r="B49" s="241" t="inlineStr">
        <is>
          <t>Escravo da Rocha</t>
        </is>
      </c>
      <c r="C49" s="241" t="inlineStr">
        <is>
          <t>Comum</t>
        </is>
      </c>
      <c r="D49" s="241" t="n">
        <v>5</v>
      </c>
      <c r="E49" s="241">
        <f>ROUND(INDEX('Curva Mestra'!$F$20:$F$94,MATCH(D49,'Curva Mestra'!$A$20:$A$94,0)),0)</f>
        <v/>
      </c>
      <c r="F49" s="241">
        <f>ROUND(INDEX('Curva Mestra'!$C$20:$C$94,MATCH(D49,'Curva Mestra'!$A$20:$A$94,0))*INDEX($B$5:$B$8,MATCH(C49,$A$5:$A$8,0)),0)</f>
        <v/>
      </c>
      <c r="G49" s="241">
        <f>ROUND(INDEX('Curva Mestra'!$D$20:$D$94,MATCH(D49,'Curva Mestra'!$A$20:$A$94,0))+INDEX($C$5:$C$8,MATCH(C49,$A$5:$A$8,0)),0)</f>
        <v/>
      </c>
      <c r="H49" s="241" t="inlineStr">
        <is>
          <t>Forçado a trabalhar nos túneis mais baixos da mina.</t>
        </is>
      </c>
      <c r="I49" s="241" t="inlineStr">
        <is>
          <t>Golpe de Corrente</t>
        </is>
      </c>
      <c r="J49" s="241" t="inlineStr">
        <is>
          <t>Nenhum — luta só porque é forçado, sem convicção.</t>
        </is>
      </c>
      <c r="K49" s="241" t="inlineStr">
        <is>
          <t>Prisioneiro que a Guilda comprou pra trabalho forçado.</t>
        </is>
      </c>
      <c r="L49" s="241">
        <f>IF(C49="Comum",ROUND(E49*1.3,0),"—")</f>
        <v/>
      </c>
      <c r="M49" s="241">
        <f>IF(C49="Comum",ROUND(F49*1.15,0),"—")</f>
        <v/>
      </c>
      <c r="N49" s="241">
        <f>IF(C49="Comum",G49+2,"—")</f>
        <v/>
      </c>
      <c r="O49" s="241">
        <f>IF(C49="Comum",ROUND(E49*1.6,0),"—")</f>
        <v/>
      </c>
      <c r="P49" s="241">
        <f>IF(C49="Comum",ROUND(F49*1.3,0),"—")</f>
        <v/>
      </c>
      <c r="Q49" s="241">
        <f>IF(C49="Comum",G49+4,"—")</f>
        <v/>
      </c>
      <c r="R49" s="242" t="n"/>
      <c r="S49" s="241">
        <f>ROUND(3+0.6*D49+IF(C49="Comum",0,IF(C49="Elite",2,IF(C49="Boss",4,6))),0)</f>
        <v/>
      </c>
      <c r="T49" s="241" t="inlineStr">
        <is>
          <t>Ouro + Corrente Enferrujada de Escravo da Rocha + Pano de Trabalho Forçado</t>
        </is>
      </c>
      <c r="U49" s="241" t="inlineStr">
        <is>
          <t>Atordoamento</t>
        </is>
      </c>
      <c r="V49" s="241" t="inlineStr">
        <is>
          <t>DPS fraco</t>
        </is>
      </c>
      <c r="W49" s="241" t="inlineStr">
        <is>
          <t>Mina de Bronze — Túneis Baixos</t>
        </is>
      </c>
      <c r="X49" s="243" t="n"/>
      <c r="Y49" s="241" t="inlineStr">
        <is>
          <t>Se poupado, pode ser libertado (afeta reputação com Milícia dos Desamparados).</t>
        </is>
      </c>
      <c r="Z49" s="241" t="inlineStr">
        <is>
          <t>A Milícia dos Desamparados recompensa quem liberta escravos da Guilda.</t>
        </is>
      </c>
      <c r="AA49" s="243" t="n"/>
    </row>
    <row r="50" ht="15" customHeight="1" s="116">
      <c r="A50" s="241" t="inlineStr">
        <is>
          <t>Bronze</t>
        </is>
      </c>
      <c r="B50" s="241" t="inlineStr">
        <is>
          <t>Aranha Tecelã Menor</t>
        </is>
      </c>
      <c r="C50" s="241" t="inlineStr">
        <is>
          <t>Comum</t>
        </is>
      </c>
      <c r="D50" s="241" t="n">
        <v>5</v>
      </c>
      <c r="E50" s="241">
        <f>ROUND(INDEX('Curva Mestra'!$F$20:$F$94,MATCH(D50,'Curva Mestra'!$A$20:$A$94,0)),0)</f>
        <v/>
      </c>
      <c r="F50" s="241">
        <f>ROUND(INDEX('Curva Mestra'!$C$20:$C$94,MATCH(D50,'Curva Mestra'!$A$20:$A$94,0))*INDEX($B$5:$B$8,MATCH(C50,$A$5:$A$8,0)),0)</f>
        <v/>
      </c>
      <c r="G50" s="241">
        <f>ROUND(INDEX('Curva Mestra'!$D$20:$D$94,MATCH(D50,'Curva Mestra'!$A$20:$A$94,0))+INDEX($C$5:$C$8,MATCH(C50,$A$5:$A$8,0)),0)</f>
        <v/>
      </c>
      <c r="H50" s="241" t="inlineStr">
        <is>
          <t>Aranha jovem das galerias de entrada.</t>
        </is>
      </c>
      <c r="I50" s="241" t="inlineStr">
        <is>
          <t>Fio Fraco</t>
        </is>
      </c>
      <c r="J50" s="241" t="inlineStr">
        <is>
          <t>Nenhum — cria pequenas teias que atrasam fuga (-10%).</t>
        </is>
      </c>
      <c r="K50" s="241" t="inlineStr">
        <is>
          <t>Tece nas entradas dos túneis, mais fraca que a Operária.</t>
        </is>
      </c>
      <c r="L50" s="241">
        <f>IF(C50="Comum",ROUND(E50*1.3,0),"—")</f>
        <v/>
      </c>
      <c r="M50" s="241">
        <f>IF(C50="Comum",ROUND(F50*1.15,0),"—")</f>
        <v/>
      </c>
      <c r="N50" s="241">
        <f>IF(C50="Comum",G50+2,"—")</f>
        <v/>
      </c>
      <c r="O50" s="241">
        <f>IF(C50="Comum",ROUND(E50*1.6,0),"—")</f>
        <v/>
      </c>
      <c r="P50" s="241">
        <f>IF(C50="Comum",ROUND(F50*1.3,0),"—")</f>
        <v/>
      </c>
      <c r="Q50" s="241">
        <f>IF(C50="Comum",G50+4,"—")</f>
        <v/>
      </c>
      <c r="R50" s="242" t="n"/>
      <c r="S50" s="241">
        <f>ROUND(3+0.6*D50+IF(C50="Comum",0,IF(C50="Elite",2,IF(C50="Boss",4,6))),0)</f>
        <v/>
      </c>
      <c r="T50" s="241" t="inlineStr">
        <is>
          <t>Ouro + Fio de Teia Fina</t>
        </is>
      </c>
      <c r="U50" s="241" t="inlineStr">
        <is>
          <t>Queimadura</t>
        </is>
      </c>
      <c r="V50" s="241" t="inlineStr">
        <is>
          <t>Controle</t>
        </is>
      </c>
      <c r="W50" s="241" t="inlineStr">
        <is>
          <t>Mina de Bronze — Entrada</t>
        </is>
      </c>
      <c r="X50" s="243" t="n"/>
      <c r="Y50" s="243" t="n"/>
      <c r="Z50" s="243" t="n"/>
      <c r="AA50" s="243" t="n"/>
    </row>
    <row r="51" ht="15" customHeight="1" s="116">
      <c r="A51" s="241" t="inlineStr">
        <is>
          <t>Bronze</t>
        </is>
      </c>
      <c r="B51" s="241" t="inlineStr">
        <is>
          <t>Poeira Viva de Minério</t>
        </is>
      </c>
      <c r="C51" s="241" t="inlineStr">
        <is>
          <t>Comum</t>
        </is>
      </c>
      <c r="D51" s="241" t="n">
        <v>5</v>
      </c>
      <c r="E51" s="241">
        <f>ROUND(INDEX('Curva Mestra'!$F$20:$F$94,MATCH(D51,'Curva Mestra'!$A$20:$A$94,0)),0)</f>
        <v/>
      </c>
      <c r="F51" s="241">
        <f>ROUND(INDEX('Curva Mestra'!$C$20:$C$94,MATCH(D51,'Curva Mestra'!$A$20:$A$94,0))*INDEX($B$5:$B$8,MATCH(C51,$A$5:$A$8,0)),0)</f>
        <v/>
      </c>
      <c r="G51" s="241">
        <f>ROUND(INDEX('Curva Mestra'!$D$20:$D$94,MATCH(D51,'Curva Mestra'!$A$20:$A$94,0))+INDEX($C$5:$C$8,MATCH(C51,$A$5:$A$8,0)),0)</f>
        <v/>
      </c>
      <c r="H51" s="241" t="inlineStr">
        <is>
          <t>Nuvem de poeira mineral corrompida.</t>
        </is>
      </c>
      <c r="I51" s="241" t="inlineStr">
        <is>
          <t>Sufocar</t>
        </is>
      </c>
      <c r="J51" s="241" t="inlineStr">
        <is>
          <t>Atordoamento (20%) — só ativo em túnel fechado.</t>
        </is>
      </c>
      <c r="K51" s="241" t="inlineStr">
        <is>
          <t>Poeira de anos de mineração que ganhou consciência própria.</t>
        </is>
      </c>
      <c r="L51" s="241">
        <f>IF(C51="Comum",ROUND(E51*1.3,0),"—")</f>
        <v/>
      </c>
      <c r="M51" s="241">
        <f>IF(C51="Comum",ROUND(F51*1.15,0),"—")</f>
        <v/>
      </c>
      <c r="N51" s="241">
        <f>IF(C51="Comum",G51+2,"—")</f>
        <v/>
      </c>
      <c r="O51" s="241">
        <f>IF(C51="Comum",ROUND(E51*1.6,0),"—")</f>
        <v/>
      </c>
      <c r="P51" s="241">
        <f>IF(C51="Comum",ROUND(F51*1.3,0),"—")</f>
        <v/>
      </c>
      <c r="Q51" s="241">
        <f>IF(C51="Comum",G51+4,"—")</f>
        <v/>
      </c>
      <c r="R51" s="242" t="n"/>
      <c r="S51" s="241">
        <f>ROUND(3+0.6*D51+IF(C51="Comum",0,IF(C51="Elite",2,IF(C51="Boss",4,6))),0)</f>
        <v/>
      </c>
      <c r="T51" s="241" t="inlineStr">
        <is>
          <t>Punhado de Poeira Viva + Cristal de Minério Consciente</t>
        </is>
      </c>
      <c r="U51" s="241" t="inlineStr">
        <is>
          <t>Ignora Resistência Mágica</t>
        </is>
      </c>
      <c r="V51" s="241" t="inlineStr">
        <is>
          <t>Condicional</t>
        </is>
      </c>
      <c r="W51" s="241" t="inlineStr">
        <is>
          <t>Mina de Bronze — Túneis Baixos, só em area fechada</t>
        </is>
      </c>
      <c r="X51" s="243" t="n"/>
      <c r="Y51" s="243" t="n"/>
      <c r="Z51" s="243" t="n"/>
      <c r="AA51" s="243" t="n"/>
    </row>
    <row r="52" ht="15" customHeight="1" s="116">
      <c r="A52" s="241" t="inlineStr">
        <is>
          <t>Bronze</t>
        </is>
      </c>
      <c r="B52" s="241" t="inlineStr">
        <is>
          <t>Segunda Aranha Recém-Nascida</t>
        </is>
      </c>
      <c r="C52" s="241" t="inlineStr">
        <is>
          <t>Comum</t>
        </is>
      </c>
      <c r="D52" s="241" t="n">
        <v>5</v>
      </c>
      <c r="E52" s="241">
        <f>ROUND(INDEX('Curva Mestra'!$F$20:$F$94,MATCH(D52,'Curva Mestra'!$A$20:$A$94,0)),0)</f>
        <v/>
      </c>
      <c r="F52" s="241">
        <f>ROUND(INDEX('Curva Mestra'!$C$20:$C$94,MATCH(D52,'Curva Mestra'!$A$20:$A$94,0))*INDEX($B$5:$B$8,MATCH(C52,$A$5:$A$8,0)),0)</f>
        <v/>
      </c>
      <c r="G52" s="241">
        <f>ROUND(INDEX('Curva Mestra'!$D$20:$D$94,MATCH(D52,'Curva Mestra'!$A$20:$A$94,0))+INDEX($C$5:$C$8,MATCH(C52,$A$5:$A$8,0)),0)</f>
        <v/>
      </c>
      <c r="H52" s="241" t="inlineStr">
        <is>
          <t>Ninhada mais nova da Matriarca.</t>
        </is>
      </c>
      <c r="I52" s="241" t="inlineStr">
        <is>
          <t>Picada Fraca</t>
        </is>
      </c>
      <c r="J52" s="241" t="inlineStr">
        <is>
          <t>Nenhum — sempre em grupo com a Aranha Recém-Nascida original.</t>
        </is>
      </c>
      <c r="K52" s="241" t="inlineStr">
        <is>
          <t>Segunda ninhada da Matriarca, nasceu semanas depois.</t>
        </is>
      </c>
      <c r="L52" s="241">
        <f>IF(C52="Comum",ROUND(E52*1.3,0),"—")</f>
        <v/>
      </c>
      <c r="M52" s="241">
        <f>IF(C52="Comum",ROUND(F52*1.15,0),"—")</f>
        <v/>
      </c>
      <c r="N52" s="241">
        <f>IF(C52="Comum",G52+2,"—")</f>
        <v/>
      </c>
      <c r="O52" s="241">
        <f>IF(C52="Comum",ROUND(E52*1.6,0),"—")</f>
        <v/>
      </c>
      <c r="P52" s="241">
        <f>IF(C52="Comum",ROUND(F52*1.3,0),"—")</f>
        <v/>
      </c>
      <c r="Q52" s="241">
        <f>IF(C52="Comum",G52+4,"—")</f>
        <v/>
      </c>
      <c r="R52" s="242" t="n"/>
      <c r="S52" s="241">
        <f>ROUND(3+0.6*D52+IF(C52="Comum",0,IF(C52="Elite",2,IF(C52="Boss",4,6))),0)</f>
        <v/>
      </c>
      <c r="T52" s="241" t="inlineStr">
        <is>
          <t>Ouro + Fio de Teia Fresca</t>
        </is>
      </c>
      <c r="U52" s="241" t="inlineStr">
        <is>
          <t>Queimadura</t>
        </is>
      </c>
      <c r="V52" s="241" t="inlineStr">
        <is>
          <t>Enxame</t>
        </is>
      </c>
      <c r="W52" s="241" t="inlineStr">
        <is>
          <t>Mina de Bronze — Galeria Principal</t>
        </is>
      </c>
      <c r="X52" s="243" t="n"/>
      <c r="Y52" s="243" t="n"/>
      <c r="Z52" s="243" t="n"/>
      <c r="AA52" s="243" t="n"/>
    </row>
    <row r="53" ht="15" customHeight="1" s="116">
      <c r="A53" s="241" t="inlineStr">
        <is>
          <t>Bronze</t>
        </is>
      </c>
      <c r="B53" s="241" t="inlineStr">
        <is>
          <t>Aranha da Mina</t>
        </is>
      </c>
      <c r="C53" s="241" t="inlineStr">
        <is>
          <t>Comum</t>
        </is>
      </c>
      <c r="D53" s="241" t="n">
        <v>6</v>
      </c>
      <c r="E53" s="241">
        <f>ROUND(INDEX('Curva Mestra'!$F$20:$F$94,MATCH(D53,'Curva Mestra'!$A$20:$A$94,0)),0)</f>
        <v/>
      </c>
      <c r="F53" s="241">
        <f>ROUND(INDEX('Curva Mestra'!$C$20:$C$94,MATCH(D53,'Curva Mestra'!$A$20:$A$94,0))*INDEX($B$5:$B$8,MATCH(C53,$A$5:$A$8,0)),0)</f>
        <v/>
      </c>
      <c r="G53" s="241">
        <f>ROUND(INDEX('Curva Mestra'!$D$20:$D$94,MATCH(D53,'Curva Mestra'!$A$20:$A$94,0))+INDEX($C$5:$C$8,MATCH(C53,$A$5:$A$8,0)),0)</f>
        <v/>
      </c>
      <c r="H53" s="241" t="inlineStr">
        <is>
          <t>Ronda a regiao do tier Bronze</t>
        </is>
      </c>
      <c r="I53" s="241" t="inlineStr">
        <is>
          <t>Teia Pegajosa</t>
        </is>
      </c>
      <c r="J53" s="241" t="inlineStr">
        <is>
          <t>Reduz a velocidade de fuga do alvo em 1 turno.</t>
        </is>
      </c>
      <c r="K53" s="241" t="inlineStr">
        <is>
          <t>Nativa das galerias, cresceu maior depois que os vapores do minério de bronze contaminado baixaram pelos túneis.</t>
        </is>
      </c>
      <c r="L53" s="241">
        <f>IF(C53="Comum",ROUND(E53*1.3,0),"—")</f>
        <v/>
      </c>
      <c r="M53" s="241">
        <f>IF(C53="Comum",ROUND(F53*1.15,0),"—")</f>
        <v/>
      </c>
      <c r="N53" s="241">
        <f>IF(C53="Comum",G53+2,"—")</f>
        <v/>
      </c>
      <c r="O53" s="241">
        <f>IF(C53="Comum",ROUND(E53*1.6,0),"—")</f>
        <v/>
      </c>
      <c r="P53" s="241">
        <f>IF(C53="Comum",ROUND(F53*1.3,0),"—")</f>
        <v/>
      </c>
      <c r="Q53" s="241">
        <f>IF(C53="Comum",G53+4,"—")</f>
        <v/>
      </c>
      <c r="R53" s="161" t="inlineStr">
        <is>
          <t>A Mina Sufocada; O Ninho Que Não Devia Crescer</t>
        </is>
      </c>
      <c r="S53" s="241">
        <f>ROUND(INDEX('Curva Mestra'!$D$20:$D$94,MATCH(D53,'Curva Mestra'!$A$20:$A$94,0))-IF(C53="Comum",9,IF(C53="Elite",6,IF(C53="Boss",4,3))),0)</f>
        <v/>
      </c>
      <c r="T53" s="241" t="inlineStr">
        <is>
          <t>Ouro + Presa de Aranha da Mina + Quitina de Aranha das Cavernas (chance rara)</t>
        </is>
      </c>
      <c r="U53" s="241" t="inlineStr">
        <is>
          <t>Vulnerável a Atordoamento — travas mecânicas emperram com o dobro de chance.</t>
        </is>
      </c>
      <c r="V53" s="243" t="inlineStr">
        <is>
          <t>DPS</t>
        </is>
      </c>
      <c r="W53" s="243" t="inlineStr">
        <is>
          <t>Mina de Bronze</t>
        </is>
      </c>
      <c r="X53" s="243" t="n"/>
      <c r="Y53" s="243" t="n"/>
      <c r="Z53" s="243" t="n"/>
      <c r="AA53" s="243" t="n"/>
    </row>
    <row r="54" ht="15" customHeight="1" s="116">
      <c r="A54" s="241" t="inlineStr">
        <is>
          <t>Bronze</t>
        </is>
      </c>
      <c r="B54" s="241" t="inlineStr">
        <is>
          <t>Verme Sulfuroso</t>
        </is>
      </c>
      <c r="C54" s="241" t="inlineStr">
        <is>
          <t>Comum</t>
        </is>
      </c>
      <c r="D54" s="241" t="n">
        <v>6</v>
      </c>
      <c r="E54" s="241">
        <f>ROUND(INDEX('Curva Mestra'!$F$20:$F$94,MATCH(D54,'Curva Mestra'!$A$20:$A$94,0)),0)</f>
        <v/>
      </c>
      <c r="F54" s="241">
        <f>ROUND(INDEX('Curva Mestra'!$C$20:$C$94,MATCH(D54,'Curva Mestra'!$A$20:$A$94,0))*INDEX($B$5:$B$8,MATCH(C54,$A$5:$A$8,0)),0)</f>
        <v/>
      </c>
      <c r="G54" s="241">
        <f>ROUND(INDEX('Curva Mestra'!$D$20:$D$94,MATCH(D54,'Curva Mestra'!$A$20:$A$94,0))+INDEX($C$5:$C$8,MATCH(C54,$A$5:$A$8,0)),0)</f>
        <v/>
      </c>
      <c r="H54" s="241" t="inlineStr">
        <is>
          <t>Ligado à Guilda dos Picaretas Negros, região de Bronze.</t>
        </is>
      </c>
      <c r="I54" s="241" t="inlineStr">
        <is>
          <t>Golpe Corrosivo</t>
        </is>
      </c>
      <c r="J54" s="241" t="inlineStr">
        <is>
          <t>Reduz a Defesa do alvo em 1 até o fim do combate (ácido).</t>
        </is>
      </c>
      <c r="K54" s="241" t="inlineStr">
        <is>
          <t>Criatura de túnel atraída pelos vapores sulfurosos do minério — corrói os suportes de madeira da mina, acelerando desabamentos que Grimm finge não notar.</t>
        </is>
      </c>
      <c r="L54" s="241">
        <f>IF(C54="Comum",ROUND(E54*1.3,0),"—")</f>
        <v/>
      </c>
      <c r="M54" s="241">
        <f>IF(C54="Comum",ROUND(F54*1.15,0),"—")</f>
        <v/>
      </c>
      <c r="N54" s="241">
        <f>IF(C54="Comum",G54+2,"—")</f>
        <v/>
      </c>
      <c r="O54" s="241">
        <f>IF(C54="Comum",ROUND(E54*1.6,0),"—")</f>
        <v/>
      </c>
      <c r="P54" s="241">
        <f>IF(C54="Comum",ROUND(F54*1.3,0),"—")</f>
        <v/>
      </c>
      <c r="Q54" s="241">
        <f>IF(C54="Comum",G54+4,"—")</f>
        <v/>
      </c>
      <c r="R54" s="161" t="inlineStr">
        <is>
          <t>Vermes na Rocha</t>
        </is>
      </c>
      <c r="S54" s="241">
        <f>ROUND(INDEX('Curva Mestra'!$D$20:$D$94,MATCH(D54,'Curva Mestra'!$A$20:$A$94,0))-IF(C54="Comum",9,IF(C54="Elite",6,IF(C54="Boss",4,3))),0)</f>
        <v/>
      </c>
      <c r="T54" s="241" t="inlineStr">
        <is>
          <t>Ouro + Baba Sulfurosa de Verme + Quitina de Aranha das Cavernas (chance rara)</t>
        </is>
      </c>
      <c r="U54" s="241" t="inlineStr">
        <is>
          <t>Vulnerável a Atordoamento — travas mecânicas emperram com o dobro de chance.</t>
        </is>
      </c>
      <c r="V54" s="243" t="inlineStr">
        <is>
          <t>DPS</t>
        </is>
      </c>
      <c r="W54" s="243" t="inlineStr">
        <is>
          <t>Mina de Bronze</t>
        </is>
      </c>
      <c r="X54" s="243" t="n"/>
      <c r="Y54" s="243" t="n"/>
      <c r="Z54" s="243" t="n"/>
      <c r="AA54" s="243" t="n"/>
    </row>
    <row r="55" ht="15" customHeight="1" s="116">
      <c r="A55" s="233" t="inlineStr">
        <is>
          <t>Bronze</t>
        </is>
      </c>
      <c r="B55" s="234" t="inlineStr">
        <is>
          <t>Aranha Pútrida</t>
        </is>
      </c>
      <c r="C55" s="233" t="inlineStr">
        <is>
          <t>Comum</t>
        </is>
      </c>
      <c r="D55" s="235" t="n">
        <v>6</v>
      </c>
      <c r="E55" s="236">
        <f>ROUND(INDEX('Curva Mestra'!$F$20:$F$94,MATCH(D55,'Curva Mestra'!$A$20:$A$94,0)),0)</f>
        <v/>
      </c>
      <c r="F55" s="236">
        <f>ROUND(INDEX('Curva Mestra'!$C$20:$C$94,MATCH(D55,'Curva Mestra'!$A$20:$A$94,0))*INDEX($B$5:$B$8,MATCH(C55,$A$5:$A$8,0)),0)</f>
        <v/>
      </c>
      <c r="G55" s="236">
        <f>ROUND(INDEX('Curva Mestra'!$D$20:$D$94,MATCH(D55,'Curva Mestra'!$A$20:$A$94,0))+INDEX($C$5:$C$8,MATCH(C55,$A$5:$A$8,0)),0)</f>
        <v/>
      </c>
      <c r="H55" s="237" t="inlineStr">
        <is>
          <t>Vive nos túneis mais fundos e mal ventilados da Mina de Bronze.</t>
        </is>
      </c>
      <c r="I55" s="236" t="inlineStr">
        <is>
          <t>Cuspe Corrosivo</t>
        </is>
      </c>
      <c r="J55" s="235" t="inlineStr">
        <is>
          <t>Veneno (1/turno, 2 turnos).</t>
        </is>
      </c>
      <c r="K55" s="236" t="inlineStr">
        <is>
          <t>Comeu carne infectada demais — o próprio veneno virou parte dela.</t>
        </is>
      </c>
      <c r="L55" s="238">
        <f>IF(C55="Comum",ROUND(E55*1.3,0),"—")</f>
        <v/>
      </c>
      <c r="M55" s="239">
        <f>IF(C55="Comum",ROUND(F55*1.15,0),"—")</f>
        <v/>
      </c>
      <c r="N55" s="240">
        <f>IF(C55="Comum",G55+2,"—")</f>
        <v/>
      </c>
      <c r="O55" s="239">
        <f>IF(C55="Comum",ROUND(E55*1.6,0),"—")</f>
        <v/>
      </c>
      <c r="P55" s="241">
        <f>IF(C55="Comum",ROUND(F55*1.3,0),"—")</f>
        <v/>
      </c>
      <c r="Q55" s="241">
        <f>IF(C55="Comum",G55+4,"—")</f>
        <v/>
      </c>
      <c r="R55" s="243" t="n"/>
      <c r="S55" s="241">
        <f>ROUND(3+0.6*D55+IF(C55="Comum",0,IF(C55="Elite",2,IF(C55="Boss",4,6))),0)</f>
        <v/>
      </c>
      <c r="T55" s="241" t="inlineStr">
        <is>
          <t>Ouro + Veneno Coagulado de Aranha Pútrida</t>
        </is>
      </c>
      <c r="U55" s="241" t="inlineStr">
        <is>
          <t>Queimadura</t>
        </is>
      </c>
      <c r="V55" s="161" t="inlineStr">
        <is>
          <t>Debuffer</t>
        </is>
      </c>
      <c r="W55" s="161" t="inlineStr">
        <is>
          <t>Mina de Bronze — Túneis Baixos</t>
        </is>
      </c>
      <c r="X55" s="242" t="n"/>
      <c r="Y55" s="242" t="n"/>
      <c r="Z55" s="242" t="n"/>
      <c r="AA55" s="242" t="n"/>
    </row>
    <row r="56" ht="15" customHeight="1" s="116">
      <c r="A56" s="233" t="inlineStr">
        <is>
          <t>Bronze</t>
        </is>
      </c>
      <c r="B56" s="234" t="inlineStr">
        <is>
          <t>Verme Carniceiro</t>
        </is>
      </c>
      <c r="C56" s="233" t="inlineStr">
        <is>
          <t>Comum</t>
        </is>
      </c>
      <c r="D56" s="235" t="n">
        <v>6</v>
      </c>
      <c r="E56" s="236">
        <f>ROUND(INDEX('Curva Mestra'!$F$20:$F$94,MATCH(D56,'Curva Mestra'!$A$20:$A$94,0)),0)</f>
        <v/>
      </c>
      <c r="F56" s="236">
        <f>ROUND(INDEX('Curva Mestra'!$C$20:$C$94,MATCH(D56,'Curva Mestra'!$A$20:$A$94,0))*INDEX($B$5:$B$8,MATCH(C56,$A$5:$A$8,0)),0)</f>
        <v/>
      </c>
      <c r="G56" s="236">
        <f>ROUND(INDEX('Curva Mestra'!$D$20:$D$94,MATCH(D56,'Curva Mestra'!$A$20:$A$94,0))+INDEX($C$5:$C$8,MATCH(C56,$A$5:$A$8,0)),0)</f>
        <v/>
      </c>
      <c r="H56" s="237" t="inlineStr">
        <is>
          <t>Aparece em qualquer túnel onde um combate já aconteceu.</t>
        </is>
      </c>
      <c r="I56" s="236" t="inlineStr">
        <is>
          <t>Mordida Necrófaga</t>
        </is>
      </c>
      <c r="J56" s="235" t="inlineStr">
        <is>
          <t>Cura-se 5 HP se houver cadáver no local (combate vencido ali antes).</t>
        </is>
      </c>
      <c r="K56" s="236" t="inlineStr">
        <is>
          <t>Come o que sobra dos que não sobreviveram à mina.</t>
        </is>
      </c>
      <c r="L56" s="238">
        <f>IF(C56="Comum",ROUND(E56*1.3,0),"—")</f>
        <v/>
      </c>
      <c r="M56" s="239">
        <f>IF(C56="Comum",ROUND(F56*1.15,0),"—")</f>
        <v/>
      </c>
      <c r="N56" s="240">
        <f>IF(C56="Comum",G56+2,"—")</f>
        <v/>
      </c>
      <c r="O56" s="239">
        <f>IF(C56="Comum",ROUND(E56*1.6,0),"—")</f>
        <v/>
      </c>
      <c r="P56" s="241">
        <f>IF(C56="Comum",ROUND(F56*1.3,0),"—")</f>
        <v/>
      </c>
      <c r="Q56" s="241">
        <f>IF(C56="Comum",G56+4,"—")</f>
        <v/>
      </c>
      <c r="R56" s="243" t="n"/>
      <c r="S56" s="241">
        <f>ROUND(3+0.6*D56+IF(C56="Comum",0,IF(C56="Elite",2,IF(C56="Boss",4,6))),0)</f>
        <v/>
      </c>
      <c r="T56" s="241" t="inlineStr">
        <is>
          <t>Ouro + Presa Necrófaga de Verme Carniceiro</t>
        </is>
      </c>
      <c r="U56" s="241" t="inlineStr">
        <is>
          <t>Queimadura</t>
        </is>
      </c>
      <c r="V56" s="161" t="inlineStr">
        <is>
          <t>Necrófago</t>
        </is>
      </c>
      <c r="W56" s="161" t="inlineStr">
        <is>
          <t>Mina de Bronze, qualquer túnel após combate vencido</t>
        </is>
      </c>
      <c r="X56" s="242" t="n"/>
      <c r="Y56" s="242" t="n"/>
      <c r="Z56" s="242" t="n"/>
      <c r="AA56" s="242" t="n"/>
    </row>
    <row r="57" ht="15" customHeight="1" s="116">
      <c r="A57" s="241" t="inlineStr">
        <is>
          <t>Bronze</t>
        </is>
      </c>
      <c r="B57" s="241" t="inlineStr">
        <is>
          <t>Carrasco da Cota</t>
        </is>
      </c>
      <c r="C57" s="241" t="inlineStr">
        <is>
          <t>Comum</t>
        </is>
      </c>
      <c r="D57" s="241" t="n">
        <v>6</v>
      </c>
      <c r="E57" s="241">
        <f>ROUND(INDEX('Curva Mestra'!$F$20:$F$94,MATCH(D57,'Curva Mestra'!$A$20:$A$94,0)),0)</f>
        <v/>
      </c>
      <c r="F57" s="241">
        <f>ROUND(INDEX('Curva Mestra'!$C$20:$C$94,MATCH(D57,'Curva Mestra'!$A$20:$A$94,0))*INDEX($B$5:$B$8,MATCH(C57,$A$5:$A$8,0)),0)</f>
        <v/>
      </c>
      <c r="G57" s="241">
        <f>ROUND(INDEX('Curva Mestra'!$D$20:$D$94,MATCH(D57,'Curva Mestra'!$A$20:$A$94,0))+INDEX($C$5:$C$8,MATCH(C57,$A$5:$A$8,0)),0)</f>
        <v/>
      </c>
      <c r="H57" s="241" t="inlineStr">
        <is>
          <t>Trabalha no escritório do capataz, punindo quem não rende o suficiente.</t>
        </is>
      </c>
      <c r="I57" s="241" t="inlineStr">
        <is>
          <t>Chicote de Corda</t>
        </is>
      </c>
      <c r="J57" s="241" t="inlineStr">
        <is>
          <t>Sangramento.</t>
        </is>
      </c>
      <c r="K57" s="241" t="inlineStr">
        <is>
          <t>Capataz menor que pune quem não bate a cota do dia.</t>
        </is>
      </c>
      <c r="L57" s="241">
        <f>IF(C57="Comum",ROUND(E57*1.3,0),"—")</f>
        <v/>
      </c>
      <c r="M57" s="241">
        <f>IF(C57="Comum",ROUND(F57*1.15,0),"—")</f>
        <v/>
      </c>
      <c r="N57" s="241">
        <f>IF(C57="Comum",G57+2,"—")</f>
        <v/>
      </c>
      <c r="O57" s="241">
        <f>IF(C57="Comum",ROUND(E57*1.6,0),"—")</f>
        <v/>
      </c>
      <c r="P57" s="241">
        <f>IF(C57="Comum",ROUND(F57*1.3,0),"—")</f>
        <v/>
      </c>
      <c r="Q57" s="241">
        <f>IF(C57="Comum",G57+4,"—")</f>
        <v/>
      </c>
      <c r="R57" s="242" t="n"/>
      <c r="S57" s="241">
        <f>ROUND(3+0.6*D57+IF(C57="Comum",0,IF(C57="Elite",2,IF(C57="Boss",4,6))),0)</f>
        <v/>
      </c>
      <c r="T57" s="241" t="inlineStr">
        <is>
          <t>Ouro + Chicote Encardido do Carrasco da Cota + Insígnia da Cota</t>
        </is>
      </c>
      <c r="U57" s="241" t="inlineStr">
        <is>
          <t>Ignora Defesa</t>
        </is>
      </c>
      <c r="V57" s="241" t="inlineStr">
        <is>
          <t>DPS</t>
        </is>
      </c>
      <c r="W57" s="241" t="inlineStr">
        <is>
          <t>Mina de Bronze — Escritório do Capataz</t>
        </is>
      </c>
      <c r="X57" s="243" t="n"/>
      <c r="Y57" s="243" t="n"/>
      <c r="Z57" s="241" t="inlineStr">
        <is>
          <t>A Guilda dos Picaretas Negros o via como investimento, não gente.</t>
        </is>
      </c>
      <c r="AA57" s="243" t="n"/>
    </row>
    <row r="58" ht="15" customHeight="1" s="116">
      <c r="A58" s="241" t="inlineStr">
        <is>
          <t>Bronze</t>
        </is>
      </c>
      <c r="B58" s="241" t="inlineStr">
        <is>
          <t>Picareta Selvagem</t>
        </is>
      </c>
      <c r="C58" s="241" t="inlineStr">
        <is>
          <t>Comum</t>
        </is>
      </c>
      <c r="D58" s="241" t="n">
        <v>6</v>
      </c>
      <c r="E58" s="241">
        <f>ROUND(INDEX('Curva Mestra'!$F$20:$F$94,MATCH(D58,'Curva Mestra'!$A$20:$A$94,0)),0)</f>
        <v/>
      </c>
      <c r="F58" s="241">
        <f>ROUND(INDEX('Curva Mestra'!$C$20:$C$94,MATCH(D58,'Curva Mestra'!$A$20:$A$94,0))*INDEX($B$5:$B$8,MATCH(C58,$A$5:$A$8,0)),0)</f>
        <v/>
      </c>
      <c r="G58" s="241">
        <f>ROUND(INDEX('Curva Mestra'!$D$20:$D$94,MATCH(D58,'Curva Mestra'!$A$20:$A$94,0))+INDEX($C$5:$C$8,MATCH(C58,$A$5:$A$8,0)),0)</f>
        <v/>
      </c>
      <c r="H58" s="241" t="inlineStr">
        <is>
          <t>Objeto animado pela corrupção da mina.</t>
        </is>
      </c>
      <c r="I58" s="241" t="inlineStr">
        <is>
          <t>Golpe de Ferramenta</t>
        </is>
      </c>
      <c r="J58" s="241" t="inlineStr">
        <is>
          <t>Nenhum efeito adicional.</t>
        </is>
      </c>
      <c r="K58" s="241" t="inlineStr">
        <is>
          <t>Ferramenta abandonada que a Infecção fez se mover sozinha.</t>
        </is>
      </c>
      <c r="L58" s="241">
        <f>IF(C58="Comum",ROUND(E58*1.3,0),"—")</f>
        <v/>
      </c>
      <c r="M58" s="241">
        <f>IF(C58="Comum",ROUND(F58*1.15,0),"—")</f>
        <v/>
      </c>
      <c r="N58" s="241">
        <f>IF(C58="Comum",G58+2,"—")</f>
        <v/>
      </c>
      <c r="O58" s="241">
        <f>IF(C58="Comum",ROUND(E58*1.6,0),"—")</f>
        <v/>
      </c>
      <c r="P58" s="241">
        <f>IF(C58="Comum",ROUND(F58*1.3,0),"—")</f>
        <v/>
      </c>
      <c r="Q58" s="241">
        <f>IF(C58="Comum",G58+4,"—")</f>
        <v/>
      </c>
      <c r="R58" s="242" t="n"/>
      <c r="S58" s="241">
        <f>ROUND(3+0.6*D58+IF(C58="Comum",0,IF(C58="Elite",2,IF(C58="Boss",4,6))),0)</f>
        <v/>
      </c>
      <c r="T58" s="241" t="inlineStr">
        <is>
          <t>Ouro + Cabo Animado de Picareta Selvagem + Lâmina Corroída de Picareta Selvagem</t>
        </is>
      </c>
      <c r="U58" s="241" t="inlineStr">
        <is>
          <t>Fragilidade</t>
        </is>
      </c>
      <c r="V58" s="241" t="inlineStr">
        <is>
          <t>DPS</t>
        </is>
      </c>
      <c r="W58" s="241" t="inlineStr">
        <is>
          <t>Mina de Bronze — Galeria Principal</t>
        </is>
      </c>
      <c r="X58" s="243" t="n"/>
      <c r="Y58" s="243" t="n"/>
      <c r="Z58" s="243" t="n"/>
      <c r="AA58" s="243" t="n"/>
    </row>
    <row r="59" ht="15" customHeight="1" s="116">
      <c r="A59" s="241" t="inlineStr">
        <is>
          <t>Bronze</t>
        </is>
      </c>
      <c r="B59" s="241" t="inlineStr">
        <is>
          <t>Guilda-Batedor</t>
        </is>
      </c>
      <c r="C59" s="241" t="inlineStr">
        <is>
          <t>Comum</t>
        </is>
      </c>
      <c r="D59" s="241" t="n">
        <v>6</v>
      </c>
      <c r="E59" s="241">
        <f>ROUND(INDEX('Curva Mestra'!$F$20:$F$94,MATCH(D59,'Curva Mestra'!$A$20:$A$94,0)),0)</f>
        <v/>
      </c>
      <c r="F59" s="241">
        <f>ROUND(INDEX('Curva Mestra'!$C$20:$C$94,MATCH(D59,'Curva Mestra'!$A$20:$A$94,0))*INDEX($B$5:$B$8,MATCH(C59,$A$5:$A$8,0)),0)</f>
        <v/>
      </c>
      <c r="G59" s="241">
        <f>ROUND(INDEX('Curva Mestra'!$D$20:$D$94,MATCH(D59,'Curva Mestra'!$A$20:$A$94,0))+INDEX($C$5:$C$8,MATCH(C59,$A$5:$A$8,0)),0)</f>
        <v/>
      </c>
      <c r="H59" s="241" t="inlineStr">
        <is>
          <t>Cobrador violento da Guilda.</t>
        </is>
      </c>
      <c r="I59" s="241" t="inlineStr">
        <is>
          <t>Corte de Cobrador</t>
        </is>
      </c>
      <c r="J59" s="241" t="inlineStr">
        <is>
          <t>Rouba 5% do Ouro do jogador se acertar.</t>
        </is>
      </c>
      <c r="K59" s="241" t="inlineStr">
        <is>
          <t>Cobrador da Guilda dos Picaretas Negros, cobra imposto até de quem não deve.</t>
        </is>
      </c>
      <c r="L59" s="241">
        <f>IF(C59="Comum",ROUND(E59*1.3,0),"—")</f>
        <v/>
      </c>
      <c r="M59" s="241">
        <f>IF(C59="Comum",ROUND(F59*1.15,0),"—")</f>
        <v/>
      </c>
      <c r="N59" s="241">
        <f>IF(C59="Comum",G59+2,"—")</f>
        <v/>
      </c>
      <c r="O59" s="241">
        <f>IF(C59="Comum",ROUND(E59*1.6,0),"—")</f>
        <v/>
      </c>
      <c r="P59" s="241">
        <f>IF(C59="Comum",ROUND(F59*1.3,0),"—")</f>
        <v/>
      </c>
      <c r="Q59" s="241">
        <f>IF(C59="Comum",G59+4,"—")</f>
        <v/>
      </c>
      <c r="R59" s="242" t="n"/>
      <c r="S59" s="241">
        <f>ROUND(3+0.6*D59+IF(C59="Comum",0,IF(C59="Elite",2,IF(C59="Boss",4,6))),0)</f>
        <v/>
      </c>
      <c r="T59" s="241" t="inlineStr">
        <is>
          <t>Ouro + Bolsa de Imposto da Guilda + Adaga Curta de Cobrador</t>
        </is>
      </c>
      <c r="U59" s="241" t="inlineStr">
        <is>
          <t>Lentidão</t>
        </is>
      </c>
      <c r="V59" s="241" t="inlineStr">
        <is>
          <t>Ladrão</t>
        </is>
      </c>
      <c r="W59" s="241" t="inlineStr">
        <is>
          <t>Mina de Bronze — Galeria Principal</t>
        </is>
      </c>
      <c r="X59" s="243" t="n"/>
      <c r="Y59" s="243" t="n"/>
      <c r="Z59" s="241" t="inlineStr">
        <is>
          <t>A Guilda dos Picaretas Negros o paga por resultado, não por método.</t>
        </is>
      </c>
      <c r="AA59" s="243" t="n"/>
    </row>
    <row r="60" ht="15" customHeight="1" s="116">
      <c r="A60" s="241" t="inlineStr">
        <is>
          <t>Bronze</t>
        </is>
      </c>
      <c r="B60" s="241" t="inlineStr">
        <is>
          <t>Cão de Guarda da Guilda</t>
        </is>
      </c>
      <c r="C60" s="241" t="inlineStr">
        <is>
          <t>Comum</t>
        </is>
      </c>
      <c r="D60" s="241" t="n">
        <v>6</v>
      </c>
      <c r="E60" s="241">
        <f>ROUND(INDEX('Curva Mestra'!$F$20:$F$94,MATCH(D60,'Curva Mestra'!$A$20:$A$94,0)),0)</f>
        <v/>
      </c>
      <c r="F60" s="241">
        <f>ROUND(INDEX('Curva Mestra'!$C$20:$C$94,MATCH(D60,'Curva Mestra'!$A$20:$A$94,0))*INDEX($B$5:$B$8,MATCH(C60,$A$5:$A$8,0)),0)</f>
        <v/>
      </c>
      <c r="G60" s="241">
        <f>ROUND(INDEX('Curva Mestra'!$D$20:$D$94,MATCH(D60,'Curva Mestra'!$A$20:$A$94,0))+INDEX($C$5:$C$8,MATCH(C60,$A$5:$A$8,0)),0)</f>
        <v/>
      </c>
      <c r="H60" s="241" t="inlineStr">
        <is>
          <t>Cão de guarda oficial da Guilda dos Picaretas Negros.</t>
        </is>
      </c>
      <c r="I60" s="241" t="inlineStr">
        <is>
          <t>Mordida Territorial</t>
        </is>
      </c>
      <c r="J60" s="241" t="inlineStr">
        <is>
          <t>Nenhum efeito adicional.</t>
        </is>
      </c>
      <c r="K60" s="241" t="inlineStr">
        <is>
          <t>Treinado pela Guilda pra vigiar os veios mais ricos.</t>
        </is>
      </c>
      <c r="L60" s="241">
        <f>IF(C60="Comum",ROUND(E60*1.3,0),"—")</f>
        <v/>
      </c>
      <c r="M60" s="241">
        <f>IF(C60="Comum",ROUND(F60*1.15,0),"—")</f>
        <v/>
      </c>
      <c r="N60" s="241">
        <f>IF(C60="Comum",G60+2,"—")</f>
        <v/>
      </c>
      <c r="O60" s="241">
        <f>IF(C60="Comum",ROUND(E60*1.6,0),"—")</f>
        <v/>
      </c>
      <c r="P60" s="241">
        <f>IF(C60="Comum",ROUND(F60*1.3,0),"—")</f>
        <v/>
      </c>
      <c r="Q60" s="241">
        <f>IF(C60="Comum",G60+4,"—")</f>
        <v/>
      </c>
      <c r="R60" s="242" t="n"/>
      <c r="S60" s="241">
        <f>ROUND(3+0.6*D60+IF(C60="Comum",0,IF(C60="Elite",2,IF(C60="Boss",4,6))),0)</f>
        <v/>
      </c>
      <c r="T60" s="241" t="inlineStr">
        <is>
          <t>Ouro + Coleira da Guilda dos Picaretas Negros + Presa de Cão de Guarda da Guilda</t>
        </is>
      </c>
      <c r="U60" s="241" t="inlineStr">
        <is>
          <t>Atordoamento</t>
        </is>
      </c>
      <c r="V60" s="241" t="inlineStr">
        <is>
          <t>DPS</t>
        </is>
      </c>
      <c r="W60" s="241" t="inlineStr">
        <is>
          <t>Mina de Bronze — Veio Rico</t>
        </is>
      </c>
      <c r="X60" s="243" t="n"/>
      <c r="Y60" s="243" t="n"/>
      <c r="Z60" s="243" t="n"/>
      <c r="AA60" s="243" t="n"/>
    </row>
    <row r="61" ht="15" customHeight="1" s="116">
      <c r="A61" s="241" t="inlineStr">
        <is>
          <t>Bronze</t>
        </is>
      </c>
      <c r="B61" s="241" t="inlineStr">
        <is>
          <t>Aranha Caçadora</t>
        </is>
      </c>
      <c r="C61" s="241" t="inlineStr">
        <is>
          <t>Comum</t>
        </is>
      </c>
      <c r="D61" s="241" t="n">
        <v>7</v>
      </c>
      <c r="E61" s="241">
        <f>ROUND(INDEX('Curva Mestra'!$F$20:$F$94,MATCH(D61,'Curva Mestra'!$A$20:$A$94,0)),0)</f>
        <v/>
      </c>
      <c r="F61" s="241">
        <f>ROUND(INDEX('Curva Mestra'!$C$20:$C$94,MATCH(D61,'Curva Mestra'!$A$20:$A$94,0))*INDEX($B$5:$B$8,MATCH(C61,$A$5:$A$8,0)),0)</f>
        <v/>
      </c>
      <c r="G61" s="241">
        <f>ROUND(INDEX('Curva Mestra'!$D$20:$D$94,MATCH(D61,'Curva Mestra'!$A$20:$A$94,0))+INDEX($C$5:$C$8,MATCH(C61,$A$5:$A$8,0)),0)</f>
        <v/>
      </c>
      <c r="H61" s="241" t="inlineStr">
        <is>
          <t>Espreita nas mesmas galerias onde a Aranha Operária tece.</t>
        </is>
      </c>
      <c r="I61" s="241" t="inlineStr">
        <is>
          <t>Salto Certeiro</t>
        </is>
      </c>
      <c r="J61" s="241" t="inlineStr">
        <is>
          <t>+15% de chance de acerto se a Aranha Operária estiver viva no mesmo combate.</t>
        </is>
      </c>
      <c r="K61" s="241" t="inlineStr">
        <is>
          <t>Espera a presa ficar presa na teia da Operária pra atacar.</t>
        </is>
      </c>
      <c r="L61" s="241">
        <f>IF(C61="Comum",ROUND(E61*1.3,0),"—")</f>
        <v/>
      </c>
      <c r="M61" s="241">
        <f>IF(C61="Comum",ROUND(F61*1.15,0),"—")</f>
        <v/>
      </c>
      <c r="N61" s="241">
        <f>IF(C61="Comum",G61+2,"—")</f>
        <v/>
      </c>
      <c r="O61" s="241">
        <f>IF(C61="Comum",ROUND(E61*1.6,0),"—")</f>
        <v/>
      </c>
      <c r="P61" s="241">
        <f>IF(C61="Comum",ROUND(F61*1.3,0),"—")</f>
        <v/>
      </c>
      <c r="Q61" s="241">
        <f>IF(C61="Comum",G61+4,"—")</f>
        <v/>
      </c>
      <c r="R61" s="242" t="n"/>
      <c r="S61" s="241">
        <f>ROUND(3+0.6*D61+IF(C61="Comum",0,IF(C61="Elite",2,IF(C61="Boss",4,6))),0)</f>
        <v/>
      </c>
      <c r="T61" s="241" t="inlineStr">
        <is>
          <t>Ouro + Garra Silenciosa de Aranha Caçadora</t>
        </is>
      </c>
      <c r="U61" s="241" t="inlineStr">
        <is>
          <t>Ignora Defesa</t>
        </is>
      </c>
      <c r="V61" s="241" t="inlineStr">
        <is>
          <t>DPS/Emboscada</t>
        </is>
      </c>
      <c r="W61" s="241" t="inlineStr">
        <is>
          <t>Mina de Bronze — Galeria Principal</t>
        </is>
      </c>
      <c r="X61" s="243" t="n"/>
      <c r="Y61" s="243" t="n"/>
      <c r="Z61" s="243" t="n"/>
      <c r="AA61" s="243" t="n"/>
    </row>
    <row r="62" ht="15" customHeight="1" s="116">
      <c r="A62" s="233" t="inlineStr">
        <is>
          <t>Bronze</t>
        </is>
      </c>
      <c r="B62" s="234" t="inlineStr">
        <is>
          <t>Mineiro Grimm</t>
        </is>
      </c>
      <c r="C62" s="233" t="inlineStr">
        <is>
          <t>Comum</t>
        </is>
      </c>
      <c r="D62" s="235" t="n">
        <v>8</v>
      </c>
      <c r="E62" s="236">
        <f>ROUND(INDEX('Curva Mestra'!$F$20:$F$94,MATCH(D62,'Curva Mestra'!$A$20:$A$94,0)),0)</f>
        <v/>
      </c>
      <c r="F62" s="236">
        <f>ROUND(INDEX('Curva Mestra'!$C$20:$C$94,MATCH(D62,'Curva Mestra'!$A$20:$A$94,0))*INDEX($B$5:$B$8,MATCH(C62,$A$5:$A$8,0)),0)</f>
        <v/>
      </c>
      <c r="G62" s="236">
        <f>ROUND(INDEX('Curva Mestra'!$D$20:$D$94,MATCH(D62,'Curva Mestra'!$A$20:$A$94,0))+INDEX($C$5:$C$8,MATCH(C62,$A$5:$A$8,0)),0)</f>
        <v/>
      </c>
      <c r="H62" s="237" t="inlineStr">
        <is>
          <t>Ligado à Guilda dos Picaretas Negros, região de Bronze.</t>
        </is>
      </c>
      <c r="I62" s="236" t="inlineStr">
        <is>
          <t>Picareta Desesperada</t>
        </is>
      </c>
      <c r="J62" s="235" t="inlineStr">
        <is>
          <t>Sem efeito especial — luta por medo de perder a única renda que tem.</t>
        </is>
      </c>
      <c r="K62" s="236" t="inlineStr">
        <is>
          <t>Trabalhador endividado com o Barão Grimm, forçado a defender "a cota" mesmo sabendo dos riscos. Não é vilão — é vítima armada.</t>
        </is>
      </c>
      <c r="L62" s="238">
        <f>IF(C62="Comum",ROUND(E62*1.3,0),"—")</f>
        <v/>
      </c>
      <c r="M62" s="239">
        <f>IF(C62="Comum",ROUND(F62*1.15,0),"—")</f>
        <v/>
      </c>
      <c r="N62" s="240">
        <f>IF(C62="Comum",G62+2,"—")</f>
        <v/>
      </c>
      <c r="O62" s="239">
        <f>IF(C62="Comum",ROUND(E62*1.6,0),"—")</f>
        <v/>
      </c>
      <c r="P62" s="241">
        <f>IF(C62="Comum",ROUND(F62*1.3,0),"—")</f>
        <v/>
      </c>
      <c r="Q62" s="241">
        <f>IF(C62="Comum",G62+4,"—")</f>
        <v/>
      </c>
      <c r="R62" s="241" t="inlineStr">
        <is>
          <t>Salário Atrasado</t>
        </is>
      </c>
      <c r="S62" s="241">
        <f>ROUND(INDEX('Curva Mestra'!$D$20:$D$94,MATCH(D62,'Curva Mestra'!$A$20:$A$94,0))-IF(C62="Comum",9,IF(C62="Elite",6,IF(C62="Boss",4,3))),0)</f>
        <v/>
      </c>
      <c r="T62" s="241" t="inlineStr">
        <is>
          <t>Ouro + Distintivo Endividado de Mineiro Grimm + Quitina de Aranha das Cavernas (chance rara)</t>
        </is>
      </c>
      <c r="U62" s="241" t="inlineStr">
        <is>
          <t>Sem fraqueza óbvia — precisa de Knowledge alto pra descobrir algo específico.</t>
        </is>
      </c>
      <c r="V62" s="242" t="inlineStr">
        <is>
          <t>DPS</t>
        </is>
      </c>
      <c r="W62" s="242" t="inlineStr">
        <is>
          <t>Mina de Bronze</t>
        </is>
      </c>
      <c r="X62" s="242" t="n"/>
      <c r="Y62" s="242" t="n"/>
      <c r="Z62" s="242" t="n"/>
      <c r="AA62" s="242" t="n"/>
    </row>
    <row r="63" ht="15" customHeight="1" s="116">
      <c r="A63" s="233" t="inlineStr">
        <is>
          <t>Bronze</t>
        </is>
      </c>
      <c r="B63" s="234" t="inlineStr">
        <is>
          <t>Matriarca da Colônia de Aranhas</t>
        </is>
      </c>
      <c r="C63" s="233" t="inlineStr">
        <is>
          <t>Elite</t>
        </is>
      </c>
      <c r="D63" s="235" t="n">
        <v>6</v>
      </c>
      <c r="E63" s="236">
        <f>ROUND(INDEX('Curva Mestra'!$G$20:$G$94,MATCH(D63,'Curva Mestra'!$A$20:$A$94,0)),0)</f>
        <v/>
      </c>
      <c r="F63" s="236">
        <f>ROUND(INDEX('Curva Mestra'!$C$20:$C$94,MATCH(D63,'Curva Mestra'!$A$20:$A$94,0))*INDEX($B$5:$B$8,MATCH(C63,$A$5:$A$8,0)),0)</f>
        <v/>
      </c>
      <c r="G63" s="236">
        <f>ROUND(INDEX('Curva Mestra'!$D$20:$D$94,MATCH(D63,'Curva Mestra'!$A$20:$A$94,0))+INDEX($C$5:$C$8,MATCH(C63,$A$5:$A$8,0)),0)</f>
        <v/>
      </c>
      <c r="H63" s="237" t="inlineStr">
        <is>
          <t>Encontro dificil dentro do tier Bronze</t>
        </is>
      </c>
      <c r="I63" s="236" t="inlineStr">
        <is>
          <t>Teia Asfixiante</t>
        </is>
      </c>
      <c r="J63" s="235" t="inlineStr">
        <is>
          <t>O herói perde a ação de movimento/fuga no turno seguinte se atingido.</t>
        </is>
      </c>
      <c r="K63" s="236" t="inlineStr">
        <is>
          <t>Não serve à infecção — defende o próprio território dela com a mesma ferocidade que os cultistas usam para marcar portas.</t>
        </is>
      </c>
      <c r="L63" s="238">
        <f>IF(C63="Comum",ROUND(E63*1.3,0),"—")</f>
        <v/>
      </c>
      <c r="M63" s="239">
        <f>IF(C63="Comum",ROUND(F63*1.15,0),"—")</f>
        <v/>
      </c>
      <c r="N63" s="240">
        <f>IF(C63="Comum",G63+2,"—")</f>
        <v/>
      </c>
      <c r="O63" s="239">
        <f>IF(C63="Comum",ROUND(E63*1.6,0),"—")</f>
        <v/>
      </c>
      <c r="P63" s="241">
        <f>IF(C63="Comum",ROUND(F63*1.3,0),"—")</f>
        <v/>
      </c>
      <c r="Q63" s="241">
        <f>IF(C63="Comum",G63+4,"—")</f>
        <v/>
      </c>
      <c r="R63" s="241" t="inlineStr">
        <is>
          <t>O Ninho Que Não Devia Crescer</t>
        </is>
      </c>
      <c r="S63" s="241">
        <f>ROUND(INDEX('Curva Mestra'!$D$20:$D$94,MATCH(D63,'Curva Mestra'!$A$20:$A$94,0))-IF(C63="Comum",9,IF(C63="Elite",6,IF(C63="Boss",4,3))),0)</f>
        <v/>
      </c>
      <c r="T63" s="241" t="inlineStr">
        <is>
          <t>Casco de Quitina de Matriarca da Colônia de Aranhas + Ouro + Quitina de Aranha das Cavernas (chance baixa)</t>
        </is>
      </c>
      <c r="U63" s="241" t="inlineStr">
        <is>
          <t>Perde o bônus de grupo se isolado dos outros cultistas em combate.</t>
        </is>
      </c>
      <c r="V63" s="242" t="inlineStr">
        <is>
          <t>DPS</t>
        </is>
      </c>
      <c r="W63" s="242" t="inlineStr">
        <is>
          <t>Mina de Bronze</t>
        </is>
      </c>
      <c r="X63" s="242" t="n"/>
      <c r="Y63" s="242" t="n"/>
      <c r="Z63" s="242" t="n"/>
      <c r="AA63" s="242" t="n"/>
    </row>
    <row r="64" ht="15" customHeight="1" s="116">
      <c r="A64" s="233" t="inlineStr">
        <is>
          <t>Bronze</t>
        </is>
      </c>
      <c r="B64" s="234" t="inlineStr">
        <is>
          <t>Veio de Minério Falso</t>
        </is>
      </c>
      <c r="C64" s="233" t="inlineStr">
        <is>
          <t>Elite</t>
        </is>
      </c>
      <c r="D64" s="235" t="n">
        <v>6</v>
      </c>
      <c r="E64" s="236">
        <f>ROUND(INDEX('Curva Mestra'!$G$20:$G$94,MATCH(D64,'Curva Mestra'!$A$20:$A$94,0)),0)</f>
        <v/>
      </c>
      <c r="F64" s="236">
        <f>ROUND(INDEX('Curva Mestra'!$C$20:$C$94,MATCH(D64,'Curva Mestra'!$A$20:$A$94,0))*INDEX($B$5:$B$8,MATCH(C64,$A$5:$A$8,0)),0)</f>
        <v/>
      </c>
      <c r="G64" s="236">
        <f>ROUND(INDEX('Curva Mestra'!$D$20:$D$94,MATCH(D64,'Curva Mestra'!$A$20:$A$94,0))+INDEX($C$5:$C$8,MATCH(C64,$A$5:$A$8,0)),0)</f>
        <v/>
      </c>
      <c r="H64" s="237" t="inlineStr">
        <is>
          <t>Plantado pela Guilda no veio mais rico da mina.</t>
        </is>
      </c>
      <c r="I64" s="236" t="inlineStr">
        <is>
          <t>Mordida do Veio</t>
        </is>
      </c>
      <c r="J64" s="235" t="inlineStr">
        <is>
          <t>Ignora Defesa + jogador perde 1 turno de surpresa.</t>
        </is>
      </c>
      <c r="K64" s="236" t="inlineStr">
        <is>
          <t>A Guilda espalhou minério-armadilha pra pegar quem rouba sem pagar imposto.</t>
        </is>
      </c>
      <c r="L64" s="238">
        <f>IF(C64="Comum",ROUND(E64*1.3,0),"—")</f>
        <v/>
      </c>
      <c r="M64" s="239">
        <f>IF(C64="Comum",ROUND(F64*1.15,0),"—")</f>
        <v/>
      </c>
      <c r="N64" s="240">
        <f>IF(C64="Comum",G64+2,"—")</f>
        <v/>
      </c>
      <c r="O64" s="239">
        <f>IF(C64="Comum",ROUND(E64*1.6,0),"—")</f>
        <v/>
      </c>
      <c r="P64" s="241">
        <f>IF(C64="Comum",ROUND(F64*1.3,0),"—")</f>
        <v/>
      </c>
      <c r="Q64" s="241">
        <f>IF(C64="Comum",G64+4,"—")</f>
        <v/>
      </c>
      <c r="R64" s="243" t="n"/>
      <c r="S64" s="241">
        <f>ROUND(3+0.6*D64+IF(C64="Comum",0,IF(C64="Elite",2,IF(C64="Boss",4,6))),0)</f>
        <v/>
      </c>
      <c r="T64" s="241" t="inlineStr">
        <is>
          <t>Ouro + Minério de Bronze Sulfuroso (chance alta, x2) + Fragmento de Fechadura da Armadilha da Guilda</t>
        </is>
      </c>
      <c r="U64" s="241" t="inlineStr">
        <is>
          <t>Atordoamento</t>
        </is>
      </c>
      <c r="V64" s="161" t="inlineStr">
        <is>
          <t>Mímico</t>
        </is>
      </c>
      <c r="W64" s="161" t="inlineStr">
        <is>
          <t>Mina de Bronze — Veio Rico, 5% ao coletar</t>
        </is>
      </c>
      <c r="X64" s="242" t="n"/>
      <c r="Y64" s="242" t="n"/>
      <c r="Z64" s="161" t="inlineStr">
        <is>
          <t>A Guilda dos Picaretas Negros os planta de propósito.</t>
        </is>
      </c>
      <c r="AA64" s="161" t="inlineStr">
        <is>
          <t>Minério de Bronze Sulfuroso x2 (falso — some ao ser revelado, sem uso real)</t>
        </is>
      </c>
    </row>
    <row r="65" ht="15" customHeight="1" s="116">
      <c r="A65" s="233" t="inlineStr">
        <is>
          <t>Bronze</t>
        </is>
      </c>
      <c r="B65" s="234" t="inlineStr">
        <is>
          <t>Rato-Dourado da Mina</t>
        </is>
      </c>
      <c r="C65" s="233" t="inlineStr">
        <is>
          <t>Elite</t>
        </is>
      </c>
      <c r="D65" s="235" t="n">
        <v>6</v>
      </c>
      <c r="E65" s="236">
        <f>ROUND(INDEX('Curva Mestra'!$G$20:$G$94,MATCH(D65,'Curva Mestra'!$A$20:$A$94,0)),0)</f>
        <v/>
      </c>
      <c r="F65" s="236">
        <f>ROUND(INDEX('Curva Mestra'!$C$20:$C$94,MATCH(D65,'Curva Mestra'!$A$20:$A$94,0))*INDEX($B$5:$B$8,MATCH(C65,$A$5:$A$8,0)),0)</f>
        <v/>
      </c>
      <c r="G65" s="236">
        <f>ROUND(INDEX('Curva Mestra'!$D$20:$D$94,MATCH(D65,'Curva Mestra'!$A$20:$A$94,0))+INDEX($C$5:$C$8,MATCH(C65,$A$5:$A$8,0)),0)</f>
        <v/>
      </c>
      <c r="H65" s="237" t="inlineStr">
        <is>
          <t>Raro, visto fugindo entre os veios de minério.</t>
        </is>
      </c>
      <c r="I65" s="236" t="inlineStr">
        <is>
          <t>Fuga Reluzente</t>
        </is>
      </c>
      <c r="J65" s="235" t="inlineStr">
        <is>
          <t>Não causa dano — foge no turno 3.</t>
        </is>
      </c>
      <c r="K65" s="236" t="inlineStr">
        <is>
          <t>Come poeira de minério há gerações. Brilha por dentro.</t>
        </is>
      </c>
      <c r="L65" s="238">
        <f>IF(C65="Comum",ROUND(E65*1.3,0),"—")</f>
        <v/>
      </c>
      <c r="M65" s="239">
        <f>IF(C65="Comum",ROUND(F65*1.15,0),"—")</f>
        <v/>
      </c>
      <c r="N65" s="240">
        <f>IF(C65="Comum",G65+2,"—")</f>
        <v/>
      </c>
      <c r="O65" s="239">
        <f>IF(C65="Comum",ROUND(E65*1.6,0),"—")</f>
        <v/>
      </c>
      <c r="P65" s="241">
        <f>IF(C65="Comum",ROUND(F65*1.3,0),"—")</f>
        <v/>
      </c>
      <c r="Q65" s="241">
        <f>IF(C65="Comum",G65+4,"—")</f>
        <v/>
      </c>
      <c r="R65" s="243" t="n"/>
      <c r="S65" s="241">
        <f>ROUND(3+0.6*D65+IF(C65="Comum",0,IF(C65="Elite",2,IF(C65="Boss",4,6))),0)</f>
        <v/>
      </c>
      <c r="T65" s="241" t="inlineStr">
        <is>
          <t>Ouro + Pelagem Dourada de Rato-Dourado + Bolsa de Poeira Reluzente</t>
        </is>
      </c>
      <c r="U65" s="241" t="inlineStr">
        <is>
          <t>Lentidão</t>
        </is>
      </c>
      <c r="V65" s="161" t="inlineStr">
        <is>
          <t>Superloot/Evasivo</t>
        </is>
      </c>
      <c r="W65" s="161" t="inlineStr">
        <is>
          <t>Mina de Bronze, spawn raro (2%)</t>
        </is>
      </c>
      <c r="X65" s="242" t="n"/>
      <c r="Y65" s="242" t="n"/>
      <c r="Z65" s="242" t="n"/>
      <c r="AA65" s="161" t="inlineStr">
        <is>
          <t>Veio de Ferro Negro (material de Tier 3)</t>
        </is>
      </c>
    </row>
    <row r="66" ht="15" customHeight="1" s="116">
      <c r="A66" s="233" t="inlineStr">
        <is>
          <t>Bronze</t>
        </is>
      </c>
      <c r="B66" s="234" t="inlineStr">
        <is>
          <t>Capataz Enforcado</t>
        </is>
      </c>
      <c r="C66" s="233" t="inlineStr">
        <is>
          <t>Elite</t>
        </is>
      </c>
      <c r="D66" s="235" t="n">
        <v>7</v>
      </c>
      <c r="E66" s="236">
        <f>ROUND(INDEX('Curva Mestra'!$G$20:$G$94,MATCH(D66,'Curva Mestra'!$A$20:$A$94,0)),0)</f>
        <v/>
      </c>
      <c r="F66" s="236">
        <f>ROUND(INDEX('Curva Mestra'!$C$20:$C$94,MATCH(D66,'Curva Mestra'!$A$20:$A$94,0))*INDEX($B$5:$B$8,MATCH(C66,$A$5:$A$8,0)),0)</f>
        <v/>
      </c>
      <c r="G66" s="236">
        <f>ROUND(INDEX('Curva Mestra'!$D$20:$D$94,MATCH(D66,'Curva Mestra'!$A$20:$A$94,0))+INDEX($C$5:$C$8,MATCH(C66,$A$5:$A$8,0)),0)</f>
        <v/>
      </c>
      <c r="H66" s="237" t="inlineStr">
        <is>
          <t>Ligado à Guilda dos Picaretas Negros, região de Bronze.</t>
        </is>
      </c>
      <c r="I66" s="236" t="inlineStr">
        <is>
          <t>Cota Impossível</t>
        </is>
      </c>
      <c r="J66" s="235" t="inlineStr">
        <is>
          <t>Ataca duas vezes se o alvo estiver com menos de 50% de HP (não perdoa "fraqueza").</t>
        </is>
      </c>
      <c r="K66" s="236" t="inlineStr">
        <is>
          <t>Foi morto por trabalhadores em uma revolta — voltou pra continuar cobrando a cota, mesmo sem patrão vivo pra reportar. Um morto ainda mais fiel que os vivos.</t>
        </is>
      </c>
      <c r="L66" s="238">
        <f>IF(C66="Comum",ROUND(E66*1.3,0),"—")</f>
        <v/>
      </c>
      <c r="M66" s="239">
        <f>IF(C66="Comum",ROUND(F66*1.15,0),"—")</f>
        <v/>
      </c>
      <c r="N66" s="240">
        <f>IF(C66="Comum",G66+2,"—")</f>
        <v/>
      </c>
      <c r="O66" s="239">
        <f>IF(C66="Comum",ROUND(E66*1.6,0),"—")</f>
        <v/>
      </c>
      <c r="P66" s="241">
        <f>IF(C66="Comum",ROUND(F66*1.3,0),"—")</f>
        <v/>
      </c>
      <c r="Q66" s="241">
        <f>IF(C66="Comum",G66+4,"—")</f>
        <v/>
      </c>
      <c r="R66" s="241" t="inlineStr">
        <is>
          <t>O Capataz Que Não Descansa</t>
        </is>
      </c>
      <c r="S66" s="241">
        <f>ROUND(INDEX('Curva Mestra'!$D$20:$D$94,MATCH(D66,'Curva Mestra'!$A$20:$A$94,0))-IF(C66="Comum",9,IF(C66="Elite",6,IF(C66="Boss",4,3))),0)</f>
        <v/>
      </c>
      <c r="T66" s="241" t="inlineStr">
        <is>
          <t>Presa de Capataz Enforcado + Ouro + Quitina de Aranha das Cavernas (chance baixa)</t>
        </is>
      </c>
      <c r="U66" s="241" t="inlineStr">
        <is>
          <t>Vulnerável a Prata — armas de Prata ignoram 2 de Defesa a mais nele.</t>
        </is>
      </c>
      <c r="V66" s="242" t="inlineStr">
        <is>
          <t>DPS</t>
        </is>
      </c>
      <c r="W66" s="242" t="inlineStr">
        <is>
          <t>Mina de Bronze</t>
        </is>
      </c>
      <c r="X66" s="242" t="n"/>
      <c r="Y66" s="242" t="n"/>
      <c r="Z66" s="242" t="n"/>
      <c r="AA66" s="242" t="n"/>
    </row>
    <row r="67" ht="15" customHeight="1" s="116">
      <c r="A67" s="233" t="inlineStr">
        <is>
          <t>Bronze</t>
        </is>
      </c>
      <c r="B67" s="234" t="inlineStr">
        <is>
          <t>Contramestre Enlouquecido</t>
        </is>
      </c>
      <c r="C67" s="233" t="inlineStr">
        <is>
          <t>Elite</t>
        </is>
      </c>
      <c r="D67" s="235" t="n">
        <v>7</v>
      </c>
      <c r="E67" s="236">
        <f>ROUND(INDEX('Curva Mestra'!$G$20:$G$94,MATCH(D67,'Curva Mestra'!$A$20:$A$94,0)),0)</f>
        <v/>
      </c>
      <c r="F67" s="236">
        <f>ROUND(INDEX('Curva Mestra'!$C$20:$C$94,MATCH(D67,'Curva Mestra'!$A$20:$A$94,0))*INDEX($B$5:$B$8,MATCH(C67,$A$5:$A$8,0)),0)</f>
        <v/>
      </c>
      <c r="G67" s="236">
        <f>ROUND(INDEX('Curva Mestra'!$D$20:$D$94,MATCH(D67,'Curva Mestra'!$A$20:$A$94,0))+INDEX($C$5:$C$8,MATCH(C67,$A$5:$A$8,0)),0)</f>
        <v/>
      </c>
      <c r="H67" s="237" t="inlineStr">
        <is>
          <t>Ocupa o antigo escritório do capataz na Mina de Bronze.</t>
        </is>
      </c>
      <c r="I67" s="236" t="inlineStr">
        <is>
          <t>Grito da Cota</t>
        </is>
      </c>
      <c r="J67" s="235" t="inlineStr">
        <is>
          <t>Reduz sua chance de acerto em 15% por 2 turnos (grita ordens impossíveis).</t>
        </is>
      </c>
      <c r="K67" s="236" t="inlineStr">
        <is>
          <t>A cota do Barão nunca foi atingível. Ele enlouqueceu tentando.</t>
        </is>
      </c>
      <c r="L67" s="238">
        <f>IF(C67="Comum",ROUND(E67*1.3,0),"—")</f>
        <v/>
      </c>
      <c r="M67" s="239">
        <f>IF(C67="Comum",ROUND(F67*1.15,0),"—")</f>
        <v/>
      </c>
      <c r="N67" s="240">
        <f>IF(C67="Comum",G67+2,"—")</f>
        <v/>
      </c>
      <c r="O67" s="239">
        <f>IF(C67="Comum",ROUND(E67*1.6,0),"—")</f>
        <v/>
      </c>
      <c r="P67" s="241">
        <f>IF(C67="Comum",ROUND(F67*1.3,0),"—")</f>
        <v/>
      </c>
      <c r="Q67" s="241">
        <f>IF(C67="Comum",G67+4,"—")</f>
        <v/>
      </c>
      <c r="R67" s="243" t="n"/>
      <c r="S67" s="241">
        <f>ROUND(3+0.6*D67+IF(C67="Comum",0,IF(C67="Elite",2,IF(C67="Boss",4,6))),0)</f>
        <v/>
      </c>
      <c r="T67" s="241" t="inlineStr">
        <is>
          <t>Ouro + Fragmento de Contramestre Enlouquecido + Corda Arrebentada da Enforca + Quitina de Aranha das Cavernas (chance baixa)</t>
        </is>
      </c>
      <c r="U67" s="241" t="inlineStr">
        <is>
          <t>Atordoamento</t>
        </is>
      </c>
      <c r="V67" s="161" t="inlineStr">
        <is>
          <t>Debuffer</t>
        </is>
      </c>
      <c r="W67" s="161" t="inlineStr">
        <is>
          <t>Mina de Bronze — Escritório do Capataz</t>
        </is>
      </c>
      <c r="X67" s="242" t="n"/>
      <c r="Y67" s="242" t="n"/>
      <c r="Z67" s="161" t="inlineStr">
        <is>
          <t>A Guilda dos Picaretas Negros o considerava "eficiente" — não vai vingá-lo.</t>
        </is>
      </c>
      <c r="AA67" s="242" t="n"/>
    </row>
    <row r="68" ht="15" customHeight="1" s="116">
      <c r="A68" s="241" t="inlineStr">
        <is>
          <t>Bronze</t>
        </is>
      </c>
      <c r="B68" s="241" t="inlineStr">
        <is>
          <t>Supervisor Ferido</t>
        </is>
      </c>
      <c r="C68" s="241" t="inlineStr">
        <is>
          <t>Elite</t>
        </is>
      </c>
      <c r="D68" s="241" t="n">
        <v>7</v>
      </c>
      <c r="E68" s="241">
        <f>ROUND(INDEX('Curva Mestra'!$G$20:$G$94,MATCH(D68,'Curva Mestra'!$A$20:$A$94,0)),0)</f>
        <v/>
      </c>
      <c r="F68" s="241">
        <f>ROUND(INDEX('Curva Mestra'!$C$20:$C$94,MATCH(D68,'Curva Mestra'!$A$20:$A$94,0))*INDEX($B$5:$B$8,MATCH(C68,$A$5:$A$8,0)),0)</f>
        <v/>
      </c>
      <c r="G68" s="241">
        <f>ROUND(INDEX('Curva Mestra'!$D$20:$D$94,MATCH(D68,'Curva Mestra'!$A$20:$A$94,0))+INDEX($C$5:$C$8,MATCH(C68,$A$5:$A$8,0)),0)</f>
        <v/>
      </c>
      <c r="H68" s="241" t="inlineStr">
        <is>
          <t>Capataz sobrevivente, mais cruel depois do acidente.</t>
        </is>
      </c>
      <c r="I68" s="241" t="inlineStr">
        <is>
          <t>Golpe de Autoridade</t>
        </is>
      </c>
      <c r="J68" s="241" t="inlineStr">
        <is>
          <t>Ignora Defesa + concede Fragilidade ao equipamento do jogador.</t>
        </is>
      </c>
      <c r="K68" s="241" t="inlineStr">
        <is>
          <t>Um dos capatazes que sobreviveu ao desabamento de Kessa. Ficou pior depois.</t>
        </is>
      </c>
      <c r="L68" s="241">
        <f>IF(C68="Comum",ROUND(E68*1.3,0),"—")</f>
        <v/>
      </c>
      <c r="M68" s="241">
        <f>IF(C68="Comum",ROUND(F68*1.15,0),"—")</f>
        <v/>
      </c>
      <c r="N68" s="241">
        <f>IF(C68="Comum",G68+2,"—")</f>
        <v/>
      </c>
      <c r="O68" s="241">
        <f>IF(C68="Comum",ROUND(E68*1.6,0),"—")</f>
        <v/>
      </c>
      <c r="P68" s="241">
        <f>IF(C68="Comum",ROUND(F68*1.3,0),"—")</f>
        <v/>
      </c>
      <c r="Q68" s="241">
        <f>IF(C68="Comum",G68+4,"—")</f>
        <v/>
      </c>
      <c r="R68" s="242" t="n"/>
      <c r="S68" s="241">
        <f>ROUND(3+0.6*D68+IF(C68="Comum",0,IF(C68="Elite",2,IF(C68="Boss",4,6))),0)</f>
        <v/>
      </c>
      <c r="T68" s="241" t="inlineStr">
        <is>
          <t>Ouro + Fragmento de Supervisor Ferido + Bandagem Suja do Supervisor + Quitina de Aranha das Cavernas (chance baixa)</t>
        </is>
      </c>
      <c r="U68" s="241" t="inlineStr">
        <is>
          <t>Lentidão</t>
        </is>
      </c>
      <c r="V68" s="241" t="inlineStr">
        <is>
          <t>DPS</t>
        </is>
      </c>
      <c r="W68" s="241" t="inlineStr">
        <is>
          <t>Mina de Bronze — Escritório do Capataz</t>
        </is>
      </c>
      <c r="X68" s="243" t="n"/>
      <c r="Y68" s="243" t="n"/>
      <c r="Z68" s="243" t="n"/>
      <c r="AA68" s="243" t="n"/>
    </row>
    <row r="69" ht="15" customHeight="1" s="116">
      <c r="A69" s="241" t="inlineStr">
        <is>
          <t>Bronze</t>
        </is>
      </c>
      <c r="B69" s="241" t="inlineStr">
        <is>
          <t>Aranha da Névoa</t>
        </is>
      </c>
      <c r="C69" s="241" t="inlineStr">
        <is>
          <t>Elite</t>
        </is>
      </c>
      <c r="D69" s="241" t="n">
        <v>8</v>
      </c>
      <c r="E69" s="241">
        <f>ROUND(INDEX('Curva Mestra'!$G$20:$G$94,MATCH(D69,'Curva Mestra'!$A$20:$A$94,0)),0)</f>
        <v/>
      </c>
      <c r="F69" s="241">
        <f>ROUND(INDEX('Curva Mestra'!$C$20:$C$94,MATCH(D69,'Curva Mestra'!$A$20:$A$94,0))*INDEX($B$5:$B$8,MATCH(C69,$A$5:$A$8,0)),0)</f>
        <v/>
      </c>
      <c r="G69" s="241">
        <f>ROUND(INDEX('Curva Mestra'!$D$20:$D$94,MATCH(D69,'Curva Mestra'!$A$20:$A$94,0))+INDEX($C$5:$C$8,MATCH(C69,$A$5:$A$8,0)),0)</f>
        <v/>
      </c>
      <c r="H69" s="241" t="inlineStr">
        <is>
          <t>Aparece nas bolsas de gás dos túneis baixos da mina.</t>
        </is>
      </c>
      <c r="I69" s="241" t="inlineStr">
        <is>
          <t>Névoa Sufocante</t>
        </is>
      </c>
      <c r="J69" s="241" t="inlineStr">
        <is>
          <t>Atordoamento em área (20% de chance, afeta todos no combate).</t>
        </is>
      </c>
      <c r="K69" s="241" t="inlineStr">
        <is>
          <t>Vive nas bolsas de gás da mina — a névoa que solta é parte dela.</t>
        </is>
      </c>
      <c r="L69" s="241">
        <f>IF(C69="Comum",ROUND(E69*1.3,0),"—")</f>
        <v/>
      </c>
      <c r="M69" s="241">
        <f>IF(C69="Comum",ROUND(F69*1.15,0),"—")</f>
        <v/>
      </c>
      <c r="N69" s="241">
        <f>IF(C69="Comum",G69+2,"—")</f>
        <v/>
      </c>
      <c r="O69" s="241">
        <f>IF(C69="Comum",ROUND(E69*1.6,0),"—")</f>
        <v/>
      </c>
      <c r="P69" s="241">
        <f>IF(C69="Comum",ROUND(F69*1.3,0),"—")</f>
        <v/>
      </c>
      <c r="Q69" s="241">
        <f>IF(C69="Comum",G69+4,"—")</f>
        <v/>
      </c>
      <c r="R69" s="242" t="n"/>
      <c r="S69" s="241">
        <f>ROUND(3+0.6*D69+IF(C69="Comum",0,IF(C69="Elite",2,IF(C69="Boss",4,6))),0)</f>
        <v/>
      </c>
      <c r="T69" s="241" t="inlineStr">
        <is>
          <t>Ouro + Glândula de Névoa de Aranha da Névoa + Quitina de Aranha das Cavernas (chance baixa)</t>
        </is>
      </c>
      <c r="U69" s="241" t="inlineStr">
        <is>
          <t>Ignora Resistência Mágica</t>
        </is>
      </c>
      <c r="V69" s="241" t="inlineStr">
        <is>
          <t>Controle</t>
        </is>
      </c>
      <c r="W69" s="241" t="inlineStr">
        <is>
          <t>Mina de Bronze — Túneis Baixos</t>
        </is>
      </c>
      <c r="X69" s="243" t="n"/>
      <c r="Y69" s="241" t="inlineStr">
        <is>
          <t>Só aparece onde há Nuvem de Gás Sulfuroso por perto.</t>
        </is>
      </c>
      <c r="Z69" s="243" t="n"/>
      <c r="AA69" s="243" t="n"/>
    </row>
    <row r="70" ht="15" customHeight="1" s="116">
      <c r="A70" s="241" t="inlineStr">
        <is>
          <t>Bronze</t>
        </is>
      </c>
      <c r="B70" s="241" t="inlineStr">
        <is>
          <t>Kessa, a Sobrevivente do Desabamento</t>
        </is>
      </c>
      <c r="C70" s="241" t="inlineStr">
        <is>
          <t>Elite</t>
        </is>
      </c>
      <c r="D70" s="241" t="n">
        <v>8</v>
      </c>
      <c r="E70" s="241">
        <f>ROUND(INDEX('Curva Mestra'!$G$20:$G$94,MATCH(D70,'Curva Mestra'!$A$20:$A$94,0)),0)</f>
        <v/>
      </c>
      <c r="F70" s="241">
        <f>ROUND(INDEX('Curva Mestra'!$C$20:$C$94,MATCH(D70,'Curva Mestra'!$A$20:$A$94,0))*INDEX($B$5:$B$8,MATCH(C70,$A$5:$A$8,0)),0)</f>
        <v/>
      </c>
      <c r="G70" s="241">
        <f>ROUND(INDEX('Curva Mestra'!$D$20:$D$94,MATCH(D70,'Curva Mestra'!$A$20:$A$94,0))+INDEX($C$5:$C$8,MATCH(C70,$A$5:$A$8,0)),0)</f>
        <v/>
      </c>
      <c r="H70" s="241" t="inlineStr">
        <is>
          <t>Vista raramente na galeria que desabou anos atrás.</t>
        </is>
      </c>
      <c r="I70" s="241" t="inlineStr">
        <is>
          <t>Fúria da Sobrevivência</t>
        </is>
      </c>
      <c r="J70" s="241" t="inlineStr">
        <is>
          <t>Ignora Defesa + Rouba Vida (10%).</t>
        </is>
      </c>
      <c r="K70" s="241" t="inlineStr">
        <is>
          <t>Ficou presa 6 dias sob os escombros depois que Grimm mandou minerar rápido demais. Saiu diferente.</t>
        </is>
      </c>
      <c r="L70" s="241">
        <f>IF(C70="Comum",ROUND(E70*1.3,0),"—")</f>
        <v/>
      </c>
      <c r="M70" s="241">
        <f>IF(C70="Comum",ROUND(F70*1.15,0),"—")</f>
        <v/>
      </c>
      <c r="N70" s="241">
        <f>IF(C70="Comum",G70+2,"—")</f>
        <v/>
      </c>
      <c r="O70" s="241">
        <f>IF(C70="Comum",ROUND(E70*1.6,0),"—")</f>
        <v/>
      </c>
      <c r="P70" s="241">
        <f>IF(C70="Comum",ROUND(F70*1.3,0),"—")</f>
        <v/>
      </c>
      <c r="Q70" s="241">
        <f>IF(C70="Comum",G70+4,"—")</f>
        <v/>
      </c>
      <c r="R70" s="242" t="n"/>
      <c r="S70" s="241">
        <f>ROUND(3+0.6*D70+IF(C70="Comum",0,IF(C70="Elite",2,IF(C70="Boss",4,6))),0)</f>
        <v/>
      </c>
      <c r="T70" s="241" t="inlineStr">
        <is>
          <t>Ouro + Fragmento da Sobrevivente do Desabamento + Quitina de Aranha das Cavernas (chance baixa)</t>
        </is>
      </c>
      <c r="U70" s="241" t="inlineStr">
        <is>
          <t>Lentidão</t>
        </is>
      </c>
      <c r="V70" s="241" t="inlineStr">
        <is>
          <t>Nomeado / Mini-Boss</t>
        </is>
      </c>
      <c r="W70" s="241" t="inlineStr">
        <is>
          <t>Mina de Bronze — Galeria Colapsada, spawn raro (4%)</t>
        </is>
      </c>
      <c r="X70" s="241" t="inlineStr">
        <is>
          <t>A 30% de HP para de atacar e oferece ajudar o jogador contra Grimm.</t>
        </is>
      </c>
      <c r="Y70" s="243" t="n"/>
      <c r="Z70" s="241" t="inlineStr">
        <is>
          <t>A Guilda a considera morta — reaparecer é problema pra eles.</t>
        </is>
      </c>
      <c r="AA70" s="241" t="inlineStr">
        <is>
          <t>Amuleto da Sobrevivente (se derrotada em vez de poupada) [ver Artefatos e Relíquias]</t>
        </is>
      </c>
    </row>
    <row r="71" ht="15" customHeight="1" s="116">
      <c r="A71" s="241" t="inlineStr">
        <is>
          <t>Bronze</t>
        </is>
      </c>
      <c r="B71" s="241" t="inlineStr">
        <is>
          <t>Rainha-Aranha da Mina</t>
        </is>
      </c>
      <c r="C71" s="241" t="inlineStr">
        <is>
          <t>Boss</t>
        </is>
      </c>
      <c r="D71" s="241" t="n">
        <v>8</v>
      </c>
      <c r="E71" s="241">
        <f>ROUND(INDEX('Curva Mestra'!$H$20:$H$94,MATCH(D71,'Curva Mestra'!$A$20:$A$94,0)),0)</f>
        <v/>
      </c>
      <c r="F71" s="241">
        <f>ROUND(INDEX('Curva Mestra'!$C$20:$C$94,MATCH(D71,'Curva Mestra'!$A$20:$A$94,0))*INDEX($B$5:$B$8,MATCH(C71,$A$5:$A$8,0)),0)</f>
        <v/>
      </c>
      <c r="G71" s="241">
        <f>ROUND(INDEX('Curva Mestra'!$D$20:$D$94,MATCH(D71,'Curva Mestra'!$A$20:$A$94,0))+INDEX($C$5:$C$8,MATCH(C71,$A$5:$A$8,0)),0)</f>
        <v/>
      </c>
      <c r="H71" s="241" t="inlineStr">
        <is>
          <t>Chefe / marco final do tier Bronze</t>
        </is>
      </c>
      <c r="I71" s="241" t="inlineStr">
        <is>
          <t>Enxame de Filhotes</t>
        </is>
      </c>
      <c r="J71" s="241" t="inlineStr">
        <is>
          <t>Invoca 2 Aranhas da Mina adicionais no início do combate. Também aplica: Ignora 1 ponto de Defesa do alvo.</t>
        </is>
      </c>
      <c r="K71" s="241" t="inlineStr">
        <is>
          <t>A colônia inteira responde a ela. Cresceu rápido demais, no mesmo ritmo em que Grimm ignorou os alertas dos mineiros pra não perder produção.</t>
        </is>
      </c>
      <c r="L71" s="241">
        <f>IF(C71="Comum",ROUND(E71*1.3,0),"—")</f>
        <v/>
      </c>
      <c r="M71" s="241">
        <f>IF(C71="Comum",ROUND(F71*1.15,0),"—")</f>
        <v/>
      </c>
      <c r="N71" s="241">
        <f>IF(C71="Comum",G71+2,"—")</f>
        <v/>
      </c>
      <c r="O71" s="241">
        <f>IF(C71="Comum",ROUND(E71*1.6,0),"—")</f>
        <v/>
      </c>
      <c r="P71" s="241">
        <f>IF(C71="Comum",ROUND(F71*1.3,0),"—")</f>
        <v/>
      </c>
      <c r="Q71" s="241">
        <f>IF(C71="Comum",G71+4,"—")</f>
        <v/>
      </c>
      <c r="R71" s="161" t="inlineStr">
        <is>
          <t>O Ninho Que Não Devia Crescer</t>
        </is>
      </c>
      <c r="S71" s="241">
        <f>ROUND(INDEX('Curva Mestra'!$D$20:$D$94,MATCH(D71,'Curva Mestra'!$A$20:$A$94,0))-IF(C71="Comum",9,IF(C71="Elite",6,IF(C71="Boss",4,3))),0)</f>
        <v/>
      </c>
      <c r="T71" s="241" t="inlineStr">
        <is>
          <t>Casco de Quitina de Rainha-Aranha da Mina + Essência de Rainha-Aranha da Mina + Ouro + Quitina de Aranha das Cavernas (chance baixa)</t>
        </is>
      </c>
      <c r="U71" s="241" t="inlineStr">
        <is>
          <t>Vulnerável a Ignora Defesa — pele grossa, mas com pontos fracos previsíveis.</t>
        </is>
      </c>
      <c r="V71" s="243" t="inlineStr">
        <is>
          <t>DPS</t>
        </is>
      </c>
      <c r="W71" s="243" t="inlineStr">
        <is>
          <t>Mina de Bronze</t>
        </is>
      </c>
      <c r="X71" s="243" t="n"/>
      <c r="Y71" s="243" t="n"/>
      <c r="Z71" s="243" t="n"/>
      <c r="AA71" s="243" t="n"/>
    </row>
    <row r="72" ht="15" customHeight="1" s="116">
      <c r="A72" s="241" t="inlineStr">
        <is>
          <t>Bronze</t>
        </is>
      </c>
      <c r="B72" s="241" t="inlineStr">
        <is>
          <t>Barão Aldous Grimm (Corrompido)</t>
        </is>
      </c>
      <c r="C72" s="241" t="inlineStr">
        <is>
          <t>Boss</t>
        </is>
      </c>
      <c r="D72" s="241" t="n">
        <v>10</v>
      </c>
      <c r="E72" s="241">
        <f>ROUND(INDEX('Curva Mestra'!$H$20:$H$94,MATCH(D72,'Curva Mestra'!$A$20:$A$94,0)),0)</f>
        <v/>
      </c>
      <c r="F72" s="241">
        <f>ROUND(INDEX('Curva Mestra'!$C$20:$C$94,MATCH(D72,'Curva Mestra'!$A$20:$A$94,0))*INDEX($B$5:$B$8,MATCH(C72,$A$5:$A$8,0)),0)</f>
        <v/>
      </c>
      <c r="G72" s="241">
        <f>ROUND(INDEX('Curva Mestra'!$D$20:$D$94,MATCH(D72,'Curva Mestra'!$A$20:$A$94,0))+INDEX($C$5:$C$8,MATCH(C72,$A$5:$A$8,0)),0)</f>
        <v/>
      </c>
      <c r="H72" s="241" t="inlineStr">
        <is>
          <t>Ligado à Guilda dos Picaretas Negros, região de Bronze.</t>
        </is>
      </c>
      <c r="I72" s="241" t="inlineStr">
        <is>
          <t>Peso do Ouro</t>
        </is>
      </c>
      <c r="J72" s="241" t="inlineStr">
        <is>
          <t>No início do combate, reduz o Bônus de Ataque de todos os heróis em 1 (a ganância pesa no braço de quem luta por ela também). Também aplica: Ignora 1 ponto de Defesa do alvo.</t>
        </is>
      </c>
      <c r="K72" s="241" t="inlineStr">
        <is>
          <t>Respirou vapor contaminado por anos recusando fechar a mina. Sabia que os túneis profundos tocavam as criptas — escondeu isso por lucro, exatamente como está registrado nos Livros de Grimm.</t>
        </is>
      </c>
      <c r="L72" s="241">
        <f>IF(C72="Comum",ROUND(E72*1.3,0),"—")</f>
        <v/>
      </c>
      <c r="M72" s="241">
        <f>IF(C72="Comum",ROUND(F72*1.15,0),"—")</f>
        <v/>
      </c>
      <c r="N72" s="241">
        <f>IF(C72="Comum",G72+2,"—")</f>
        <v/>
      </c>
      <c r="O72" s="241">
        <f>IF(C72="Comum",ROUND(E72*1.6,0),"—")</f>
        <v/>
      </c>
      <c r="P72" s="241">
        <f>IF(C72="Comum",ROUND(F72*1.3,0),"—")</f>
        <v/>
      </c>
      <c r="Q72" s="241">
        <f>IF(C72="Comum",G72+4,"—")</f>
        <v/>
      </c>
      <c r="R72" s="161" t="inlineStr">
        <is>
          <t>A Ganância Não Morre</t>
        </is>
      </c>
      <c r="S72" s="241">
        <f>ROUND(INDEX('Curva Mestra'!$D$20:$D$94,MATCH(D72,'Curva Mestra'!$A$20:$A$94,0))-IF(C72="Comum",9,IF(C72="Elite",6,IF(C72="Boss",4,3))),0)</f>
        <v/>
      </c>
      <c r="T72" s="241" t="inlineStr">
        <is>
          <t>Selo Pessoal de Barão Aldous Grimm (Corrompido) + Essência de Barão Aldous Grimm (Corrompido) + Ouro + Quitina de Aranha das Cavernas (chance baixa)</t>
        </is>
      </c>
      <c r="U72" s="241" t="inlineStr">
        <is>
          <t>Vulnerável a Atordoamento — travas mecânicas emperram com o dobro de chance.</t>
        </is>
      </c>
      <c r="V72" s="243" t="inlineStr">
        <is>
          <t>DPS</t>
        </is>
      </c>
      <c r="W72" s="243" t="inlineStr">
        <is>
          <t>Mina de Bronze</t>
        </is>
      </c>
      <c r="X72" s="243" t="n"/>
      <c r="Y72" s="243" t="n"/>
      <c r="Z72" s="243" t="n"/>
      <c r="AA72" s="243" t="n"/>
    </row>
    <row r="73" ht="15" customHeight="1" s="116">
      <c r="A73" s="241" t="inlineStr">
        <is>
          <t>Ferro</t>
        </is>
      </c>
      <c r="B73" s="241" t="inlineStr">
        <is>
          <t>Esqueleto Enferrujado</t>
        </is>
      </c>
      <c r="C73" s="241" t="inlineStr">
        <is>
          <t>Comum</t>
        </is>
      </c>
      <c r="D73" s="241" t="n">
        <v>8</v>
      </c>
      <c r="E73" s="241">
        <f>ROUND(INDEX('Curva Mestra'!$F$20:$F$94,MATCH(D73,'Curva Mestra'!$A$20:$A$94,0)),0)</f>
        <v/>
      </c>
      <c r="F73" s="241">
        <f>ROUND(INDEX('Curva Mestra'!$C$20:$C$94,MATCH(D73,'Curva Mestra'!$A$20:$A$94,0))*INDEX($B$5:$B$8,MATCH(C73,$A$5:$A$8,0)),0)</f>
        <v/>
      </c>
      <c r="G73" s="241">
        <f>ROUND(INDEX('Curva Mestra'!$D$20:$D$94,MATCH(D73,'Curva Mestra'!$A$20:$A$94,0))+INDEX($C$5:$C$8,MATCH(C73,$A$5:$A$8,0)),0)</f>
        <v/>
      </c>
      <c r="H73" s="241" t="inlineStr">
        <is>
          <t>Ronda a regiao do tier Ferro</t>
        </is>
      </c>
      <c r="I73" s="241" t="inlineStr">
        <is>
          <t>Golpe Trêmulo</t>
        </is>
      </c>
      <c r="J73" s="241" t="inlineStr">
        <is>
          <t>Sem efeito especial.</t>
        </is>
      </c>
      <c r="K73" s="241" t="inlineStr">
        <is>
          <t>Guarda de fronteira comum morto no primeiro surto — a armadura de ferro fundiu-se aos ossos antes mesmo da carne apodrecer.</t>
        </is>
      </c>
      <c r="L73" s="241">
        <f>IF(C73="Comum",ROUND(E73*1.3,0),"—")</f>
        <v/>
      </c>
      <c r="M73" s="241">
        <f>IF(C73="Comum",ROUND(F73*1.15,0),"—")</f>
        <v/>
      </c>
      <c r="N73" s="241">
        <f>IF(C73="Comum",G73+2,"—")</f>
        <v/>
      </c>
      <c r="O73" s="241">
        <f>IF(C73="Comum",ROUND(E73*1.6,0),"—")</f>
        <v/>
      </c>
      <c r="P73" s="241">
        <f>IF(C73="Comum",ROUND(F73*1.3,0),"—")</f>
        <v/>
      </c>
      <c r="Q73" s="241">
        <f>IF(C73="Comum",G73+4,"—")</f>
        <v/>
      </c>
      <c r="R73" s="161" t="inlineStr">
        <is>
          <t>O Golem da Forja</t>
        </is>
      </c>
      <c r="S73" s="241">
        <f>ROUND(INDEX('Curva Mestra'!$D$20:$D$94,MATCH(D73,'Curva Mestra'!$A$20:$A$94,0))-IF(C73="Comum",9,IF(C73="Elite",6,IF(C73="Boss",4,3))),0)</f>
        <v/>
      </c>
      <c r="T73" s="241" t="inlineStr">
        <is>
          <t>Ouro + Armadura Fundida ao Osso + Fragmento de Golem Corrompido (chance rara)</t>
        </is>
      </c>
      <c r="U73" s="241" t="inlineStr">
        <is>
          <t>Vulnerável a Prata — armas de Prata ignoram 2 de Defesa a mais nele.</t>
        </is>
      </c>
      <c r="V73" s="243" t="inlineStr">
        <is>
          <t>DPS</t>
        </is>
      </c>
      <c r="W73" s="243" t="inlineStr">
        <is>
          <t>Ruínas da Antiga Forja</t>
        </is>
      </c>
      <c r="X73" s="243" t="n"/>
      <c r="Y73" s="243" t="n"/>
      <c r="Z73" s="243" t="n"/>
      <c r="AA73" s="243" t="n"/>
    </row>
    <row r="74" ht="15" customHeight="1" s="116">
      <c r="A74" s="241" t="inlineStr">
        <is>
          <t>Ferro</t>
        </is>
      </c>
      <c r="B74" s="241" t="inlineStr">
        <is>
          <t>Acólito do Ferro</t>
        </is>
      </c>
      <c r="C74" s="241" t="inlineStr">
        <is>
          <t>Comum</t>
        </is>
      </c>
      <c r="D74" s="241" t="n">
        <v>8</v>
      </c>
      <c r="E74" s="241">
        <f>ROUND(INDEX('Curva Mestra'!$F$20:$F$94,MATCH(D74,'Curva Mestra'!$A$20:$A$94,0)),0)</f>
        <v/>
      </c>
      <c r="F74" s="241">
        <f>ROUND(INDEX('Curva Mestra'!$C$20:$C$94,MATCH(D74,'Curva Mestra'!$A$20:$A$94,0))*INDEX($B$5:$B$8,MATCH(C74,$A$5:$A$8,0)),0)</f>
        <v/>
      </c>
      <c r="G74" s="241">
        <f>ROUND(INDEX('Curva Mestra'!$D$20:$D$94,MATCH(D74,'Curva Mestra'!$A$20:$A$94,0))+INDEX($C$5:$C$8,MATCH(C74,$A$5:$A$8,0)),0)</f>
        <v/>
      </c>
      <c r="H74" s="241" t="inlineStr">
        <is>
          <t>Recém-chegado ao culto, ainda perto da muralha externa.</t>
        </is>
      </c>
      <c r="I74" s="241" t="inlineStr">
        <is>
          <t>Golpe Hesitante</t>
        </is>
      </c>
      <c r="J74" s="241" t="inlineStr">
        <is>
          <t>Nenhum — 20% de chance de recusar atacar se abordado em paz.</t>
        </is>
      </c>
      <c r="K74" s="241" t="inlineStr">
        <is>
          <t>Entrou no culto por fome, não por fé.</t>
        </is>
      </c>
      <c r="L74" s="241">
        <f>IF(C74="Comum",ROUND(E74*1.3,0),"—")</f>
        <v/>
      </c>
      <c r="M74" s="241">
        <f>IF(C74="Comum",ROUND(F74*1.15,0),"—")</f>
        <v/>
      </c>
      <c r="N74" s="241">
        <f>IF(C74="Comum",G74+2,"—")</f>
        <v/>
      </c>
      <c r="O74" s="241">
        <f>IF(C74="Comum",ROUND(E74*1.6,0),"—")</f>
        <v/>
      </c>
      <c r="P74" s="241">
        <f>IF(C74="Comum",ROUND(F74*1.3,0),"—")</f>
        <v/>
      </c>
      <c r="Q74" s="241">
        <f>IF(C74="Comum",G74+4,"—")</f>
        <v/>
      </c>
      <c r="R74" s="242" t="n"/>
      <c r="S74" s="241">
        <f>ROUND(3+0.6*D74+IF(C74="Comum",0,IF(C74="Elite",2,IF(C74="Boss",4,6))),0)</f>
        <v/>
      </c>
      <c r="T74" s="241" t="inlineStr">
        <is>
          <t>Ouro + Pão Roubado do Acólito</t>
        </is>
      </c>
      <c r="U74" s="241" t="inlineStr">
        <is>
          <t>Atordoamento</t>
        </is>
      </c>
      <c r="V74" s="241" t="inlineStr">
        <is>
          <t>Não-hostil condicional</t>
        </is>
      </c>
      <c r="W74" s="241" t="inlineStr">
        <is>
          <t>Ruínas da Antiga Forja — Muralha Externa</t>
        </is>
      </c>
      <c r="X74" s="243" t="n"/>
      <c r="Y74" s="241" t="inlineStr">
        <is>
          <t>Se abordado sem combate, pode ser convencido a desertar (quest).</t>
        </is>
      </c>
      <c r="Z74" s="241" t="inlineStr">
        <is>
          <t>A Milícia dos Desamparados aceita desertores do Culto.</t>
        </is>
      </c>
      <c r="AA74" s="243" t="n"/>
    </row>
    <row r="75" ht="15" customHeight="1" s="116">
      <c r="A75" s="241" t="inlineStr">
        <is>
          <t>Ferro</t>
        </is>
      </c>
      <c r="B75" s="241" t="inlineStr">
        <is>
          <t>Ferrugem Viva</t>
        </is>
      </c>
      <c r="C75" s="241" t="inlineStr">
        <is>
          <t>Comum</t>
        </is>
      </c>
      <c r="D75" s="241" t="n">
        <v>8</v>
      </c>
      <c r="E75" s="241">
        <f>ROUND(INDEX('Curva Mestra'!$F$20:$F$94,MATCH(D75,'Curva Mestra'!$A$20:$A$94,0)),0)</f>
        <v/>
      </c>
      <c r="F75" s="241">
        <f>ROUND(INDEX('Curva Mestra'!$C$20:$C$94,MATCH(D75,'Curva Mestra'!$A$20:$A$94,0))*INDEX($B$5:$B$8,MATCH(C75,$A$5:$A$8,0)),0)</f>
        <v/>
      </c>
      <c r="G75" s="241">
        <f>ROUND(INDEX('Curva Mestra'!$D$20:$D$94,MATCH(D75,'Curva Mestra'!$A$20:$A$94,0))+INDEX($C$5:$C$8,MATCH(C75,$A$5:$A$8,0)),0)</f>
        <v/>
      </c>
      <c r="H75" s="241" t="inlineStr">
        <is>
          <t>Cresce nas juntas dos golems da fundição.</t>
        </is>
      </c>
      <c r="I75" s="241" t="inlineStr">
        <is>
          <t>Corrosão</t>
        </is>
      </c>
      <c r="J75" s="241" t="inlineStr">
        <is>
          <t>Fragilidade — só aparece perto de Golems.</t>
        </is>
      </c>
      <c r="K75" s="241" t="inlineStr">
        <is>
          <t>Cresce nas juntas dos golems, come o próprio metal que os anima.</t>
        </is>
      </c>
      <c r="L75" s="241">
        <f>IF(C75="Comum",ROUND(E75*1.3,0),"—")</f>
        <v/>
      </c>
      <c r="M75" s="241">
        <f>IF(C75="Comum",ROUND(F75*1.15,0),"—")</f>
        <v/>
      </c>
      <c r="N75" s="241">
        <f>IF(C75="Comum",G75+2,"—")</f>
        <v/>
      </c>
      <c r="O75" s="241">
        <f>IF(C75="Comum",ROUND(E75*1.6,0),"—")</f>
        <v/>
      </c>
      <c r="P75" s="241">
        <f>IF(C75="Comum",ROUND(F75*1.3,0),"—")</f>
        <v/>
      </c>
      <c r="Q75" s="241">
        <f>IF(C75="Comum",G75+4,"—")</f>
        <v/>
      </c>
      <c r="R75" s="242" t="n"/>
      <c r="S75" s="241">
        <f>ROUND(3+0.6*D75+IF(C75="Comum",0,IF(C75="Elite",2,IF(C75="Boss",4,6))),0)</f>
        <v/>
      </c>
      <c r="T75" s="241" t="inlineStr">
        <is>
          <t>Casulo de Ferrugem Viva + Óxido Animado</t>
        </is>
      </c>
      <c r="U75" s="241" t="inlineStr">
        <is>
          <t>Queimadura</t>
        </is>
      </c>
      <c r="V75" s="241" t="inlineStr">
        <is>
          <t>Parasita</t>
        </is>
      </c>
      <c r="W75" s="241" t="inlineStr">
        <is>
          <t>Ruínas da Antiga Forja — Fundição, só com Golem presente</t>
        </is>
      </c>
      <c r="X75" s="243" t="n"/>
      <c r="Y75" s="243" t="n"/>
      <c r="Z75" s="243" t="n"/>
      <c r="AA75" s="243" t="n"/>
    </row>
    <row r="76" ht="15" customHeight="1" s="116">
      <c r="A76" s="241" t="inlineStr">
        <is>
          <t>Ferro</t>
        </is>
      </c>
      <c r="B76" s="241" t="inlineStr">
        <is>
          <t>Guardião Enferrujado</t>
        </is>
      </c>
      <c r="C76" s="241" t="inlineStr">
        <is>
          <t>Comum</t>
        </is>
      </c>
      <c r="D76" s="241" t="n">
        <v>8</v>
      </c>
      <c r="E76" s="241">
        <f>ROUND(INDEX('Curva Mestra'!$F$20:$F$94,MATCH(D76,'Curva Mestra'!$A$20:$A$94,0)),0)</f>
        <v/>
      </c>
      <c r="F76" s="241">
        <f>ROUND(INDEX('Curva Mestra'!$C$20:$C$94,MATCH(D76,'Curva Mestra'!$A$20:$A$94,0))*INDEX($B$5:$B$8,MATCH(C76,$A$5:$A$8,0)),0)</f>
        <v/>
      </c>
      <c r="G76" s="241">
        <f>ROUND(INDEX('Curva Mestra'!$D$20:$D$94,MATCH(D76,'Curva Mestra'!$A$20:$A$94,0))+INDEX($C$5:$C$8,MATCH(C76,$A$5:$A$8,0)),0)</f>
        <v/>
      </c>
      <c r="H76" s="241" t="inlineStr">
        <is>
          <t>Postado permanentemente na muralha externa das ruínas.</t>
        </is>
      </c>
      <c r="I76" s="241" t="inlineStr">
        <is>
          <t>Golpe de Escudo</t>
        </is>
      </c>
      <c r="J76" s="241" t="inlineStr">
        <is>
          <t>Nenhum efeito adicional.</t>
        </is>
      </c>
      <c r="K76" s="241" t="inlineStr">
        <is>
          <t>Estátua de guarda que a Infecção fez andar de novo.</t>
        </is>
      </c>
      <c r="L76" s="241">
        <f>IF(C76="Comum",ROUND(E76*1.3,0),"—")</f>
        <v/>
      </c>
      <c r="M76" s="241">
        <f>IF(C76="Comum",ROUND(F76*1.15,0),"—")</f>
        <v/>
      </c>
      <c r="N76" s="241">
        <f>IF(C76="Comum",G76+2,"—")</f>
        <v/>
      </c>
      <c r="O76" s="241">
        <f>IF(C76="Comum",ROUND(E76*1.6,0),"—")</f>
        <v/>
      </c>
      <c r="P76" s="241">
        <f>IF(C76="Comum",ROUND(F76*1.3,0),"—")</f>
        <v/>
      </c>
      <c r="Q76" s="241">
        <f>IF(C76="Comum",G76+4,"—")</f>
        <v/>
      </c>
      <c r="R76" s="242" t="n"/>
      <c r="S76" s="241">
        <f>ROUND(3+0.6*D76+IF(C76="Comum",0,IF(C76="Elite",2,IF(C76="Boss",4,6))),0)</f>
        <v/>
      </c>
      <c r="T76" s="241" t="inlineStr">
        <is>
          <t>Ouro + Placa Enferrujada de Guardião + Elmo Fundido de Guardião</t>
        </is>
      </c>
      <c r="U76" s="241" t="inlineStr">
        <is>
          <t>Ignora Resistência Mágica</t>
        </is>
      </c>
      <c r="V76" s="241" t="inlineStr">
        <is>
          <t>DPS simples</t>
        </is>
      </c>
      <c r="W76" s="241" t="inlineStr">
        <is>
          <t>Ruínas da Antiga Forja — Muralha Externa</t>
        </is>
      </c>
      <c r="X76" s="243" t="n"/>
      <c r="Y76" s="243" t="n"/>
      <c r="Z76" s="243" t="n"/>
      <c r="AA76" s="243" t="n"/>
    </row>
    <row r="77" ht="15" customHeight="1" s="116">
      <c r="A77" s="241" t="inlineStr">
        <is>
          <t>Ferro</t>
        </is>
      </c>
      <c r="B77" s="241" t="inlineStr">
        <is>
          <t>Esqueleto Arqueiro</t>
        </is>
      </c>
      <c r="C77" s="241" t="inlineStr">
        <is>
          <t>Comum</t>
        </is>
      </c>
      <c r="D77" s="241" t="n">
        <v>9</v>
      </c>
      <c r="E77" s="241">
        <f>ROUND(INDEX('Curva Mestra'!$F$20:$F$94,MATCH(D77,'Curva Mestra'!$A$20:$A$94,0)),0)</f>
        <v/>
      </c>
      <c r="F77" s="241">
        <f>ROUND(INDEX('Curva Mestra'!$C$20:$C$94,MATCH(D77,'Curva Mestra'!$A$20:$A$94,0))*INDEX($B$5:$B$8,MATCH(C77,$A$5:$A$8,0)),0)</f>
        <v/>
      </c>
      <c r="G77" s="241">
        <f>ROUND(INDEX('Curva Mestra'!$D$20:$D$94,MATCH(D77,'Curva Mestra'!$A$20:$A$94,0))+INDEX($C$5:$C$8,MATCH(C77,$A$5:$A$8,0)),0)</f>
        <v/>
      </c>
      <c r="H77" s="241" t="inlineStr">
        <is>
          <t>Posta-se na muralha externa das Ruínas da Antiga Forja.</t>
        </is>
      </c>
      <c r="I77" s="241" t="inlineStr">
        <is>
          <t>Flecha Enferrujada</t>
        </is>
      </c>
      <c r="J77" s="241" t="inlineStr">
        <is>
          <t>Sangramento (a ponta farpada rasga ao sair).</t>
        </is>
      </c>
      <c r="K77" s="241" t="inlineStr">
        <is>
          <t>Guarda arqueira da antiga forja, ainda de posto após séculos.</t>
        </is>
      </c>
      <c r="L77" s="241">
        <f>IF(C77="Comum",ROUND(E77*1.3,0),"—")</f>
        <v/>
      </c>
      <c r="M77" s="241">
        <f>IF(C77="Comum",ROUND(F77*1.15,0),"—")</f>
        <v/>
      </c>
      <c r="N77" s="241">
        <f>IF(C77="Comum",G77+2,"—")</f>
        <v/>
      </c>
      <c r="O77" s="241">
        <f>IF(C77="Comum",ROUND(E77*1.6,0),"—")</f>
        <v/>
      </c>
      <c r="P77" s="241">
        <f>IF(C77="Comum",ROUND(F77*1.3,0),"—")</f>
        <v/>
      </c>
      <c r="Q77" s="241">
        <f>IF(C77="Comum",G77+4,"—")</f>
        <v/>
      </c>
      <c r="R77" s="242" t="n"/>
      <c r="S77" s="241">
        <f>ROUND(3+0.6*D77+IF(C77="Comum",0,IF(C77="Elite",2,IF(C77="Boss",4,6))),0)</f>
        <v/>
      </c>
      <c r="T77" s="241" t="inlineStr">
        <is>
          <t>Ouro + Arco de Osso Frágil + Flecha Enferrujada de Esqueleto</t>
        </is>
      </c>
      <c r="U77" s="241" t="inlineStr">
        <is>
          <t>Ignora Defesa</t>
        </is>
      </c>
      <c r="V77" s="241" t="inlineStr">
        <is>
          <t>Ranged/DPS</t>
        </is>
      </c>
      <c r="W77" s="241" t="inlineStr">
        <is>
          <t>Ruínas da Antiga Forja — Muralha Externa</t>
        </is>
      </c>
      <c r="X77" s="243" t="n"/>
      <c r="Y77" s="243" t="n"/>
      <c r="Z77" s="243" t="n"/>
      <c r="AA77" s="243" t="n"/>
    </row>
    <row r="78" ht="15" customHeight="1" s="116">
      <c r="A78" s="241" t="inlineStr">
        <is>
          <t>Ferro</t>
        </is>
      </c>
      <c r="B78" s="241" t="inlineStr">
        <is>
          <t>Ossos Errantes</t>
        </is>
      </c>
      <c r="C78" s="241" t="inlineStr">
        <is>
          <t>Comum</t>
        </is>
      </c>
      <c r="D78" s="241" t="n">
        <v>9</v>
      </c>
      <c r="E78" s="241">
        <f>ROUND(INDEX('Curva Mestra'!$F$20:$F$94,MATCH(D78,'Curva Mestra'!$A$20:$A$94,0)),0)</f>
        <v/>
      </c>
      <c r="F78" s="241">
        <f>ROUND(INDEX('Curva Mestra'!$C$20:$C$94,MATCH(D78,'Curva Mestra'!$A$20:$A$94,0))*INDEX($B$5:$B$8,MATCH(C78,$A$5:$A$8,0)),0)</f>
        <v/>
      </c>
      <c r="G78" s="241">
        <f>ROUND(INDEX('Curva Mestra'!$D$20:$D$94,MATCH(D78,'Curva Mestra'!$A$20:$A$94,0))+INDEX($C$5:$C$8,MATCH(C78,$A$5:$A$8,0)),0)</f>
        <v/>
      </c>
      <c r="H78" s="241" t="inlineStr">
        <is>
          <t>Fragmentos remontados encontrados pela muralha externa.</t>
        </is>
      </c>
      <c r="I78" s="241" t="inlineStr">
        <is>
          <t>Golpe Descoordenado</t>
        </is>
      </c>
      <c r="J78" s="241" t="inlineStr">
        <is>
          <t>Se destruído sem ser com golpe crítico, se remonta 1x com 30% do HP.</t>
        </is>
      </c>
      <c r="K78" s="241" t="inlineStr">
        <is>
          <t>Fragmentos soltos de vários esqueletos, remontados errado pela Infecção.</t>
        </is>
      </c>
      <c r="L78" s="241">
        <f>IF(C78="Comum",ROUND(E78*1.3,0),"—")</f>
        <v/>
      </c>
      <c r="M78" s="241">
        <f>IF(C78="Comum",ROUND(F78*1.15,0),"—")</f>
        <v/>
      </c>
      <c r="N78" s="241">
        <f>IF(C78="Comum",G78+2,"—")</f>
        <v/>
      </c>
      <c r="O78" s="241">
        <f>IF(C78="Comum",ROUND(E78*1.6,0),"—")</f>
        <v/>
      </c>
      <c r="P78" s="241">
        <f>IF(C78="Comum",ROUND(F78*1.3,0),"—")</f>
        <v/>
      </c>
      <c r="Q78" s="241">
        <f>IF(C78="Comum",G78+4,"—")</f>
        <v/>
      </c>
      <c r="R78" s="242" t="n"/>
      <c r="S78" s="241">
        <f>ROUND(3+0.6*D78+IF(C78="Comum",0,IF(C78="Elite",2,IF(C78="Boss",4,6))),0)</f>
        <v/>
      </c>
      <c r="T78" s="241" t="inlineStr">
        <is>
          <t>Ouro + Feixe de Ossos Remontados</t>
        </is>
      </c>
      <c r="U78" s="241" t="inlineStr">
        <is>
          <t>Ignora Defesa</t>
        </is>
      </c>
      <c r="V78" s="241" t="inlineStr">
        <is>
          <t>Tanque</t>
        </is>
      </c>
      <c r="W78" s="241" t="inlineStr">
        <is>
          <t>Ruínas da Antiga Forja — Muralha Externa</t>
        </is>
      </c>
      <c r="X78" s="241" t="inlineStr">
        <is>
          <t>Remonta 1x se não for finalizado com crítico.</t>
        </is>
      </c>
      <c r="Y78" s="243" t="n"/>
      <c r="Z78" s="243" t="n"/>
      <c r="AA78" s="243" t="n"/>
    </row>
    <row r="79" ht="15" customHeight="1" s="116">
      <c r="A79" s="241" t="inlineStr">
        <is>
          <t>Ferro</t>
        </is>
      </c>
      <c r="B79" s="241" t="inlineStr">
        <is>
          <t>Guarda Espectral Menor</t>
        </is>
      </c>
      <c r="C79" s="241" t="inlineStr">
        <is>
          <t>Comum</t>
        </is>
      </c>
      <c r="D79" s="241" t="n">
        <v>9</v>
      </c>
      <c r="E79" s="241">
        <f>ROUND(INDEX('Curva Mestra'!$F$20:$F$94,MATCH(D79,'Curva Mestra'!$A$20:$A$94,0)),0)</f>
        <v/>
      </c>
      <c r="F79" s="241">
        <f>ROUND(INDEX('Curva Mestra'!$C$20:$C$94,MATCH(D79,'Curva Mestra'!$A$20:$A$94,0))*INDEX($B$5:$B$8,MATCH(C79,$A$5:$A$8,0)),0)</f>
        <v/>
      </c>
      <c r="G79" s="241">
        <f>ROUND(INDEX('Curva Mestra'!$D$20:$D$94,MATCH(D79,'Curva Mestra'!$A$20:$A$94,0))+INDEX($C$5:$C$8,MATCH(C79,$A$5:$A$8,0)),0)</f>
        <v/>
      </c>
      <c r="H79" s="241" t="inlineStr">
        <is>
          <t>Vagueia pelo salão dos comandantes desde o primeiro cerco.</t>
        </is>
      </c>
      <c r="I79" s="241" t="inlineStr">
        <is>
          <t>Toque Gélido da Guarda</t>
        </is>
      </c>
      <c r="J79" s="241" t="inlineStr">
        <is>
          <t>Lentidão (perde ação de movimento).</t>
        </is>
      </c>
      <c r="K79" s="241" t="inlineStr">
        <is>
          <t>Sobra de guardas que morreram no primeiro cerco à forja.</t>
        </is>
      </c>
      <c r="L79" s="241">
        <f>IF(C79="Comum",ROUND(E79*1.3,0),"—")</f>
        <v/>
      </c>
      <c r="M79" s="241">
        <f>IF(C79="Comum",ROUND(F79*1.15,0),"—")</f>
        <v/>
      </c>
      <c r="N79" s="241">
        <f>IF(C79="Comum",G79+2,"—")</f>
        <v/>
      </c>
      <c r="O79" s="241">
        <f>IF(C79="Comum",ROUND(E79*1.6,0),"—")</f>
        <v/>
      </c>
      <c r="P79" s="241">
        <f>IF(C79="Comum",ROUND(F79*1.3,0),"—")</f>
        <v/>
      </c>
      <c r="Q79" s="241">
        <f>IF(C79="Comum",G79+4,"—")</f>
        <v/>
      </c>
      <c r="R79" s="242" t="n"/>
      <c r="S79" s="241">
        <f>ROUND(3+0.6*D79+IF(C79="Comum",0,IF(C79="Elite",2,IF(C79="Boss",4,6))),0)</f>
        <v/>
      </c>
      <c r="T79" s="241" t="inlineStr">
        <is>
          <t>Resíduo Espectral de Guarda Menor + Fragmento de Armadura Espectral</t>
        </is>
      </c>
      <c r="U79" s="241" t="inlineStr">
        <is>
          <t>Queimadura</t>
        </is>
      </c>
      <c r="V79" s="241" t="inlineStr">
        <is>
          <t>Controle</t>
        </is>
      </c>
      <c r="W79" s="241" t="inlineStr">
        <is>
          <t>Ruínas da Antiga Forja — Salão dos Comandantes</t>
        </is>
      </c>
      <c r="X79" s="243" t="n"/>
      <c r="Y79" s="243" t="n"/>
      <c r="Z79" s="243" t="n"/>
      <c r="AA79" s="243" t="n"/>
    </row>
    <row r="80" ht="15" customHeight="1" s="116">
      <c r="A80" s="233" t="inlineStr">
        <is>
          <t>Ferro</t>
        </is>
      </c>
      <c r="B80" s="234" t="inlineStr">
        <is>
          <t>Salteador Batedor</t>
        </is>
      </c>
      <c r="C80" s="233" t="inlineStr">
        <is>
          <t>Comum</t>
        </is>
      </c>
      <c r="D80" s="235" t="n">
        <v>9</v>
      </c>
      <c r="E80" s="236">
        <f>ROUND(INDEX('Curva Mestra'!$F$20:$F$94,MATCH(D80,'Curva Mestra'!$A$20:$A$94,0)),0)</f>
        <v/>
      </c>
      <c r="F80" s="236">
        <f>ROUND(INDEX('Curva Mestra'!$C$20:$C$94,MATCH(D80,'Curva Mestra'!$A$20:$A$94,0))*INDEX($B$5:$B$8,MATCH(C80,$A$5:$A$8,0)),0)</f>
        <v/>
      </c>
      <c r="G80" s="236">
        <f>ROUND(INDEX('Curva Mestra'!$D$20:$D$94,MATCH(D80,'Curva Mestra'!$A$20:$A$94,0))+INDEX($C$5:$C$8,MATCH(C80,$A$5:$A$8,0)),0)</f>
        <v/>
      </c>
      <c r="H80" s="237" t="inlineStr">
        <is>
          <t>Vigia os arredores das Ruínas da Antiga Forja.</t>
        </is>
      </c>
      <c r="I80" s="236" t="inlineStr">
        <is>
          <t>Faca nas Costas</t>
        </is>
      </c>
      <c r="J80" s="235" t="inlineStr">
        <is>
          <t>Ignora Defesa + próximo encontro no local vem com +1 monstro.</t>
        </is>
      </c>
      <c r="K80" s="236" t="inlineStr">
        <is>
          <t>Vigia as ruínas de longe, avisa o resto do bando.</t>
        </is>
      </c>
      <c r="L80" s="238">
        <f>IF(C80="Comum",ROUND(E80*1.3,0),"—")</f>
        <v/>
      </c>
      <c r="M80" s="239">
        <f>IF(C80="Comum",ROUND(F80*1.15,0),"—")</f>
        <v/>
      </c>
      <c r="N80" s="240">
        <f>IF(C80="Comum",G80+2,"—")</f>
        <v/>
      </c>
      <c r="O80" s="239">
        <f>IF(C80="Comum",ROUND(E80*1.6,0),"—")</f>
        <v/>
      </c>
      <c r="P80" s="241">
        <f>IF(C80="Comum",ROUND(F80*1.3,0),"—")</f>
        <v/>
      </c>
      <c r="Q80" s="241">
        <f>IF(C80="Comum",G80+4,"—")</f>
        <v/>
      </c>
      <c r="R80" s="243" t="n"/>
      <c r="S80" s="241">
        <f>ROUND(3+0.6*D80+IF(C80="Comum",0,IF(C80="Elite",2,IF(C80="Boss",4,6))),0)</f>
        <v/>
      </c>
      <c r="T80" s="241" t="inlineStr">
        <is>
          <t>Ouro + Capuz Encardido de Batedor + Corda de Vigia</t>
        </is>
      </c>
      <c r="U80" s="241" t="inlineStr">
        <is>
          <t>Atordoamento</t>
        </is>
      </c>
      <c r="V80" s="161" t="inlineStr">
        <is>
          <t>Batedor</t>
        </is>
      </c>
      <c r="W80" s="161" t="inlineStr">
        <is>
          <t>Ruínas da Antiga Forja — arredores</t>
        </is>
      </c>
      <c r="X80" s="242" t="n"/>
      <c r="Y80" s="242" t="n"/>
      <c r="Z80" s="242" t="n"/>
      <c r="AA80" s="242" t="n"/>
    </row>
    <row r="81" ht="15" customHeight="1" s="116">
      <c r="A81" s="233" t="inlineStr">
        <is>
          <t>Ferro</t>
        </is>
      </c>
      <c r="B81" s="234" t="inlineStr">
        <is>
          <t>Espírito do Ferreiro Original</t>
        </is>
      </c>
      <c r="C81" s="233" t="inlineStr">
        <is>
          <t>Comum</t>
        </is>
      </c>
      <c r="D81" s="235" t="n">
        <v>9</v>
      </c>
      <c r="E81" s="236">
        <f>ROUND(INDEX('Curva Mestra'!$F$20:$F$94,MATCH(D81,'Curva Mestra'!$A$20:$A$94,0)),0)</f>
        <v/>
      </c>
      <c r="F81" s="236">
        <f>ROUND(INDEX('Curva Mestra'!$C$20:$C$94,MATCH(D81,'Curva Mestra'!$A$20:$A$94,0))*INDEX($B$5:$B$8,MATCH(C81,$A$5:$A$8,0)),0)</f>
        <v/>
      </c>
      <c r="G81" s="236">
        <f>ROUND(INDEX('Curva Mestra'!$D$20:$D$94,MATCH(D81,'Curva Mestra'!$A$20:$A$94,0))+INDEX($C$5:$C$8,MATCH(C81,$A$5:$A$8,0)),0)</f>
        <v/>
      </c>
      <c r="H81" s="237" t="inlineStr">
        <is>
          <t>Vagueia pela forja ainda ativa das ruínas.</t>
        </is>
      </c>
      <c r="I81" s="236" t="inlineStr">
        <is>
          <t>(não ataca)</t>
        </is>
      </c>
      <c r="J81" s="235" t="inlineStr">
        <is>
          <t>Não-hostil: guia até um segredo da forja se poupado.</t>
        </is>
      </c>
      <c r="K81" s="236" t="inlineStr">
        <is>
          <t>O primeiro ferreiro da forja, morto antes mesmo da Infecção chegar.</t>
        </is>
      </c>
      <c r="L81" s="238">
        <f>IF(C81="Comum",ROUND(E81*1.3,0),"—")</f>
        <v/>
      </c>
      <c r="M81" s="239">
        <f>IF(C81="Comum",ROUND(F81*1.15,0),"—")</f>
        <v/>
      </c>
      <c r="N81" s="240">
        <f>IF(C81="Comum",G81+2,"—")</f>
        <v/>
      </c>
      <c r="O81" s="239">
        <f>IF(C81="Comum",ROUND(E81*1.6,0),"—")</f>
        <v/>
      </c>
      <c r="P81" s="241">
        <f>IF(C81="Comum",ROUND(F81*1.3,0),"—")</f>
        <v/>
      </c>
      <c r="Q81" s="241">
        <f>IF(C81="Comum",G81+4,"—")</f>
        <v/>
      </c>
      <c r="R81" s="243" t="n"/>
      <c r="S81" s="241">
        <f>ROUND(3+0.6*D81+IF(C81="Comum",0,IF(C81="Elite",2,IF(C81="Boss",4,6))),0)</f>
        <v/>
      </c>
      <c r="T81" s="241" t="inlineStr">
        <is>
          <t>Martelo Etéreo do Ferreiro Original + Fagulha do Primeiro Forjador</t>
        </is>
      </c>
      <c r="U81" s="241" t="inlineStr">
        <is>
          <t>Sem fraqueza óbvia — precisa de Knowledge alto pra descobrir algo específico.</t>
        </is>
      </c>
      <c r="V81" s="161" t="inlineStr">
        <is>
          <t>Não-hostil</t>
        </is>
      </c>
      <c r="W81" s="161" t="inlineStr">
        <is>
          <t>Ruínas da Antiga Forja — Forja Ativa</t>
        </is>
      </c>
      <c r="X81" s="242" t="n"/>
      <c r="Y81" s="161" t="inlineStr">
        <is>
          <t>Revela a localização de um veio raro se poupado.</t>
        </is>
      </c>
      <c r="Z81" s="242" t="n"/>
      <c r="AA81" s="242" t="n"/>
    </row>
    <row r="82" ht="23.25" customHeight="1" s="116">
      <c r="A82" s="233" t="inlineStr">
        <is>
          <t>Ferro</t>
        </is>
      </c>
      <c r="B82" s="234" t="inlineStr">
        <is>
          <t>Esqueleto Recém-Erguido</t>
        </is>
      </c>
      <c r="C82" s="233" t="inlineStr">
        <is>
          <t>Comum</t>
        </is>
      </c>
      <c r="D82" s="235" t="n">
        <v>9</v>
      </c>
      <c r="E82" s="236">
        <f>ROUND(INDEX('Curva Mestra'!$F$20:$F$94,MATCH(D82,'Curva Mestra'!$A$20:$A$94,0)),0)</f>
        <v/>
      </c>
      <c r="F82" s="236">
        <f>ROUND(INDEX('Curva Mestra'!$C$20:$C$94,MATCH(D82,'Curva Mestra'!$A$20:$A$94,0))*INDEX($B$5:$B$8,MATCH(C82,$A$5:$A$8,0)),0)</f>
        <v/>
      </c>
      <c r="G82" s="236">
        <f>ROUND(INDEX('Curva Mestra'!$D$20:$D$94,MATCH(D82,'Curva Mestra'!$A$20:$A$94,0))+INDEX($C$5:$C$8,MATCH(C82,$A$5:$A$8,0)),0)</f>
        <v/>
      </c>
      <c r="H82" s="237" t="inlineStr">
        <is>
          <t>Esqueleto recém-reanimado.</t>
        </is>
      </c>
      <c r="I82" s="236" t="inlineStr">
        <is>
          <t>Golpe Descoordenado Fraco</t>
        </is>
      </c>
      <c r="J82" s="235" t="inlineStr">
        <is>
          <t>Nenhum efeito adicional — mais fraco que os outros esqueletos.</t>
        </is>
      </c>
      <c r="K82" s="236" t="inlineStr">
        <is>
          <t>Levantado há pouco tempo, ainda não recuperou a coordenação de quando vivo.</t>
        </is>
      </c>
      <c r="L82" s="238">
        <f>IF(C82="Comum",ROUND(E82*1.3,0),"—")</f>
        <v/>
      </c>
      <c r="M82" s="239">
        <f>IF(C82="Comum",ROUND(F82*1.15,0),"—")</f>
        <v/>
      </c>
      <c r="N82" s="240">
        <f>IF(C82="Comum",G82+2,"—")</f>
        <v/>
      </c>
      <c r="O82" s="239">
        <f>IF(C82="Comum",ROUND(E82*1.6,0),"—")</f>
        <v/>
      </c>
      <c r="P82" s="241">
        <f>IF(C82="Comum",ROUND(F82*1.3,0),"—")</f>
        <v/>
      </c>
      <c r="Q82" s="241">
        <f>IF(C82="Comum",G82+4,"—")</f>
        <v/>
      </c>
      <c r="R82" s="243" t="n"/>
      <c r="S82" s="241">
        <f>ROUND(3+0.6*D82+IF(C82="Comum",0,IF(C82="Elite",2,IF(C82="Boss",4,6))),0)</f>
        <v/>
      </c>
      <c r="T82" s="241" t="inlineStr">
        <is>
          <t>Ouro + Osso Desconjuntado</t>
        </is>
      </c>
      <c r="U82" s="241" t="inlineStr">
        <is>
          <t>Ignora Defesa</t>
        </is>
      </c>
      <c r="V82" s="161" t="inlineStr">
        <is>
          <t>DPS fraco</t>
        </is>
      </c>
      <c r="W82" s="161" t="inlineStr">
        <is>
          <t>Ruínas da Antiga Forja — Muralha Externa</t>
        </is>
      </c>
      <c r="X82" s="242" t="n"/>
      <c r="Y82" s="242" t="n"/>
      <c r="Z82" s="242" t="n"/>
      <c r="AA82" s="242" t="n"/>
    </row>
    <row r="83" ht="15" customHeight="1" s="116">
      <c r="A83" s="241" t="inlineStr">
        <is>
          <t>Ferro</t>
        </is>
      </c>
      <c r="B83" s="241" t="inlineStr">
        <is>
          <t>Sombra da Guarda Menor</t>
        </is>
      </c>
      <c r="C83" s="241" t="inlineStr">
        <is>
          <t>Comum</t>
        </is>
      </c>
      <c r="D83" s="241" t="n">
        <v>9</v>
      </c>
      <c r="E83" s="241">
        <f>ROUND(INDEX('Curva Mestra'!$F$20:$F$94,MATCH(D83,'Curva Mestra'!$A$20:$A$94,0)),0)</f>
        <v/>
      </c>
      <c r="F83" s="241">
        <f>ROUND(INDEX('Curva Mestra'!$C$20:$C$94,MATCH(D83,'Curva Mestra'!$A$20:$A$94,0))*INDEX($B$5:$B$8,MATCH(C83,$A$5:$A$8,0)),0)</f>
        <v/>
      </c>
      <c r="G83" s="241">
        <f>ROUND(INDEX('Curva Mestra'!$D$20:$D$94,MATCH(D83,'Curva Mestra'!$A$20:$A$94,0))+INDEX($C$5:$C$8,MATCH(C83,$A$5:$A$8,0)),0)</f>
        <v/>
      </c>
      <c r="H83" s="241" t="inlineStr">
        <is>
          <t>Resíduo espectral menor da guarda original.</t>
        </is>
      </c>
      <c r="I83" s="241" t="inlineStr">
        <is>
          <t>Toque Gélido Fraco</t>
        </is>
      </c>
      <c r="J83" s="241" t="inlineStr">
        <is>
          <t>Lentidão fraca.</t>
        </is>
      </c>
      <c r="K83" s="241" t="inlineStr">
        <is>
          <t>Fragmento pequeno da Guarda Espectral Menor.</t>
        </is>
      </c>
      <c r="L83" s="241">
        <f>IF(C83="Comum",ROUND(E83*1.3,0),"—")</f>
        <v/>
      </c>
      <c r="M83" s="241">
        <f>IF(C83="Comum",ROUND(F83*1.15,0),"—")</f>
        <v/>
      </c>
      <c r="N83" s="241">
        <f>IF(C83="Comum",G83+2,"—")</f>
        <v/>
      </c>
      <c r="O83" s="241">
        <f>IF(C83="Comum",ROUND(E83*1.6,0),"—")</f>
        <v/>
      </c>
      <c r="P83" s="241">
        <f>IF(C83="Comum",ROUND(F83*1.3,0),"—")</f>
        <v/>
      </c>
      <c r="Q83" s="241">
        <f>IF(C83="Comum",G83+4,"—")</f>
        <v/>
      </c>
      <c r="R83" s="242" t="n"/>
      <c r="S83" s="241">
        <f>ROUND(3+0.6*D83+IF(C83="Comum",0,IF(C83="Elite",2,IF(C83="Boss",4,6))),0)</f>
        <v/>
      </c>
      <c r="T83" s="241" t="inlineStr">
        <is>
          <t>Resíduo Espectral de Sombra Menor</t>
        </is>
      </c>
      <c r="U83" s="241" t="inlineStr">
        <is>
          <t>Queimadura</t>
        </is>
      </c>
      <c r="V83" s="241" t="inlineStr">
        <is>
          <t>Controle</t>
        </is>
      </c>
      <c r="W83" s="241" t="inlineStr">
        <is>
          <t>Ruínas da Antiga Forja — Salão dos Comandantes</t>
        </is>
      </c>
      <c r="X83" s="243" t="n"/>
      <c r="Y83" s="243" t="n"/>
      <c r="Z83" s="243" t="n"/>
      <c r="AA83" s="243" t="n"/>
    </row>
    <row r="84" ht="15" customHeight="1" s="116">
      <c r="A84" s="241" t="inlineStr">
        <is>
          <t>Ferro</t>
        </is>
      </c>
      <c r="B84" s="241" t="inlineStr">
        <is>
          <t>Salteador Encapuzado</t>
        </is>
      </c>
      <c r="C84" s="241" t="inlineStr">
        <is>
          <t>Comum</t>
        </is>
      </c>
      <c r="D84" s="241" t="n">
        <v>10</v>
      </c>
      <c r="E84" s="241">
        <f>ROUND(INDEX('Curva Mestra'!$F$20:$F$94,MATCH(D84,'Curva Mestra'!$A$20:$A$94,0)),0)</f>
        <v/>
      </c>
      <c r="F84" s="241">
        <f>ROUND(INDEX('Curva Mestra'!$C$20:$C$94,MATCH(D84,'Curva Mestra'!$A$20:$A$94,0))*INDEX($B$5:$B$8,MATCH(C84,$A$5:$A$8,0)),0)</f>
        <v/>
      </c>
      <c r="G84" s="241">
        <f>ROUND(INDEX('Curva Mestra'!$D$20:$D$94,MATCH(D84,'Curva Mestra'!$A$20:$A$94,0))+INDEX($C$5:$C$8,MATCH(C84,$A$5:$A$8,0)),0)</f>
        <v/>
      </c>
      <c r="H84" s="241" t="inlineStr">
        <is>
          <t>Ronda a regiao do tier Ferro</t>
        </is>
      </c>
      <c r="I84" s="241" t="inlineStr">
        <is>
          <t>Ataque Furtivo</t>
        </is>
      </c>
      <c r="J84" s="241" t="inlineStr">
        <is>
          <t>+2 no primeiro golpe do combate se o alvo não percebeu a emboscada.</t>
        </is>
      </c>
      <c r="K84" s="241" t="inlineStr">
        <is>
          <t>Sobrevivente da vila que decidiu que roubar viajantes era mais seguro que confiar em qualquer autoridade depois do surto.</t>
        </is>
      </c>
      <c r="L84" s="241">
        <f>IF(C84="Comum",ROUND(E84*1.3,0),"—")</f>
        <v/>
      </c>
      <c r="M84" s="241">
        <f>IF(C84="Comum",ROUND(F84*1.15,0),"—")</f>
        <v/>
      </c>
      <c r="N84" s="241">
        <f>IF(C84="Comum",G84+2,"—")</f>
        <v/>
      </c>
      <c r="O84" s="241">
        <f>IF(C84="Comum",ROUND(E84*1.6,0),"—")</f>
        <v/>
      </c>
      <c r="P84" s="241">
        <f>IF(C84="Comum",ROUND(F84*1.3,0),"—")</f>
        <v/>
      </c>
      <c r="Q84" s="241">
        <f>IF(C84="Comum",G84+4,"—")</f>
        <v/>
      </c>
      <c r="R84" s="161" t="inlineStr">
        <is>
          <t>Descanso pro Salteador</t>
        </is>
      </c>
      <c r="S84" s="241">
        <f>ROUND(INDEX('Curva Mestra'!$D$20:$D$94,MATCH(D84,'Curva Mestra'!$A$20:$A$94,0))-IF(C84="Comum",9,IF(C84="Elite",6,IF(C84="Boss",4,3))),0)</f>
        <v/>
      </c>
      <c r="T84" s="241" t="inlineStr">
        <is>
          <t>Ouro + Capa Encardida de Salteador + Fragmento de Golem Corrompido (chance rara)</t>
        </is>
      </c>
      <c r="U84" s="241" t="inlineStr">
        <is>
          <t>Sem fraqueza óbvia — precisa de Knowledge alto pra descobrir algo específico.</t>
        </is>
      </c>
      <c r="V84" s="243" t="inlineStr">
        <is>
          <t>DPS</t>
        </is>
      </c>
      <c r="W84" s="243" t="inlineStr">
        <is>
          <t>Ruínas da Antiga Forja</t>
        </is>
      </c>
      <c r="X84" s="243" t="n"/>
      <c r="Y84" s="243" t="n"/>
      <c r="Z84" s="243" t="n"/>
      <c r="AA84" s="243" t="n"/>
    </row>
    <row r="85" ht="15" customHeight="1" s="116">
      <c r="A85" s="241" t="inlineStr">
        <is>
          <t>Ferro</t>
        </is>
      </c>
      <c r="B85" s="241" t="inlineStr">
        <is>
          <t>Zelote Fanático</t>
        </is>
      </c>
      <c r="C85" s="241" t="inlineStr">
        <is>
          <t>Comum</t>
        </is>
      </c>
      <c r="D85" s="241" t="n">
        <v>10</v>
      </c>
      <c r="E85" s="241">
        <f>ROUND(INDEX('Curva Mestra'!$F$20:$F$94,MATCH(D85,'Curva Mestra'!$A$20:$A$94,0)),0)</f>
        <v/>
      </c>
      <c r="F85" s="241">
        <f>ROUND(INDEX('Curva Mestra'!$C$20:$C$94,MATCH(D85,'Curva Mestra'!$A$20:$A$94,0))*INDEX($B$5:$B$8,MATCH(C85,$A$5:$A$8,0)),0)</f>
        <v/>
      </c>
      <c r="G85" s="241">
        <f>ROUND(INDEX('Curva Mestra'!$D$20:$D$94,MATCH(D85,'Curva Mestra'!$A$20:$A$94,0))+INDEX($C$5:$C$8,MATCH(C85,$A$5:$A$8,0)),0)</f>
        <v/>
      </c>
      <c r="H85" s="241" t="inlineStr">
        <is>
          <t>Aguarda no salão dos comandantes, pronto para o sacrifício.</t>
        </is>
      </c>
      <c r="I85" s="241" t="inlineStr">
        <is>
          <t>Grito Incendiário</t>
        </is>
      </c>
      <c r="J85" s="241" t="inlineStr">
        <is>
          <t>Ao morrer, Queimadura em área (2 dano, 2 turnos, todos no combate).</t>
        </is>
      </c>
      <c r="K85" s="241" t="inlineStr">
        <is>
          <t>Se prepara pra morrer em nome do Ferro desde que entrou no culto.</t>
        </is>
      </c>
      <c r="L85" s="241">
        <f>IF(C85="Comum",ROUND(E85*1.3,0),"—")</f>
        <v/>
      </c>
      <c r="M85" s="241">
        <f>IF(C85="Comum",ROUND(F85*1.15,0),"—")</f>
        <v/>
      </c>
      <c r="N85" s="241">
        <f>IF(C85="Comum",G85+2,"—")</f>
        <v/>
      </c>
      <c r="O85" s="241">
        <f>IF(C85="Comum",ROUND(E85*1.6,0),"—")</f>
        <v/>
      </c>
      <c r="P85" s="241">
        <f>IF(C85="Comum",ROUND(F85*1.3,0),"—")</f>
        <v/>
      </c>
      <c r="Q85" s="241">
        <f>IF(C85="Comum",G85+4,"—")</f>
        <v/>
      </c>
      <c r="R85" s="242" t="n"/>
      <c r="S85" s="241">
        <f>ROUND(3+0.6*D85+IF(C85="Comum",0,IF(C85="Elite",2,IF(C85="Boss",4,6))),0)</f>
        <v/>
      </c>
      <c r="T85" s="241" t="inlineStr">
        <is>
          <t>Cinto de Cargas do Zelote Fanático + Fragmento de Ferro Ritual</t>
        </is>
      </c>
      <c r="U85" s="241" t="inlineStr">
        <is>
          <t>Lentidão</t>
        </is>
      </c>
      <c r="V85" s="241" t="inlineStr">
        <is>
          <t>Explosivo</t>
        </is>
      </c>
      <c r="W85" s="241" t="inlineStr">
        <is>
          <t>Ruínas da Antiga Forja — Salão dos Comandantes</t>
        </is>
      </c>
      <c r="X85" s="243" t="n"/>
      <c r="Y85" s="243" t="n"/>
      <c r="Z85" s="243" t="n"/>
      <c r="AA85" s="243" t="n"/>
    </row>
    <row r="86" ht="15" customHeight="1" s="116">
      <c r="A86" s="241" t="inlineStr">
        <is>
          <t>Ferro</t>
        </is>
      </c>
      <c r="B86" s="241" t="inlineStr">
        <is>
          <t>Ladrão de Relíquias</t>
        </is>
      </c>
      <c r="C86" s="241" t="inlineStr">
        <is>
          <t>Comum</t>
        </is>
      </c>
      <c r="D86" s="241" t="n">
        <v>10</v>
      </c>
      <c r="E86" s="241">
        <f>ROUND(INDEX('Curva Mestra'!$F$20:$F$94,MATCH(D86,'Curva Mestra'!$A$20:$A$94,0)),0)</f>
        <v/>
      </c>
      <c r="F86" s="241">
        <f>ROUND(INDEX('Curva Mestra'!$C$20:$C$94,MATCH(D86,'Curva Mestra'!$A$20:$A$94,0))*INDEX($B$5:$B$8,MATCH(C86,$A$5:$A$8,0)),0)</f>
        <v/>
      </c>
      <c r="G86" s="241">
        <f>ROUND(INDEX('Curva Mestra'!$D$20:$D$94,MATCH(D86,'Curva Mestra'!$A$20:$A$94,0))+INDEX($C$5:$C$8,MATCH(C86,$A$5:$A$8,0)),0)</f>
        <v/>
      </c>
      <c r="H86" s="241" t="inlineStr">
        <is>
          <t>Circula pelas ruínas em busca do que a Guilda ainda não levou.</t>
        </is>
      </c>
      <c r="I86" s="241" t="inlineStr">
        <is>
          <t>Mão Rápida</t>
        </is>
      </c>
      <c r="J86" s="241" t="inlineStr">
        <is>
          <t>Rouba 1 unidade de material (se você tiver) em vez de dano, foge depois.</t>
        </is>
      </c>
      <c r="K86" s="241" t="inlineStr">
        <is>
          <t>Vive saqueando o que sobrou da forja antes que a Guilda leve tudo.</t>
        </is>
      </c>
      <c r="L86" s="241">
        <f>IF(C86="Comum",ROUND(E86*1.3,0),"—")</f>
        <v/>
      </c>
      <c r="M86" s="241">
        <f>IF(C86="Comum",ROUND(F86*1.15,0),"—")</f>
        <v/>
      </c>
      <c r="N86" s="241">
        <f>IF(C86="Comum",G86+2,"—")</f>
        <v/>
      </c>
      <c r="O86" s="241">
        <f>IF(C86="Comum",ROUND(E86*1.6,0),"—")</f>
        <v/>
      </c>
      <c r="P86" s="241">
        <f>IF(C86="Comum",ROUND(F86*1.3,0),"—")</f>
        <v/>
      </c>
      <c r="Q86" s="241">
        <f>IF(C86="Comum",G86+4,"—")</f>
        <v/>
      </c>
      <c r="R86" s="242" t="n"/>
      <c r="S86" s="241">
        <f>ROUND(3+0.6*D86+IF(C86="Comum",0,IF(C86="Elite",2,IF(C86="Boss",4,6))),0)</f>
        <v/>
      </c>
      <c r="T86" s="241" t="inlineStr">
        <is>
          <t>Ouro + Saco de Relíquias Menores + Gazua Enferrujada</t>
        </is>
      </c>
      <c r="U86" s="241" t="inlineStr">
        <is>
          <t>Lentidão</t>
        </is>
      </c>
      <c r="V86" s="241" t="inlineStr">
        <is>
          <t>Ladrão</t>
        </is>
      </c>
      <c r="W86" s="241" t="inlineStr">
        <is>
          <t>Ruínas da Antiga Forja</t>
        </is>
      </c>
      <c r="X86" s="243" t="n"/>
      <c r="Y86" s="241" t="inlineStr">
        <is>
          <t>Foge com o item roubado se sobreviver 2 turnos.</t>
        </is>
      </c>
      <c r="Z86" s="243" t="n"/>
      <c r="AA86" s="243" t="n"/>
    </row>
    <row r="87" ht="15" customHeight="1" s="116">
      <c r="A87" s="241" t="inlineStr">
        <is>
          <t>Ferro</t>
        </is>
      </c>
      <c r="B87" s="241" t="inlineStr">
        <is>
          <t>Golem Menor de Ferro</t>
        </is>
      </c>
      <c r="C87" s="241" t="inlineStr">
        <is>
          <t>Comum</t>
        </is>
      </c>
      <c r="D87" s="241" t="n">
        <v>10</v>
      </c>
      <c r="E87" s="241">
        <f>ROUND(INDEX('Curva Mestra'!$F$20:$F$94,MATCH(D87,'Curva Mestra'!$A$20:$A$94,0)),0)</f>
        <v/>
      </c>
      <c r="F87" s="241">
        <f>ROUND(INDEX('Curva Mestra'!$C$20:$C$94,MATCH(D87,'Curva Mestra'!$A$20:$A$94,0))*INDEX($B$5:$B$8,MATCH(C87,$A$5:$A$8,0)),0)</f>
        <v/>
      </c>
      <c r="G87" s="241">
        <f>ROUND(INDEX('Curva Mestra'!$D$20:$D$94,MATCH(D87,'Curva Mestra'!$A$20:$A$94,0))+INDEX($C$5:$C$8,MATCH(C87,$A$5:$A$8,0)),0)</f>
        <v/>
      </c>
      <c r="H87" s="241" t="inlineStr">
        <is>
          <t>Fragmento funcional encontrado na fundição das ruínas.</t>
        </is>
      </c>
      <c r="I87" s="241" t="inlineStr">
        <is>
          <t>Punho de Sucata</t>
        </is>
      </c>
      <c r="J87" s="241" t="inlineStr">
        <is>
          <t>Nenhum efeito — só resistente.</t>
        </is>
      </c>
      <c r="K87" s="241" t="inlineStr">
        <is>
          <t>Fragmento pequeno do Golem maior, ainda funcional.</t>
        </is>
      </c>
      <c r="L87" s="241">
        <f>IF(C87="Comum",ROUND(E87*1.3,0),"—")</f>
        <v/>
      </c>
      <c r="M87" s="241">
        <f>IF(C87="Comum",ROUND(F87*1.15,0),"—")</f>
        <v/>
      </c>
      <c r="N87" s="241">
        <f>IF(C87="Comum",G87+2,"—")</f>
        <v/>
      </c>
      <c r="O87" s="241">
        <f>IF(C87="Comum",ROUND(E87*1.6,0),"—")</f>
        <v/>
      </c>
      <c r="P87" s="241">
        <f>IF(C87="Comum",ROUND(F87*1.3,0),"—")</f>
        <v/>
      </c>
      <c r="Q87" s="241">
        <f>IF(C87="Comum",G87+4,"—")</f>
        <v/>
      </c>
      <c r="R87" s="242" t="n"/>
      <c r="S87" s="241">
        <f>ROUND(3+0.6*D87+IF(C87="Comum",0,IF(C87="Elite",2,IF(C87="Boss",4,6))),0)</f>
        <v/>
      </c>
      <c r="T87" s="241" t="inlineStr">
        <is>
          <t>Placa de Ferro do Golem Menor + Núcleo Instável Menor</t>
        </is>
      </c>
      <c r="U87" s="241" t="inlineStr">
        <is>
          <t>Ignora Resistência Mágica</t>
        </is>
      </c>
      <c r="V87" s="241" t="inlineStr">
        <is>
          <t>Tanque</t>
        </is>
      </c>
      <c r="W87" s="241" t="inlineStr">
        <is>
          <t>Ruínas da Antiga Forja — Fundição</t>
        </is>
      </c>
      <c r="X87" s="243" t="n"/>
      <c r="Y87" s="243" t="n"/>
      <c r="Z87" s="243" t="n"/>
      <c r="AA87" s="243" t="n"/>
    </row>
    <row r="88" ht="15" customHeight="1" s="116">
      <c r="A88" s="241" t="inlineStr">
        <is>
          <t>Ferro</t>
        </is>
      </c>
      <c r="B88" s="241" t="inlineStr">
        <is>
          <t>Zelote Nascido na Forja</t>
        </is>
      </c>
      <c r="C88" s="241" t="inlineStr">
        <is>
          <t>Comum</t>
        </is>
      </c>
      <c r="D88" s="241" t="n">
        <v>10</v>
      </c>
      <c r="E88" s="241">
        <f>ROUND(INDEX('Curva Mestra'!$F$20:$F$94,MATCH(D88,'Curva Mestra'!$A$20:$A$94,0)),0)</f>
        <v/>
      </c>
      <c r="F88" s="241">
        <f>ROUND(INDEX('Curva Mestra'!$C$20:$C$94,MATCH(D88,'Curva Mestra'!$A$20:$A$94,0))*INDEX($B$5:$B$8,MATCH(C88,$A$5:$A$8,0)),0)</f>
        <v/>
      </c>
      <c r="G88" s="241">
        <f>ROUND(INDEX('Curva Mestra'!$D$20:$D$94,MATCH(D88,'Curva Mestra'!$A$20:$A$94,0))+INDEX($C$5:$C$8,MATCH(C88,$A$5:$A$8,0)),0)</f>
        <v/>
      </c>
      <c r="H88" s="241" t="inlineStr">
        <is>
          <t>Não se afasta da forja ativa das ruínas.</t>
        </is>
      </c>
      <c r="I88" s="241" t="inlineStr">
        <is>
          <t>Golpe Incandescente</t>
        </is>
      </c>
      <c r="J88" s="241" t="inlineStr">
        <is>
          <t>Queimadura — só aparece perto de fogo/forja ativa.</t>
        </is>
      </c>
      <c r="K88" s="241" t="inlineStr">
        <is>
          <t>Nasceu literalmente dentro da Forja Ativa, marcado desde o primeiro choro.</t>
        </is>
      </c>
      <c r="L88" s="241">
        <f>IF(C88="Comum",ROUND(E88*1.3,0),"—")</f>
        <v/>
      </c>
      <c r="M88" s="241">
        <f>IF(C88="Comum",ROUND(F88*1.15,0),"—")</f>
        <v/>
      </c>
      <c r="N88" s="241">
        <f>IF(C88="Comum",G88+2,"—")</f>
        <v/>
      </c>
      <c r="O88" s="241">
        <f>IF(C88="Comum",ROUND(E88*1.6,0),"—")</f>
        <v/>
      </c>
      <c r="P88" s="241">
        <f>IF(C88="Comum",ROUND(F88*1.3,0),"—")</f>
        <v/>
      </c>
      <c r="Q88" s="241">
        <f>IF(C88="Comum",G88+4,"—")</f>
        <v/>
      </c>
      <c r="R88" s="242" t="n"/>
      <c r="S88" s="241">
        <f>ROUND(3+0.6*D88+IF(C88="Comum",0,IF(C88="Elite",2,IF(C88="Boss",4,6))),0)</f>
        <v/>
      </c>
      <c r="T88" s="241" t="inlineStr">
        <is>
          <t>Ouro + Marca de Nascença em Ferro + Pano Chamuscado da Forja</t>
        </is>
      </c>
      <c r="U88" s="241" t="inlineStr">
        <is>
          <t>Lentidão</t>
        </is>
      </c>
      <c r="V88" s="241" t="inlineStr">
        <is>
          <t>Condicional</t>
        </is>
      </c>
      <c r="W88" s="241" t="inlineStr">
        <is>
          <t>Ruínas da Antiga Forja — Forja Ativa, só com fogo aceso</t>
        </is>
      </c>
      <c r="X88" s="243" t="n"/>
      <c r="Y88" s="243" t="n"/>
      <c r="Z88" s="243" t="n"/>
      <c r="AA88" s="243" t="n"/>
    </row>
    <row r="89" ht="15" customHeight="1" s="116">
      <c r="A89" s="233" t="inlineStr">
        <is>
          <t>Ferro</t>
        </is>
      </c>
      <c r="B89" s="234" t="inlineStr">
        <is>
          <t>Zelote Ferreiro Menor</t>
        </is>
      </c>
      <c r="C89" s="233" t="inlineStr">
        <is>
          <t>Comum</t>
        </is>
      </c>
      <c r="D89" s="235" t="n">
        <v>10</v>
      </c>
      <c r="E89" s="236">
        <f>ROUND(INDEX('Curva Mestra'!$F$20:$F$94,MATCH(D89,'Curva Mestra'!$A$20:$A$94,0)),0)</f>
        <v/>
      </c>
      <c r="F89" s="236">
        <f>ROUND(INDEX('Curva Mestra'!$C$20:$C$94,MATCH(D89,'Curva Mestra'!$A$20:$A$94,0))*INDEX($B$5:$B$8,MATCH(C89,$A$5:$A$8,0)),0)</f>
        <v/>
      </c>
      <c r="G89" s="236">
        <f>ROUND(INDEX('Curva Mestra'!$D$20:$D$94,MATCH(D89,'Curva Mestra'!$A$20:$A$94,0))+INDEX($C$5:$C$8,MATCH(C89,$A$5:$A$8,0)),0)</f>
        <v/>
      </c>
      <c r="H89" s="237" t="inlineStr">
        <is>
          <t>Aprendiz de ferreiro do culto.</t>
        </is>
      </c>
      <c r="I89" s="236" t="inlineStr">
        <is>
          <t>Bênção Fraca da Bigorna</t>
        </is>
      </c>
      <c r="J89" s="235" t="inlineStr">
        <is>
          <t>Cura 2 HP/turno em 1 aliado.</t>
        </is>
      </c>
      <c r="K89" s="236" t="inlineStr">
        <is>
          <t>Aprendiz do Zelote Ferreiro principal.</t>
        </is>
      </c>
      <c r="L89" s="238">
        <f>IF(C89="Comum",ROUND(E89*1.3,0),"—")</f>
        <v/>
      </c>
      <c r="M89" s="239">
        <f>IF(C89="Comum",ROUND(F89*1.15,0),"—")</f>
        <v/>
      </c>
      <c r="N89" s="240">
        <f>IF(C89="Comum",G89+2,"—")</f>
        <v/>
      </c>
      <c r="O89" s="239">
        <f>IF(C89="Comum",ROUND(E89*1.6,0),"—")</f>
        <v/>
      </c>
      <c r="P89" s="241">
        <f>IF(C89="Comum",ROUND(F89*1.3,0),"—")</f>
        <v/>
      </c>
      <c r="Q89" s="241">
        <f>IF(C89="Comum",G89+4,"—")</f>
        <v/>
      </c>
      <c r="R89" s="243" t="n"/>
      <c r="S89" s="241">
        <f>ROUND(3+0.6*D89+IF(C89="Comum",0,IF(C89="Elite",2,IF(C89="Boss",4,6))),0)</f>
        <v/>
      </c>
      <c r="T89" s="241" t="inlineStr">
        <is>
          <t>Ouro + Martelo Improvisado de Aprendiz + Avental Chamuscado</t>
        </is>
      </c>
      <c r="U89" s="241" t="inlineStr">
        <is>
          <t>Ignora Resistência Mágica</t>
        </is>
      </c>
      <c r="V89" s="161" t="inlineStr">
        <is>
          <t>Suporte</t>
        </is>
      </c>
      <c r="W89" s="161" t="inlineStr">
        <is>
          <t>Ruínas da Antiga Forja — Forja Ativa</t>
        </is>
      </c>
      <c r="X89" s="242" t="n"/>
      <c r="Y89" s="242" t="n"/>
      <c r="Z89" s="242" t="n"/>
      <c r="AA89" s="242" t="n"/>
    </row>
    <row r="90" ht="15" customHeight="1" s="116">
      <c r="A90" s="233" t="inlineStr">
        <is>
          <t>Ferro</t>
        </is>
      </c>
      <c r="B90" s="234" t="inlineStr">
        <is>
          <t>Golem de Sucata da Forja</t>
        </is>
      </c>
      <c r="C90" s="233" t="inlineStr">
        <is>
          <t>Comum</t>
        </is>
      </c>
      <c r="D90" s="235" t="n">
        <v>10</v>
      </c>
      <c r="E90" s="236">
        <f>ROUND(INDEX('Curva Mestra'!$F$20:$F$94,MATCH(D90,'Curva Mestra'!$A$20:$A$94,0)),0)</f>
        <v/>
      </c>
      <c r="F90" s="236">
        <f>ROUND(INDEX('Curva Mestra'!$C$20:$C$94,MATCH(D90,'Curva Mestra'!$A$20:$A$94,0))*INDEX($B$5:$B$8,MATCH(C90,$A$5:$A$8,0)),0)</f>
        <v/>
      </c>
      <c r="G90" s="236">
        <f>ROUND(INDEX('Curva Mestra'!$D$20:$D$94,MATCH(D90,'Curva Mestra'!$A$20:$A$94,0))+INDEX($C$5:$C$8,MATCH(C90,$A$5:$A$8,0)),0)</f>
        <v/>
      </c>
      <c r="H90" s="237" t="inlineStr">
        <is>
          <t>Golem improvisado, feito de restos.</t>
        </is>
      </c>
      <c r="I90" s="236" t="inlineStr">
        <is>
          <t>Punho de Sucata Solta</t>
        </is>
      </c>
      <c r="J90" s="235" t="inlineStr">
        <is>
          <t>Nenhum efeito adicional — resistente.</t>
        </is>
      </c>
      <c r="K90" s="236" t="inlineStr">
        <is>
          <t>Montado às pressas com sucata da própria forja.</t>
        </is>
      </c>
      <c r="L90" s="238">
        <f>IF(C90="Comum",ROUND(E90*1.3,0),"—")</f>
        <v/>
      </c>
      <c r="M90" s="239">
        <f>IF(C90="Comum",ROUND(F90*1.15,0),"—")</f>
        <v/>
      </c>
      <c r="N90" s="240">
        <f>IF(C90="Comum",G90+2,"—")</f>
        <v/>
      </c>
      <c r="O90" s="239">
        <f>IF(C90="Comum",ROUND(E90*1.6,0),"—")</f>
        <v/>
      </c>
      <c r="P90" s="241">
        <f>IF(C90="Comum",ROUND(F90*1.3,0),"—")</f>
        <v/>
      </c>
      <c r="Q90" s="241">
        <f>IF(C90="Comum",G90+4,"—")</f>
        <v/>
      </c>
      <c r="R90" s="243" t="n"/>
      <c r="S90" s="241">
        <f>ROUND(3+0.6*D90+IF(C90="Comum",0,IF(C90="Elite",2,IF(C90="Boss",4,6))),0)</f>
        <v/>
      </c>
      <c r="T90" s="241" t="inlineStr">
        <is>
          <t>Placa de Sucata Reaproveitada + Engrenagem Torta da Forja</t>
        </is>
      </c>
      <c r="U90" s="241" t="inlineStr">
        <is>
          <t>Ignora Resistência Mágica</t>
        </is>
      </c>
      <c r="V90" s="161" t="inlineStr">
        <is>
          <t>Tanque</t>
        </is>
      </c>
      <c r="W90" s="161" t="inlineStr">
        <is>
          <t>Ruínas da Antiga Forja — Fundição</t>
        </is>
      </c>
      <c r="X90" s="242" t="n"/>
      <c r="Y90" s="242" t="n"/>
      <c r="Z90" s="242" t="n"/>
      <c r="AA90" s="242" t="n"/>
    </row>
    <row r="91" ht="15" customHeight="1" s="116">
      <c r="A91" s="233" t="inlineStr">
        <is>
          <t>Ferro</t>
        </is>
      </c>
      <c r="B91" s="234" t="inlineStr">
        <is>
          <t>Zelote de Ferro</t>
        </is>
      </c>
      <c r="C91" s="233" t="inlineStr">
        <is>
          <t>Comum</t>
        </is>
      </c>
      <c r="D91" s="235" t="n">
        <v>12</v>
      </c>
      <c r="E91" s="236">
        <f>ROUND(INDEX('Curva Mestra'!$F$20:$F$94,MATCH(D91,'Curva Mestra'!$A$20:$A$94,0)),0)</f>
        <v/>
      </c>
      <c r="F91" s="236">
        <f>ROUND(INDEX('Curva Mestra'!$C$20:$C$94,MATCH(D91,'Curva Mestra'!$A$20:$A$94,0))*INDEX($B$5:$B$8,MATCH(C91,$A$5:$A$8,0)),0)</f>
        <v/>
      </c>
      <c r="G91" s="236">
        <f>ROUND(INDEX('Curva Mestra'!$D$20:$D$94,MATCH(D91,'Curva Mestra'!$A$20:$A$94,0))+INDEX($C$5:$C$8,MATCH(C91,$A$5:$A$8,0)),0)</f>
        <v/>
      </c>
      <c r="H91" s="237" t="inlineStr">
        <is>
          <t>Ligado ao Culto dos Primeiros Marcados, região de Ferro.</t>
        </is>
      </c>
      <c r="I91" s="236" t="inlineStr">
        <is>
          <t>Golpe do Devoto</t>
        </is>
      </c>
      <c r="J91" s="235" t="inlineStr">
        <is>
          <t>Sem efeito especial — ganha +1 de Ataque se lutar em grupo de 2+.</t>
        </is>
      </c>
      <c r="K91" s="236" t="inlineStr">
        <is>
          <t>Cultista que trocou a sucata improvisada por ferro de verdade — o culto está ficando mais forte na região, não mais fraco.</t>
        </is>
      </c>
      <c r="L91" s="238">
        <f>IF(C91="Comum",ROUND(E91*1.3,0),"—")</f>
        <v/>
      </c>
      <c r="M91" s="239">
        <f>IF(C91="Comum",ROUND(F91*1.15,0),"—")</f>
        <v/>
      </c>
      <c r="N91" s="240">
        <f>IF(C91="Comum",G91+2,"—")</f>
        <v/>
      </c>
      <c r="O91" s="239">
        <f>IF(C91="Comum",ROUND(E91*1.6,0),"—")</f>
        <v/>
      </c>
      <c r="P91" s="241">
        <f>IF(C91="Comum",ROUND(F91*1.3,0),"—")</f>
        <v/>
      </c>
      <c r="Q91" s="241">
        <f>IF(C91="Comum",G91+4,"—")</f>
        <v/>
      </c>
      <c r="R91" s="241" t="inlineStr">
        <is>
          <t>Zelotes na Ruína</t>
        </is>
      </c>
      <c r="S91" s="241">
        <f>ROUND(INDEX('Curva Mestra'!$D$20:$D$94,MATCH(D91,'Curva Mestra'!$A$20:$A$94,0))-IF(C91="Comum",9,IF(C91="Elite",6,IF(C91="Boss",4,3))),0)</f>
        <v/>
      </c>
      <c r="T91" s="241" t="inlineStr">
        <is>
          <t>Ouro + Emblema do Culto do Ferro + Fragmento de Golem Corrompido (chance rara)</t>
        </is>
      </c>
      <c r="U91" s="241" t="inlineStr">
        <is>
          <t>Perde o bônus de grupo se isolado dos outros cultistas em combate.</t>
        </is>
      </c>
      <c r="V91" s="242" t="inlineStr">
        <is>
          <t>DPS</t>
        </is>
      </c>
      <c r="W91" s="242" t="inlineStr">
        <is>
          <t>Ruínas da Antiga Forja</t>
        </is>
      </c>
      <c r="X91" s="242" t="n"/>
      <c r="Y91" s="242" t="n"/>
      <c r="Z91" s="242" t="n"/>
      <c r="AA91" s="242" t="n"/>
    </row>
    <row r="92" ht="23.25" customHeight="1" s="116">
      <c r="A92" s="233" t="inlineStr">
        <is>
          <t>Ferro</t>
        </is>
      </c>
      <c r="B92" s="234" t="inlineStr">
        <is>
          <t>Fantasma da Guarda Caída</t>
        </is>
      </c>
      <c r="C92" s="233" t="inlineStr">
        <is>
          <t>Comum</t>
        </is>
      </c>
      <c r="D92" s="235" t="n">
        <v>13</v>
      </c>
      <c r="E92" s="236">
        <f>ROUND(INDEX('Curva Mestra'!$F$20:$F$94,MATCH(D92,'Curva Mestra'!$A$20:$A$94,0)),0)</f>
        <v/>
      </c>
      <c r="F92" s="236">
        <f>ROUND(INDEX('Curva Mestra'!$C$20:$C$94,MATCH(D92,'Curva Mestra'!$A$20:$A$94,0))*INDEX($B$5:$B$8,MATCH(C92,$A$5:$A$8,0)),0)</f>
        <v/>
      </c>
      <c r="G92" s="236">
        <f>ROUND(INDEX('Curva Mestra'!$D$20:$D$94,MATCH(D92,'Curva Mestra'!$A$20:$A$94,0))+INDEX($C$5:$C$8,MATCH(C92,$A$5:$A$8,0)),0)</f>
        <v/>
      </c>
      <c r="H92" s="237" t="inlineStr">
        <is>
          <t>Ligado ao Culto dos Primeiros Marcados, região de Ferro.</t>
        </is>
      </c>
      <c r="I92" s="236" t="inlineStr">
        <is>
          <t>Ronda Eterna</t>
        </is>
      </c>
      <c r="J92" s="235" t="inlineStr">
        <is>
          <t>Ignora terreno difícil ao se mover — ainda "patrulha" como em vida.</t>
        </is>
      </c>
      <c r="K92" s="236" t="inlineStr">
        <is>
          <t>Um soldado raso que morreu defendendo a forja e nunca soube que a batalha acabou. Não é maligno — só não descansa.</t>
        </is>
      </c>
      <c r="L92" s="238">
        <f>IF(C92="Comum",ROUND(E92*1.3,0),"—")</f>
        <v/>
      </c>
      <c r="M92" s="239">
        <f>IF(C92="Comum",ROUND(F92*1.15,0),"—")</f>
        <v/>
      </c>
      <c r="N92" s="240">
        <f>IF(C92="Comum",G92+2,"—")</f>
        <v/>
      </c>
      <c r="O92" s="239">
        <f>IF(C92="Comum",ROUND(E92*1.6,0),"—")</f>
        <v/>
      </c>
      <c r="P92" s="241">
        <f>IF(C92="Comum",ROUND(F92*1.3,0),"—")</f>
        <v/>
      </c>
      <c r="Q92" s="241">
        <f>IF(C92="Comum",G92+4,"—")</f>
        <v/>
      </c>
      <c r="R92" s="241" t="inlineStr">
        <is>
          <t>O Fantasma Que Ainda Faz Ronda</t>
        </is>
      </c>
      <c r="S92" s="241">
        <f>ROUND(INDEX('Curva Mestra'!$D$20:$D$94,MATCH(D92,'Curva Mestra'!$A$20:$A$94,0))-IF(C92="Comum",9,IF(C92="Elite",6,IF(C92="Boss",4,3))),0)</f>
        <v/>
      </c>
      <c r="T92" s="241" t="inlineStr">
        <is>
          <t>Ouro + Resíduo Espectral de Guarda Caída + Fragmento de Golem Corrompido (chance rara)</t>
        </is>
      </c>
      <c r="U92" s="241" t="inlineStr">
        <is>
          <t>Vulnerável a Prata — armas de Prata ignoram 2 de Defesa a mais nele.</t>
        </is>
      </c>
      <c r="V92" s="242" t="inlineStr">
        <is>
          <t>DPS</t>
        </is>
      </c>
      <c r="W92" s="242" t="inlineStr">
        <is>
          <t>Ruínas da Antiga Forja</t>
        </is>
      </c>
      <c r="X92" s="242" t="n"/>
      <c r="Y92" s="242" t="n"/>
      <c r="Z92" s="242" t="n"/>
      <c r="AA92" s="242" t="n"/>
    </row>
    <row r="93" ht="15" customHeight="1" s="116">
      <c r="A93" s="233" t="inlineStr">
        <is>
          <t>Ferro</t>
        </is>
      </c>
      <c r="B93" s="234" t="inlineStr">
        <is>
          <t>Guarda de Ferro Corrompido</t>
        </is>
      </c>
      <c r="C93" s="233" t="inlineStr">
        <is>
          <t>Elite</t>
        </is>
      </c>
      <c r="D93" s="235" t="n">
        <v>10</v>
      </c>
      <c r="E93" s="236">
        <f>ROUND(INDEX('Curva Mestra'!$G$20:$G$94,MATCH(D93,'Curva Mestra'!$A$20:$A$94,0)),0)</f>
        <v/>
      </c>
      <c r="F93" s="236">
        <f>ROUND(INDEX('Curva Mestra'!$C$20:$C$94,MATCH(D93,'Curva Mestra'!$A$20:$A$94,0))*INDEX($B$5:$B$8,MATCH(C93,$A$5:$A$8,0)),0)</f>
        <v/>
      </c>
      <c r="G93" s="236">
        <f>ROUND(INDEX('Curva Mestra'!$D$20:$D$94,MATCH(D93,'Curva Mestra'!$A$20:$A$94,0))+INDEX($C$5:$C$8,MATCH(C93,$A$5:$A$8,0)),0)</f>
        <v/>
      </c>
      <c r="H93" s="237" t="inlineStr">
        <is>
          <t>Encontro dificil dentro do tier Ferro</t>
        </is>
      </c>
      <c r="I93" s="236" t="inlineStr">
        <is>
          <t>Golpe da Guarda Caída</t>
        </is>
      </c>
      <c r="J93" s="235" t="inlineStr">
        <is>
          <t>Ignora 1 ponto de Defesa do alvo.</t>
        </is>
      </c>
      <c r="K93" s="236" t="inlineStr">
        <is>
          <t>Foi capitão da guarda de fronteira antes do colapso da forja — sua espada gêmea é hoje a relíquia "A Lâmina da Guarda Quebrada".</t>
        </is>
      </c>
      <c r="L93" s="238">
        <f>IF(C93="Comum",ROUND(E93*1.3,0),"—")</f>
        <v/>
      </c>
      <c r="M93" s="239">
        <f>IF(C93="Comum",ROUND(F93*1.15,0),"—")</f>
        <v/>
      </c>
      <c r="N93" s="240">
        <f>IF(C93="Comum",G93+2,"—")</f>
        <v/>
      </c>
      <c r="O93" s="239">
        <f>IF(C93="Comum",ROUND(E93*1.6,0),"—")</f>
        <v/>
      </c>
      <c r="P93" s="241">
        <f>IF(C93="Comum",ROUND(F93*1.3,0),"—")</f>
        <v/>
      </c>
      <c r="Q93" s="241">
        <f>IF(C93="Comum",G93+4,"—")</f>
        <v/>
      </c>
      <c r="R93" s="241" t="inlineStr">
        <is>
          <t>O Cofre do Capitão</t>
        </is>
      </c>
      <c r="S93" s="241">
        <f>ROUND(INDEX('Curva Mestra'!$D$20:$D$94,MATCH(D93,'Curva Mestra'!$A$20:$A$94,0))-IF(C93="Comum",9,IF(C93="Elite",6,IF(C93="Boss",4,3))),0)</f>
        <v/>
      </c>
      <c r="T93" s="241" t="inlineStr">
        <is>
          <t>Fragmento de Guarda de Ferro Corrompido + Ouro + Fragmento de Golem Corrompido (chance baixa)</t>
        </is>
      </c>
      <c r="U93" s="241" t="inlineStr">
        <is>
          <t>Sem fraqueza óbvia — precisa de Knowledge alto pra descobrir algo específico.</t>
        </is>
      </c>
      <c r="V93" s="242" t="inlineStr">
        <is>
          <t>DPS</t>
        </is>
      </c>
      <c r="W93" s="242" t="inlineStr">
        <is>
          <t>Ruínas da Antiga Forja</t>
        </is>
      </c>
      <c r="X93" s="242" t="n"/>
      <c r="Y93" s="242" t="n"/>
      <c r="Z93" s="242" t="n"/>
      <c r="AA93" s="242" t="n"/>
    </row>
    <row r="94" ht="15" customHeight="1" s="116">
      <c r="A94" s="233" t="inlineStr">
        <is>
          <t>Ferro</t>
        </is>
      </c>
      <c r="B94" s="234" t="inlineStr">
        <is>
          <t>O Executor da Forja Velha</t>
        </is>
      </c>
      <c r="C94" s="233" t="inlineStr">
        <is>
          <t>Elite</t>
        </is>
      </c>
      <c r="D94" s="235" t="n">
        <v>11</v>
      </c>
      <c r="E94" s="236">
        <f>ROUND(INDEX('Curva Mestra'!$G$20:$G$94,MATCH(D94,'Curva Mestra'!$A$20:$A$94,0)),0)</f>
        <v/>
      </c>
      <c r="F94" s="236">
        <f>ROUND(INDEX('Curva Mestra'!$C$20:$C$94,MATCH(D94,'Curva Mestra'!$A$20:$A$94,0))*INDEX($B$5:$B$8,MATCH(C94,$A$5:$A$8,0)),0)</f>
        <v/>
      </c>
      <c r="G94" s="236">
        <f>ROUND(INDEX('Curva Mestra'!$D$20:$D$94,MATCH(D94,'Curva Mestra'!$A$20:$A$94,0))+INDEX($C$5:$C$8,MATCH(C94,$A$5:$A$8,0)),0)</f>
        <v/>
      </c>
      <c r="H94" s="237" t="inlineStr">
        <is>
          <t>Encontro opcional dentro do tier Ferro, na câmara secreta da forja antiga.</t>
        </is>
      </c>
      <c r="I94" s="236" t="inlineStr">
        <is>
          <t>Bigorna em Chamas</t>
        </is>
      </c>
      <c r="J94" s="235" t="inlineStr">
        <is>
          <t>No primeiro turno do combate causa dano de fogo em dobro.</t>
        </is>
      </c>
      <c r="K94" s="236" t="inlineStr">
        <is>
          <t>Autômato erguido pelos últimos ferreiros da vila pra proteger a forja — nunca recebeu ordem de parar, mesmo sem ninguém pra proteger.</t>
        </is>
      </c>
      <c r="L94" s="238">
        <f>IF(C94="Comum",ROUND(E94*1.3,0),"—")</f>
        <v/>
      </c>
      <c r="M94" s="239">
        <f>IF(C94="Comum",ROUND(F94*1.15,0),"—")</f>
        <v/>
      </c>
      <c r="N94" s="240">
        <f>IF(C94="Comum",G94+2,"—")</f>
        <v/>
      </c>
      <c r="O94" s="239">
        <f>IF(C94="Comum",ROUND(E94*1.6,0),"—")</f>
        <v/>
      </c>
      <c r="P94" s="241">
        <f>IF(C94="Comum",ROUND(F94*1.3,0),"—")</f>
        <v/>
      </c>
      <c r="Q94" s="241">
        <f>IF(C94="Comum",G94+4,"—")</f>
        <v/>
      </c>
      <c r="R94" s="241" t="inlineStr">
        <is>
          <t>O Segredo do Executor</t>
        </is>
      </c>
      <c r="S94" s="241">
        <f>ROUND(INDEX('Curva Mestra'!$D$20:$D$94,MATCH(D94,'Curva Mestra'!$A$20:$A$94,0))-IF(C94="Comum",9,IF(C94="Elite",6,IF(C94="Boss",4,3))),0)</f>
        <v/>
      </c>
      <c r="T94" s="241" t="inlineStr">
        <is>
          <t>Fragmento de O Executor da Forja Velha + Ouro + Fragmento de Golem Corrompido (chance baixa)</t>
        </is>
      </c>
      <c r="U94" s="241" t="inlineStr">
        <is>
          <t>Vulnerável a Gelo/Água — queimadura recebida dura metade do tempo.</t>
        </is>
      </c>
      <c r="V94" s="242" t="inlineStr">
        <is>
          <t>DPS</t>
        </is>
      </c>
      <c r="W94" s="242" t="inlineStr">
        <is>
          <t>Ruínas da Antiga Forja</t>
        </is>
      </c>
      <c r="X94" s="242" t="n"/>
      <c r="Y94" s="242" t="n"/>
      <c r="Z94" s="242" t="n"/>
      <c r="AA94" s="242" t="n"/>
    </row>
    <row r="95" ht="15" customHeight="1" s="116">
      <c r="A95" s="241" t="inlineStr">
        <is>
          <t>Ferro</t>
        </is>
      </c>
      <c r="B95" s="241" t="inlineStr">
        <is>
          <t>Esqueleto Comandante</t>
        </is>
      </c>
      <c r="C95" s="241" t="inlineStr">
        <is>
          <t>Elite</t>
        </is>
      </c>
      <c r="D95" s="241" t="n">
        <v>11</v>
      </c>
      <c r="E95" s="241">
        <f>ROUND(INDEX('Curva Mestra'!$G$20:$G$94,MATCH(D95,'Curva Mestra'!$A$20:$A$94,0)),0)</f>
        <v/>
      </c>
      <c r="F95" s="241">
        <f>ROUND(INDEX('Curva Mestra'!$C$20:$C$94,MATCH(D95,'Curva Mestra'!$A$20:$A$94,0))*INDEX($B$5:$B$8,MATCH(C95,$A$5:$A$8,0)),0)</f>
        <v/>
      </c>
      <c r="G95" s="241">
        <f>ROUND(INDEX('Curva Mestra'!$D$20:$D$94,MATCH(D95,'Curva Mestra'!$A$20:$A$94,0))+INDEX($C$5:$C$8,MATCH(C95,$A$5:$A$8,0)),0)</f>
        <v/>
      </c>
      <c r="H95" s="241" t="inlineStr">
        <is>
          <t>Comanda os demais esqueletos no salão dos comandantes.</t>
        </is>
      </c>
      <c r="I95" s="241" t="inlineStr">
        <is>
          <t>Grito de Comando</t>
        </is>
      </c>
      <c r="J95" s="241" t="inlineStr">
        <is>
          <t>+10% de chance de acerto pra todos os Esqueletos vivos no combate.</t>
        </is>
      </c>
      <c r="K95" s="241" t="inlineStr">
        <is>
          <t>Comandava a guarda em vida. A marca não apagou o hábito.</t>
        </is>
      </c>
      <c r="L95" s="241">
        <f>IF(C95="Comum",ROUND(E95*1.3,0),"—")</f>
        <v/>
      </c>
      <c r="M95" s="241">
        <f>IF(C95="Comum",ROUND(F95*1.15,0),"—")</f>
        <v/>
      </c>
      <c r="N95" s="241">
        <f>IF(C95="Comum",G95+2,"—")</f>
        <v/>
      </c>
      <c r="O95" s="241">
        <f>IF(C95="Comum",ROUND(E95*1.6,0),"—")</f>
        <v/>
      </c>
      <c r="P95" s="241">
        <f>IF(C95="Comum",ROUND(F95*1.3,0),"—")</f>
        <v/>
      </c>
      <c r="Q95" s="241">
        <f>IF(C95="Comum",G95+4,"—")</f>
        <v/>
      </c>
      <c r="R95" s="242" t="n"/>
      <c r="S95" s="241">
        <f>ROUND(3+0.6*D95+IF(C95="Comum",0,IF(C95="Elite",2,IF(C95="Boss",4,6))),0)</f>
        <v/>
      </c>
      <c r="T95" s="241" t="inlineStr">
        <is>
          <t>Ouro + Fragmento de Esqueleto Comandante + Estandarte Partido de Comando + Fragmento de Golem Corrompido (chance baixa)</t>
        </is>
      </c>
      <c r="U95" s="241" t="inlineStr">
        <is>
          <t>Ignora Resistência Mágica</t>
        </is>
      </c>
      <c r="V95" s="241" t="inlineStr">
        <is>
          <t>Suporte/Buffer</t>
        </is>
      </c>
      <c r="W95" s="241" t="inlineStr">
        <is>
          <t>Ruínas da Antiga Forja — Salão dos Comandantes</t>
        </is>
      </c>
      <c r="X95" s="243" t="n"/>
      <c r="Y95" s="243" t="n"/>
      <c r="Z95" s="243" t="n"/>
      <c r="AA95" s="243" t="n"/>
    </row>
    <row r="96" ht="15" customHeight="1" s="116">
      <c r="A96" s="241" t="inlineStr">
        <is>
          <t>Ferro</t>
        </is>
      </c>
      <c r="B96" s="241" t="inlineStr">
        <is>
          <t>Zelote Ferreiro</t>
        </is>
      </c>
      <c r="C96" s="241" t="inlineStr">
        <is>
          <t>Elite</t>
        </is>
      </c>
      <c r="D96" s="241" t="n">
        <v>11</v>
      </c>
      <c r="E96" s="241">
        <f>ROUND(INDEX('Curva Mestra'!$G$20:$G$94,MATCH(D96,'Curva Mestra'!$A$20:$A$94,0)),0)</f>
        <v/>
      </c>
      <c r="F96" s="241">
        <f>ROUND(INDEX('Curva Mestra'!$C$20:$C$94,MATCH(D96,'Curva Mestra'!$A$20:$A$94,0))*INDEX($B$5:$B$8,MATCH(C96,$A$5:$A$8,0)),0)</f>
        <v/>
      </c>
      <c r="G96" s="241">
        <f>ROUND(INDEX('Curva Mestra'!$D$20:$D$94,MATCH(D96,'Curva Mestra'!$A$20:$A$94,0))+INDEX($C$5:$C$8,MATCH(C96,$A$5:$A$8,0)),0)</f>
        <v/>
      </c>
      <c r="H96" s="241" t="inlineStr">
        <is>
          <t>Trabalha na forja ainda ativa dentro das ruínas.</t>
        </is>
      </c>
      <c r="I96" s="241" t="inlineStr">
        <is>
          <t>Bênção da Bigorna</t>
        </is>
      </c>
      <c r="J96" s="241" t="inlineStr">
        <is>
          <t>Cura 3 HP/turno + concede Ignora Defesa a 1 aliado por combate.</t>
        </is>
      </c>
      <c r="K96" s="241" t="inlineStr">
        <is>
          <t>Forja armas "abençoadas" pela Mão para o Culto do Ferro.</t>
        </is>
      </c>
      <c r="L96" s="241">
        <f>IF(C96="Comum",ROUND(E96*1.3,0),"—")</f>
        <v/>
      </c>
      <c r="M96" s="241">
        <f>IF(C96="Comum",ROUND(F96*1.15,0),"—")</f>
        <v/>
      </c>
      <c r="N96" s="241">
        <f>IF(C96="Comum",G96+2,"—")</f>
        <v/>
      </c>
      <c r="O96" s="241">
        <f>IF(C96="Comum",ROUND(E96*1.6,0),"—")</f>
        <v/>
      </c>
      <c r="P96" s="241">
        <f>IF(C96="Comum",ROUND(F96*1.3,0),"—")</f>
        <v/>
      </c>
      <c r="Q96" s="241">
        <f>IF(C96="Comum",G96+4,"—")</f>
        <v/>
      </c>
      <c r="R96" s="242" t="n"/>
      <c r="S96" s="241">
        <f>ROUND(3+0.6*D96+IF(C96="Comum",0,IF(C96="Elite",2,IF(C96="Boss",4,6))),0)</f>
        <v/>
      </c>
      <c r="T96" s="241" t="inlineStr">
        <is>
          <t>Ouro + Fragmento de Zelote Ferreiro + Martelo Abençoado pela Mão + Fragmento de Golem Corrompido (chance baixa)</t>
        </is>
      </c>
      <c r="U96" s="241" t="inlineStr">
        <is>
          <t>Ignora Resistência Mágica</t>
        </is>
      </c>
      <c r="V96" s="241" t="inlineStr">
        <is>
          <t>Suporte</t>
        </is>
      </c>
      <c r="W96" s="241" t="inlineStr">
        <is>
          <t>Ruínas da Antiga Forja — Forja Ativa</t>
        </is>
      </c>
      <c r="X96" s="243" t="n"/>
      <c r="Y96" s="243" t="n"/>
      <c r="Z96" s="241" t="inlineStr">
        <is>
          <t>A Guilda dos Picaretas Negros compra ferro dele, mesmo sabendo o que é.</t>
        </is>
      </c>
      <c r="AA96" s="243" t="n"/>
    </row>
    <row r="97" ht="15" customHeight="1" s="116">
      <c r="A97" s="241" t="inlineStr">
        <is>
          <t>Ferro</t>
        </is>
      </c>
      <c r="B97" s="241" t="inlineStr">
        <is>
          <t>Bigorna Viva</t>
        </is>
      </c>
      <c r="C97" s="241" t="inlineStr">
        <is>
          <t>Elite</t>
        </is>
      </c>
      <c r="D97" s="241" t="n">
        <v>11</v>
      </c>
      <c r="E97" s="241">
        <f>ROUND(INDEX('Curva Mestra'!$G$20:$G$94,MATCH(D97,'Curva Mestra'!$A$20:$A$94,0)),0)</f>
        <v/>
      </c>
      <c r="F97" s="241">
        <f>ROUND(INDEX('Curva Mestra'!$C$20:$C$94,MATCH(D97,'Curva Mestra'!$A$20:$A$94,0))*INDEX($B$5:$B$8,MATCH(C97,$A$5:$A$8,0)),0)</f>
        <v/>
      </c>
      <c r="G97" s="241">
        <f>ROUND(INDEX('Curva Mestra'!$D$20:$D$94,MATCH(D97,'Curva Mestra'!$A$20:$A$94,0))+INDEX($C$5:$C$8,MATCH(C97,$A$5:$A$8,0)),0)</f>
        <v/>
      </c>
      <c r="H97" s="241" t="inlineStr">
        <is>
          <t>Disfarçada entre as ferramentas da forja ativa.</t>
        </is>
      </c>
      <c r="I97" s="241" t="inlineStr">
        <is>
          <t>Golpe da Bigorna</t>
        </is>
      </c>
      <c r="J97" s="241" t="inlineStr">
        <is>
          <t>Ignora Defesa (alto) + jogador perde 1 turno de surpresa.</t>
        </is>
      </c>
      <c r="K97" s="241" t="inlineStr">
        <is>
          <t>Cultistas armam bigornas-armadilha pros que saqueiam sem permissão.</t>
        </is>
      </c>
      <c r="L97" s="241">
        <f>IF(C97="Comum",ROUND(E97*1.3,0),"—")</f>
        <v/>
      </c>
      <c r="M97" s="241">
        <f>IF(C97="Comum",ROUND(F97*1.15,0),"—")</f>
        <v/>
      </c>
      <c r="N97" s="241">
        <f>IF(C97="Comum",G97+2,"—")</f>
        <v/>
      </c>
      <c r="O97" s="241">
        <f>IF(C97="Comum",ROUND(E97*1.6,0),"—")</f>
        <v/>
      </c>
      <c r="P97" s="241">
        <f>IF(C97="Comum",ROUND(F97*1.3,0),"—")</f>
        <v/>
      </c>
      <c r="Q97" s="241">
        <f>IF(C97="Comum",G97+4,"—")</f>
        <v/>
      </c>
      <c r="R97" s="242" t="n"/>
      <c r="S97" s="241">
        <f>ROUND(3+0.6*D97+IF(C97="Comum",0,IF(C97="Elite",2,IF(C97="Boss",4,6))),0)</f>
        <v/>
      </c>
      <c r="T97" s="241" t="inlineStr">
        <is>
          <t>Ouro + Veio de Ferro Negro (chance alta, x2) + Fragmento de Bigorna Armadilhada</t>
        </is>
      </c>
      <c r="U97" s="241" t="inlineStr">
        <is>
          <t>Atordoamento</t>
        </is>
      </c>
      <c r="V97" s="241" t="inlineStr">
        <is>
          <t>Mímico</t>
        </is>
      </c>
      <c r="W97" s="241" t="inlineStr">
        <is>
          <t>Ruínas da Antiga Forja — Forja Ativa, 5% ao interagir</t>
        </is>
      </c>
      <c r="X97" s="243" t="n"/>
      <c r="Y97" s="243" t="n"/>
      <c r="Z97" s="243" t="n"/>
      <c r="AA97" s="241" t="inlineStr">
        <is>
          <t>Veio de Ferro Negro x2</t>
        </is>
      </c>
    </row>
    <row r="98" ht="15" customHeight="1" s="116">
      <c r="A98" s="241" t="inlineStr">
        <is>
          <t>Ferro</t>
        </is>
      </c>
      <c r="B98" s="241" t="inlineStr">
        <is>
          <t>Espírito Fugidio do Minério</t>
        </is>
      </c>
      <c r="C98" s="241" t="inlineStr">
        <is>
          <t>Elite</t>
        </is>
      </c>
      <c r="D98" s="241" t="n">
        <v>11</v>
      </c>
      <c r="E98" s="241">
        <f>ROUND(INDEX('Curva Mestra'!$G$20:$G$94,MATCH(D98,'Curva Mestra'!$A$20:$A$94,0)),0)</f>
        <v/>
      </c>
      <c r="F98" s="241">
        <f>ROUND(INDEX('Curva Mestra'!$C$20:$C$94,MATCH(D98,'Curva Mestra'!$A$20:$A$94,0))*INDEX($B$5:$B$8,MATCH(C98,$A$5:$A$8,0)),0)</f>
        <v/>
      </c>
      <c r="G98" s="241">
        <f>ROUND(INDEX('Curva Mestra'!$D$20:$D$94,MATCH(D98,'Curva Mestra'!$A$20:$A$94,0))+INDEX($C$5:$C$8,MATCH(C98,$A$5:$A$8,0)),0)</f>
        <v/>
      </c>
      <c r="H98" s="241" t="inlineStr">
        <is>
          <t>Raramente visto tentando escapar das ruínas.</t>
        </is>
      </c>
      <c r="I98" s="241" t="inlineStr">
        <is>
          <t>Fuga Metálica</t>
        </is>
      </c>
      <c r="J98" s="241" t="inlineStr">
        <is>
          <t>Não causa dano — foge no turno 3.</t>
        </is>
      </c>
      <c r="K98" s="241" t="inlineStr">
        <is>
          <t>Alma presa num veio raro, tenta escapar de quem a encontra.</t>
        </is>
      </c>
      <c r="L98" s="241">
        <f>IF(C98="Comum",ROUND(E98*1.3,0),"—")</f>
        <v/>
      </c>
      <c r="M98" s="241">
        <f>IF(C98="Comum",ROUND(F98*1.15,0),"—")</f>
        <v/>
      </c>
      <c r="N98" s="241">
        <f>IF(C98="Comum",G98+2,"—")</f>
        <v/>
      </c>
      <c r="O98" s="241">
        <f>IF(C98="Comum",ROUND(E98*1.6,0),"—")</f>
        <v/>
      </c>
      <c r="P98" s="241">
        <f>IF(C98="Comum",ROUND(F98*1.3,0),"—")</f>
        <v/>
      </c>
      <c r="Q98" s="241">
        <f>IF(C98="Comum",G98+4,"—")</f>
        <v/>
      </c>
      <c r="R98" s="242" t="n"/>
      <c r="S98" s="241">
        <f>ROUND(3+0.6*D98+IF(C98="Comum",0,IF(C98="Elite",2,IF(C98="Boss",4,6))),0)</f>
        <v/>
      </c>
      <c r="T98" s="241" t="inlineStr">
        <is>
          <t>Ouro + Resíduo Etéreo do Espírito Fugidio</t>
        </is>
      </c>
      <c r="U98" s="241" t="inlineStr">
        <is>
          <t>Lentidão</t>
        </is>
      </c>
      <c r="V98" s="241" t="inlineStr">
        <is>
          <t>Superloot/Evasivo</t>
        </is>
      </c>
      <c r="W98" s="241" t="inlineStr">
        <is>
          <t>Ruínas da Antiga Forja, spawn raro (2%)</t>
        </is>
      </c>
      <c r="X98" s="243" t="n"/>
      <c r="Y98" s="243" t="n"/>
      <c r="Z98" s="243" t="n"/>
      <c r="AA98" s="241" t="inlineStr">
        <is>
          <t>Veio de Prata Pálida (material de Tier 4)</t>
        </is>
      </c>
    </row>
    <row r="99" ht="15" customHeight="1" s="116">
      <c r="A99" s="241" t="inlineStr">
        <is>
          <t>Ferro</t>
        </is>
      </c>
      <c r="B99" s="241" t="inlineStr">
        <is>
          <t>Capitão Vessel, o Que Não Se Rendeu</t>
        </is>
      </c>
      <c r="C99" s="241" t="inlineStr">
        <is>
          <t>Elite</t>
        </is>
      </c>
      <c r="D99" s="241" t="n">
        <v>12</v>
      </c>
      <c r="E99" s="241">
        <f>ROUND(INDEX('Curva Mestra'!$G$20:$G$94,MATCH(D99,'Curva Mestra'!$A$20:$A$94,0)),0)</f>
        <v/>
      </c>
      <c r="F99" s="241">
        <f>ROUND(INDEX('Curva Mestra'!$C$20:$C$94,MATCH(D99,'Curva Mestra'!$A$20:$A$94,0))*INDEX($B$5:$B$8,MATCH(C99,$A$5:$A$8,0)),0)</f>
        <v/>
      </c>
      <c r="G99" s="241">
        <f>ROUND(INDEX('Curva Mestra'!$D$20:$D$94,MATCH(D99,'Curva Mestra'!$A$20:$A$94,0))+INDEX($C$5:$C$8,MATCH(C99,$A$5:$A$8,0)),0)</f>
        <v/>
      </c>
      <c r="H99" s="241" t="inlineStr">
        <is>
          <t>Aparece raramente no salão dos comandantes, sempre postado.</t>
        </is>
      </c>
      <c r="I99" s="241" t="inlineStr">
        <is>
          <t>Última Ordem</t>
        </is>
      </c>
      <c r="J99" s="241" t="inlineStr">
        <is>
          <t>Ignora Defesa + concede Atordoamento (15%) a 1 aliado por turno.</t>
        </is>
      </c>
      <c r="K99" s="241" t="inlineStr">
        <is>
          <t>Comandava a forja quando ela caiu. Ainda acha que está defendendo algo.</t>
        </is>
      </c>
      <c r="L99" s="241">
        <f>IF(C99="Comum",ROUND(E99*1.3,0),"—")</f>
        <v/>
      </c>
      <c r="M99" s="241">
        <f>IF(C99="Comum",ROUND(F99*1.15,0),"—")</f>
        <v/>
      </c>
      <c r="N99" s="241">
        <f>IF(C99="Comum",G99+2,"—")</f>
        <v/>
      </c>
      <c r="O99" s="241">
        <f>IF(C99="Comum",ROUND(E99*1.6,0),"—")</f>
        <v/>
      </c>
      <c r="P99" s="241">
        <f>IF(C99="Comum",ROUND(F99*1.3,0),"—")</f>
        <v/>
      </c>
      <c r="Q99" s="241">
        <f>IF(C99="Comum",G99+4,"—")</f>
        <v/>
      </c>
      <c r="R99" s="242" t="n"/>
      <c r="S99" s="241">
        <f>ROUND(3+0.6*D99+IF(C99="Comum",0,IF(C99="Elite",2,IF(C99="Boss",4,6))),0)</f>
        <v/>
      </c>
      <c r="T99" s="241" t="inlineStr">
        <is>
          <t>Ouro + Fragmento do Capitão Que Não Se Rendeu + Fragmento de Golem Corrompido (chance baixa)</t>
        </is>
      </c>
      <c r="U99" s="241" t="inlineStr">
        <is>
          <t>Ignora Resistência Mágica</t>
        </is>
      </c>
      <c r="V99" s="241" t="inlineStr">
        <is>
          <t>Nomeado / Mini-Boss</t>
        </is>
      </c>
      <c r="W99" s="241" t="inlineStr">
        <is>
          <t>Ruínas da Antiga Forja — Salão dos Comandantes, spawn raro (4%)</t>
        </is>
      </c>
      <c r="X99" s="241" t="inlineStr">
        <is>
          <t>A 30% de HP, para de lutar e "liberta o posto" se o jogador recusar continuar atacando — dá Título.</t>
        </is>
      </c>
      <c r="Y99" s="243" t="n"/>
      <c r="Z99" s="243" t="n"/>
      <c r="AA99" s="241" t="inlineStr">
        <is>
          <t>Brasão do Capitão Que Não Se Rendeu (se derrotado em vez de poupado) [ver Artefatos e Relíquias]</t>
        </is>
      </c>
    </row>
    <row r="100" ht="15" customHeight="1" s="116">
      <c r="A100" s="241" t="inlineStr">
        <is>
          <t>Ferro</t>
        </is>
      </c>
      <c r="B100" s="241" t="inlineStr">
        <is>
          <t>Golem Fragmentado</t>
        </is>
      </c>
      <c r="C100" s="241" t="inlineStr">
        <is>
          <t>Elite</t>
        </is>
      </c>
      <c r="D100" s="241" t="n">
        <v>12</v>
      </c>
      <c r="E100" s="241">
        <f>ROUND(INDEX('Curva Mestra'!$G$20:$G$94,MATCH(D100,'Curva Mestra'!$A$20:$A$94,0)),0)</f>
        <v/>
      </c>
      <c r="F100" s="241">
        <f>ROUND(INDEX('Curva Mestra'!$C$20:$C$94,MATCH(D100,'Curva Mestra'!$A$20:$A$94,0))*INDEX($B$5:$B$8,MATCH(C100,$A$5:$A$8,0)),0)</f>
        <v/>
      </c>
      <c r="G100" s="241">
        <f>ROUND(INDEX('Curva Mestra'!$D$20:$D$94,MATCH(D100,'Curva Mestra'!$A$20:$A$94,0))+INDEX($C$5:$C$8,MATCH(C100,$A$5:$A$8,0)),0)</f>
        <v/>
      </c>
      <c r="H100" s="241" t="inlineStr">
        <is>
          <t>Instável, permanece na fundição das ruínas.</t>
        </is>
      </c>
      <c r="I100" s="241" t="inlineStr">
        <is>
          <t>Colapso Controlado</t>
        </is>
      </c>
      <c r="J100" s="241" t="inlineStr">
        <is>
          <t>Ao ser destruído, libera 2 Golens Menores de Ferro com 50% HP.</t>
        </is>
      </c>
      <c r="K100" s="241" t="inlineStr">
        <is>
          <t>Um golem grande demais pra Infecção controlar direito — racha, não morre limpo.</t>
        </is>
      </c>
      <c r="L100" s="241">
        <f>IF(C100="Comum",ROUND(E100*1.3,0),"—")</f>
        <v/>
      </c>
      <c r="M100" s="241">
        <f>IF(C100="Comum",ROUND(F100*1.15,0),"—")</f>
        <v/>
      </c>
      <c r="N100" s="241">
        <f>IF(C100="Comum",G100+2,"—")</f>
        <v/>
      </c>
      <c r="O100" s="241">
        <f>IF(C100="Comum",ROUND(E100*1.6,0),"—")</f>
        <v/>
      </c>
      <c r="P100" s="241">
        <f>IF(C100="Comum",ROUND(F100*1.3,0),"—")</f>
        <v/>
      </c>
      <c r="Q100" s="241">
        <f>IF(C100="Comum",G100+4,"—")</f>
        <v/>
      </c>
      <c r="R100" s="242" t="n"/>
      <c r="S100" s="241">
        <f>ROUND(3+0.6*D100+IF(C100="Comum",0,IF(C100="Elite",2,IF(C100="Boss",4,6))),0)</f>
        <v/>
      </c>
      <c r="T100" s="241" t="inlineStr">
        <is>
          <t>Ouro + Fragmento de Golem Fragmentado + Núcleo Rachado + Fragmento de Golem Corrompido (chance baixa)</t>
        </is>
      </c>
      <c r="U100" s="241" t="inlineStr">
        <is>
          <t>Ignora Resistência Mágica</t>
        </is>
      </c>
      <c r="V100" s="241" t="inlineStr">
        <is>
          <t>Tanque/Invocador</t>
        </is>
      </c>
      <c r="W100" s="241" t="inlineStr">
        <is>
          <t>Ruínas da Antiga Forja — Fundição</t>
        </is>
      </c>
      <c r="X100" s="241" t="inlineStr">
        <is>
          <t>Ao chegar a 0 HP, libera 2 Golens Menores em vez de morrer.</t>
        </is>
      </c>
      <c r="Y100" s="243" t="n"/>
      <c r="Z100" s="243" t="n"/>
      <c r="AA100" s="243" t="n"/>
    </row>
    <row r="101" ht="15" customHeight="1" s="116">
      <c r="A101" s="241" t="inlineStr">
        <is>
          <t>Ferro</t>
        </is>
      </c>
      <c r="B101" s="241" t="inlineStr">
        <is>
          <t>Zelote Superior do Ferro</t>
        </is>
      </c>
      <c r="C101" s="241" t="inlineStr">
        <is>
          <t>Elite</t>
        </is>
      </c>
      <c r="D101" s="241" t="n">
        <v>13</v>
      </c>
      <c r="E101" s="241">
        <f>ROUND(INDEX('Curva Mestra'!$G$20:$G$94,MATCH(D101,'Curva Mestra'!$A$20:$A$94,0)),0)</f>
        <v/>
      </c>
      <c r="F101" s="241">
        <f>ROUND(INDEX('Curva Mestra'!$C$20:$C$94,MATCH(D101,'Curva Mestra'!$A$20:$A$94,0))*INDEX($B$5:$B$8,MATCH(C101,$A$5:$A$8,0)),0)</f>
        <v/>
      </c>
      <c r="G101" s="241">
        <f>ROUND(INDEX('Curva Mestra'!$D$20:$D$94,MATCH(D101,'Curva Mestra'!$A$20:$A$94,0))+INDEX($C$5:$C$8,MATCH(C101,$A$5:$A$8,0)),0)</f>
        <v/>
      </c>
      <c r="H101" s="241" t="inlineStr">
        <is>
          <t>Ligado ao Culto dos Primeiros Marcados, região de Ferro.</t>
        </is>
      </c>
      <c r="I101" s="241" t="inlineStr">
        <is>
          <t>Comando do Ferro</t>
        </is>
      </c>
      <c r="J101" s="241" t="inlineStr">
        <is>
          <t>Concede +1 de Ataque a todos os Zelotes de Ferro no mesmo combate. Também aplica: Ignora 1 ponto de Defesa do alvo.</t>
        </is>
      </c>
      <c r="K101" s="241" t="inlineStr">
        <is>
          <t>Lidera o contrabando de armas de ferro pro culto na região — captura viva revela pistas sobre a origem de tudo.</t>
        </is>
      </c>
      <c r="L101" s="241">
        <f>IF(C101="Comum",ROUND(E101*1.3,0),"—")</f>
        <v/>
      </c>
      <c r="M101" s="241">
        <f>IF(C101="Comum",ROUND(F101*1.15,0),"—")</f>
        <v/>
      </c>
      <c r="N101" s="241">
        <f>IF(C101="Comum",G101+2,"—")</f>
        <v/>
      </c>
      <c r="O101" s="241">
        <f>IF(C101="Comum",ROUND(E101*1.6,0),"—")</f>
        <v/>
      </c>
      <c r="P101" s="241">
        <f>IF(C101="Comum",ROUND(F101*1.3,0),"—")</f>
        <v/>
      </c>
      <c r="Q101" s="241">
        <f>IF(C101="Comum",G101+4,"—")</f>
        <v/>
      </c>
      <c r="R101" s="161" t="inlineStr">
        <is>
          <t>O Zelote Arrependido</t>
        </is>
      </c>
      <c r="S101" s="241">
        <f>ROUND(INDEX('Curva Mestra'!$D$20:$D$94,MATCH(D101,'Curva Mestra'!$A$20:$A$94,0))-IF(C101="Comum",9,IF(C101="Elite",6,IF(C101="Boss",4,3))),0)</f>
        <v/>
      </c>
      <c r="T101" s="241" t="inlineStr">
        <is>
          <t>Relicário de Zelote Superior do Ferro + Ouro + Fragmento de Golem Corrompido (chance baixa)</t>
        </is>
      </c>
      <c r="U101" s="241" t="inlineStr">
        <is>
          <t>Perde o bônus de grupo se isolado dos outros cultistas em combate.</t>
        </is>
      </c>
      <c r="V101" s="243" t="inlineStr">
        <is>
          <t>DPS</t>
        </is>
      </c>
      <c r="W101" s="243" t="inlineStr">
        <is>
          <t>Ruínas da Antiga Forja</t>
        </is>
      </c>
      <c r="X101" s="243" t="n"/>
      <c r="Y101" s="243" t="n"/>
      <c r="Z101" s="243" t="n"/>
      <c r="AA101" s="243" t="n"/>
    </row>
    <row r="102" ht="15" customHeight="1" s="116">
      <c r="A102" s="241" t="inlineStr">
        <is>
          <t>Ferro</t>
        </is>
      </c>
      <c r="B102" s="241" t="inlineStr">
        <is>
          <t>Golem de Sucata</t>
        </is>
      </c>
      <c r="C102" s="241" t="inlineStr">
        <is>
          <t>Boss</t>
        </is>
      </c>
      <c r="D102" s="241" t="n">
        <v>13</v>
      </c>
      <c r="E102" s="241">
        <f>ROUND(INDEX('Curva Mestra'!$H$20:$H$94,MATCH(D102,'Curva Mestra'!$A$20:$A$94,0)),0)</f>
        <v/>
      </c>
      <c r="F102" s="241">
        <f>ROUND(INDEX('Curva Mestra'!$C$20:$C$94,MATCH(D102,'Curva Mestra'!$A$20:$A$94,0))*INDEX($B$5:$B$8,MATCH(C102,$A$5:$A$8,0)),0)</f>
        <v/>
      </c>
      <c r="G102" s="241">
        <f>ROUND(INDEX('Curva Mestra'!$D$20:$D$94,MATCH(D102,'Curva Mestra'!$A$20:$A$94,0))+INDEX($C$5:$C$8,MATCH(C102,$A$5:$A$8,0)),0)</f>
        <v/>
      </c>
      <c r="H102" s="241" t="inlineStr">
        <is>
          <t>Chefe / marco final do tier Ferro</t>
        </is>
      </c>
      <c r="I102" s="241" t="inlineStr">
        <is>
          <t>Esmagamento de Detritos</t>
        </is>
      </c>
      <c r="J102" s="241" t="inlineStr">
        <is>
          <t>No primeiro turno de combate, causa dano em dobro. Também aplica: Ignora 1 ponto de Defesa do alvo.</t>
        </is>
      </c>
      <c r="K102" s="241" t="inlineStr">
        <is>
          <t>Última linha de defesa da forja, erguida às pressas quando os cultistas começaram a fortificar as ruínas.</t>
        </is>
      </c>
      <c r="L102" s="241">
        <f>IF(C102="Comum",ROUND(E102*1.3,0),"—")</f>
        <v/>
      </c>
      <c r="M102" s="241">
        <f>IF(C102="Comum",ROUND(F102*1.15,0),"—")</f>
        <v/>
      </c>
      <c r="N102" s="241">
        <f>IF(C102="Comum",G102+2,"—")</f>
        <v/>
      </c>
      <c r="O102" s="241">
        <f>IF(C102="Comum",ROUND(E102*1.6,0),"—")</f>
        <v/>
      </c>
      <c r="P102" s="241">
        <f>IF(C102="Comum",ROUND(F102*1.3,0),"—")</f>
        <v/>
      </c>
      <c r="Q102" s="241">
        <f>IF(C102="Comum",G102+4,"—")</f>
        <v/>
      </c>
      <c r="R102" s="161" t="inlineStr">
        <is>
          <t>O Golem da Forja</t>
        </is>
      </c>
      <c r="S102" s="241">
        <f>ROUND(INDEX('Curva Mestra'!$D$20:$D$94,MATCH(D102,'Curva Mestra'!$A$20:$A$94,0))-IF(C102="Comum",9,IF(C102="Elite",6,IF(C102="Boss",4,3))),0)</f>
        <v/>
      </c>
      <c r="T102" s="241" t="inlineStr">
        <is>
          <t>Núcleo de Golem de Sucata + Essência de Golem de Sucata + Ouro + Fragmento de Golem Corrompido (chance baixa)</t>
        </is>
      </c>
      <c r="U102" s="241" t="inlineStr">
        <is>
          <t>Vulnerável a Atordoamento — travas mecânicas emperram com o dobro de chance.</t>
        </is>
      </c>
      <c r="V102" s="243" t="inlineStr">
        <is>
          <t>DPS</t>
        </is>
      </c>
      <c r="W102" s="243" t="inlineStr">
        <is>
          <t>Ruínas da Antiga Forja</t>
        </is>
      </c>
      <c r="X102" s="243" t="n"/>
      <c r="Y102" s="243" t="n"/>
      <c r="Z102" s="243" t="n"/>
      <c r="AA102" s="243" t="n"/>
    </row>
    <row r="103" ht="15" customHeight="1" s="116">
      <c r="A103" s="241" t="inlineStr">
        <is>
          <t>Ferro</t>
        </is>
      </c>
      <c r="B103" s="241" t="inlineStr">
        <is>
          <t>O Primeiro Marcado</t>
        </is>
      </c>
      <c r="C103" s="241" t="inlineStr">
        <is>
          <t>Boss</t>
        </is>
      </c>
      <c r="D103" s="241" t="n">
        <v>15</v>
      </c>
      <c r="E103" s="241">
        <f>ROUND(INDEX('Curva Mestra'!$H$20:$H$94,MATCH(D103,'Curva Mestra'!$A$20:$A$94,0)),0)</f>
        <v/>
      </c>
      <c r="F103" s="241">
        <f>ROUND(INDEX('Curva Mestra'!$C$20:$C$94,MATCH(D103,'Curva Mestra'!$A$20:$A$94,0))*INDEX($B$5:$B$8,MATCH(C103,$A$5:$A$8,0)),0)</f>
        <v/>
      </c>
      <c r="G103" s="241">
        <f>ROUND(INDEX('Curva Mestra'!$D$20:$D$94,MATCH(D103,'Curva Mestra'!$A$20:$A$94,0))+INDEX($C$5:$C$8,MATCH(C103,$A$5:$A$8,0)),0)</f>
        <v/>
      </c>
      <c r="H103" s="241" t="inlineStr">
        <is>
          <t>Ligado ao Culto dos Primeiros Marcados, região de Ferro.</t>
        </is>
      </c>
      <c r="I103" s="241" t="inlineStr">
        <is>
          <t>Toque Original</t>
        </is>
      </c>
      <c r="J103" s="241" t="inlineStr">
        <is>
          <t>Ao acertar, marca o alvo: próximos ataques de qualquer cultista contra ele ganham +2 de Ataque. Também aplica: Ignora 1 ponto de Defesa do alvo.</t>
        </is>
      </c>
      <c r="K103" s="241" t="inlineStr">
        <is>
          <t>A primeira pessoa da região tocada pela influência da Mão Carmesim — hoje pouco mais que fé pura e vontade cega. Derrotá-lo fecha o Ato I.</t>
        </is>
      </c>
      <c r="L103" s="241">
        <f>IF(C103="Comum",ROUND(E103*1.3,0),"—")</f>
        <v/>
      </c>
      <c r="M103" s="241">
        <f>IF(C103="Comum",ROUND(F103*1.15,0),"—")</f>
        <v/>
      </c>
      <c r="N103" s="241">
        <f>IF(C103="Comum",G103+2,"—")</f>
        <v/>
      </c>
      <c r="O103" s="241">
        <f>IF(C103="Comum",ROUND(E103*1.6,0),"—")</f>
        <v/>
      </c>
      <c r="P103" s="241">
        <f>IF(C103="Comum",ROUND(F103*1.3,0),"—")</f>
        <v/>
      </c>
      <c r="Q103" s="241">
        <f>IF(C103="Comum",G103+4,"—")</f>
        <v/>
      </c>
      <c r="R103" s="161" t="inlineStr">
        <is>
          <t>O Primeiro Marcado (fecha o Ato I)</t>
        </is>
      </c>
      <c r="S103" s="241">
        <f>ROUND(INDEX('Curva Mestra'!$D$20:$D$94,MATCH(D103,'Curva Mestra'!$A$20:$A$94,0))-IF(C103="Comum",9,IF(C103="Elite",6,IF(C103="Boss",4,3))),0)</f>
        <v/>
      </c>
      <c r="T103" s="241" t="inlineStr">
        <is>
          <t>Fragmento de O Primeiro Marcado + Essência de O Primeiro Marcado + Ouro + Fragmento de Golem Corrompido (chance baixa)</t>
        </is>
      </c>
      <c r="U103" s="241" t="inlineStr">
        <is>
          <t>Sem fraqueza óbvia — precisa de Knowledge alto pra descobrir algo específico.</t>
        </is>
      </c>
      <c r="V103" s="243" t="inlineStr">
        <is>
          <t>DPS</t>
        </is>
      </c>
      <c r="W103" s="243" t="inlineStr">
        <is>
          <t>Ruínas da Antiga Forja</t>
        </is>
      </c>
      <c r="X103" s="243" t="n"/>
      <c r="Y103" s="243" t="n"/>
      <c r="Z103" s="243" t="n"/>
      <c r="AA103" s="243" t="n"/>
    </row>
    <row r="104" ht="15" customHeight="1" s="116">
      <c r="A104" s="241" t="inlineStr">
        <is>
          <t>Prata</t>
        </is>
      </c>
      <c r="B104" s="241" t="inlineStr">
        <is>
          <t>Zumbi Recém-Enterrado</t>
        </is>
      </c>
      <c r="C104" s="241" t="inlineStr">
        <is>
          <t>Comum</t>
        </is>
      </c>
      <c r="D104" s="241" t="n">
        <v>15</v>
      </c>
      <c r="E104" s="241">
        <f>ROUND(INDEX('Curva Mestra'!$F$20:$F$94,MATCH(D104,'Curva Mestra'!$A$20:$A$94,0)),0)</f>
        <v/>
      </c>
      <c r="F104" s="241">
        <f>ROUND(INDEX('Curva Mestra'!$C$20:$C$94,MATCH(D104,'Curva Mestra'!$A$20:$A$94,0))*INDEX($B$5:$B$8,MATCH(C104,$A$5:$A$8,0)),0)</f>
        <v/>
      </c>
      <c r="G104" s="241">
        <f>ROUND(INDEX('Curva Mestra'!$D$20:$D$94,MATCH(D104,'Curva Mestra'!$A$20:$A$94,0))+INDEX($C$5:$C$8,MATCH(C104,$A$5:$A$8,0)),0)</f>
        <v/>
      </c>
      <c r="H104" s="241" t="inlineStr">
        <is>
          <t>Encontrado na câmara externa das Criptas de Prata.</t>
        </is>
      </c>
      <c r="I104" s="241" t="inlineStr">
        <is>
          <t>Aperto Rígido</t>
        </is>
      </c>
      <c r="J104" s="241" t="inlineStr">
        <is>
          <t>Nenhum efeito — mais fraco que a média, mas sempre em par.</t>
        </is>
      </c>
      <c r="K104" s="241" t="inlineStr">
        <is>
          <t>Enterrado há dias, ainda tem os movimentos de quem estava vivo.</t>
        </is>
      </c>
      <c r="L104" s="241">
        <f>IF(C104="Comum",ROUND(E104*1.3,0),"—")</f>
        <v/>
      </c>
      <c r="M104" s="241">
        <f>IF(C104="Comum",ROUND(F104*1.15,0),"—")</f>
        <v/>
      </c>
      <c r="N104" s="241">
        <f>IF(C104="Comum",G104+2,"—")</f>
        <v/>
      </c>
      <c r="O104" s="241">
        <f>IF(C104="Comum",ROUND(E104*1.6,0),"—")</f>
        <v/>
      </c>
      <c r="P104" s="241">
        <f>IF(C104="Comum",ROUND(F104*1.3,0),"—")</f>
        <v/>
      </c>
      <c r="Q104" s="241">
        <f>IF(C104="Comum",G104+4,"—")</f>
        <v/>
      </c>
      <c r="R104" s="242" t="n"/>
      <c r="S104" s="241">
        <f>ROUND(3+0.6*D104+IF(C104="Comum",0,IF(C104="Elite",2,IF(C104="Boss",4,6))),0)</f>
        <v/>
      </c>
      <c r="T104" s="241" t="inlineStr">
        <is>
          <t>Ouro + Mortalha Fresca de Zumbi</t>
        </is>
      </c>
      <c r="U104" s="241" t="inlineStr">
        <is>
          <t>Ignora Defesa</t>
        </is>
      </c>
      <c r="V104" s="241" t="inlineStr">
        <is>
          <t>DPS fraco</t>
        </is>
      </c>
      <c r="W104" s="241" t="inlineStr">
        <is>
          <t>Criptas de Prata — Câmara Externa</t>
        </is>
      </c>
      <c r="X104" s="243" t="n"/>
      <c r="Y104" s="243" t="n"/>
      <c r="Z104" s="243" t="n"/>
      <c r="AA104" s="243" t="n"/>
    </row>
    <row r="105" ht="15" customHeight="1" s="116">
      <c r="A105" s="241" t="inlineStr">
        <is>
          <t>Prata</t>
        </is>
      </c>
      <c r="B105" s="241" t="inlineStr">
        <is>
          <t>Freira Perdida</t>
        </is>
      </c>
      <c r="C105" s="241" t="inlineStr">
        <is>
          <t>Comum</t>
        </is>
      </c>
      <c r="D105" s="241" t="n">
        <v>15</v>
      </c>
      <c r="E105" s="241">
        <f>ROUND(INDEX('Curva Mestra'!$F$20:$F$94,MATCH(D105,'Curva Mestra'!$A$20:$A$94,0)),0)</f>
        <v/>
      </c>
      <c r="F105" s="241">
        <f>ROUND(INDEX('Curva Mestra'!$C$20:$C$94,MATCH(D105,'Curva Mestra'!$A$20:$A$94,0))*INDEX($B$5:$B$8,MATCH(C105,$A$5:$A$8,0)),0)</f>
        <v/>
      </c>
      <c r="G105" s="241">
        <f>ROUND(INDEX('Curva Mestra'!$D$20:$D$94,MATCH(D105,'Curva Mestra'!$A$20:$A$94,0))+INDEX($C$5:$C$8,MATCH(C105,$A$5:$A$8,0)),0)</f>
        <v/>
      </c>
      <c r="H105" s="241" t="inlineStr">
        <is>
          <t>Esconde-se no corredor dos ecos das criptas.</t>
        </is>
      </c>
      <c r="I105" s="241" t="inlineStr">
        <is>
          <t>(não ataca)</t>
        </is>
      </c>
      <c r="J105" s="241" t="inlineStr">
        <is>
          <t>Não-hostil: guia até uma passagem secreta se poupada.</t>
        </is>
      </c>
      <c r="K105" s="241" t="inlineStr">
        <is>
          <t>Servia a Fraternidade antes dela virar isso. Ainda reza, baixinho.</t>
        </is>
      </c>
      <c r="L105" s="241">
        <f>IF(C105="Comum",ROUND(E105*1.3,0),"—")</f>
        <v/>
      </c>
      <c r="M105" s="241">
        <f>IF(C105="Comum",ROUND(F105*1.15,0),"—")</f>
        <v/>
      </c>
      <c r="N105" s="241">
        <f>IF(C105="Comum",G105+2,"—")</f>
        <v/>
      </c>
      <c r="O105" s="241">
        <f>IF(C105="Comum",ROUND(E105*1.6,0),"—")</f>
        <v/>
      </c>
      <c r="P105" s="241">
        <f>IF(C105="Comum",ROUND(F105*1.3,0),"—")</f>
        <v/>
      </c>
      <c r="Q105" s="241">
        <f>IF(C105="Comum",G105+4,"—")</f>
        <v/>
      </c>
      <c r="R105" s="242" t="n"/>
      <c r="S105" s="241">
        <f>ROUND(3+0.6*D105+IF(C105="Comum",0,IF(C105="Elite",2,IF(C105="Boss",4,6))),0)</f>
        <v/>
      </c>
      <c r="T105" s="241" t="inlineStr">
        <is>
          <t>Terço Quebrado da Freira Perdida</t>
        </is>
      </c>
      <c r="U105" s="241" t="inlineStr">
        <is>
          <t>Sem fraqueza óbvia — precisa de Knowledge alto pra descobrir algo específico.</t>
        </is>
      </c>
      <c r="V105" s="241" t="inlineStr">
        <is>
          <t>Não-hostil</t>
        </is>
      </c>
      <c r="W105" s="241" t="inlineStr">
        <is>
          <t>Criptas de Prata — Corredor dos Ecos</t>
        </is>
      </c>
      <c r="X105" s="243" t="n"/>
      <c r="Y105" s="241" t="inlineStr">
        <is>
          <t>Revela um atalho na cripta se poupada.</t>
        </is>
      </c>
      <c r="Z105" s="243" t="n"/>
      <c r="AA105" s="243" t="n"/>
    </row>
    <row r="106" ht="15" customHeight="1" s="116">
      <c r="A106" s="233" t="inlineStr">
        <is>
          <t>Prata</t>
        </is>
      </c>
      <c r="B106" s="234" t="inlineStr">
        <is>
          <t>Zumbi da Câmara Interna</t>
        </is>
      </c>
      <c r="C106" s="233" t="inlineStr">
        <is>
          <t>Comum</t>
        </is>
      </c>
      <c r="D106" s="235" t="n">
        <v>15</v>
      </c>
      <c r="E106" s="236">
        <f>ROUND(INDEX('Curva Mestra'!$F$20:$F$94,MATCH(D106,'Curva Mestra'!$A$20:$A$94,0)),0)</f>
        <v/>
      </c>
      <c r="F106" s="236">
        <f>ROUND(INDEX('Curva Mestra'!$C$20:$C$94,MATCH(D106,'Curva Mestra'!$A$20:$A$94,0))*INDEX($B$5:$B$8,MATCH(C106,$A$5:$A$8,0)),0)</f>
        <v/>
      </c>
      <c r="G106" s="236">
        <f>ROUND(INDEX('Curva Mestra'!$D$20:$D$94,MATCH(D106,'Curva Mestra'!$A$20:$A$94,0))+INDEX($C$5:$C$8,MATCH(C106,$A$5:$A$8,0)),0)</f>
        <v/>
      </c>
      <c r="H106" s="237" t="inlineStr">
        <is>
          <t>Zumbi da parte mais profunda da cripta.</t>
        </is>
      </c>
      <c r="I106" s="236" t="inlineStr">
        <is>
          <t>Aperto Rígido Forte</t>
        </is>
      </c>
      <c r="J106" s="235" t="inlineStr">
        <is>
          <t>Ignora Defesa (moderado).</t>
        </is>
      </c>
      <c r="K106" s="236" t="inlineStr">
        <is>
          <t>Enterrado mais fundo na cripta, mais preservado que os da câmara externa.</t>
        </is>
      </c>
      <c r="L106" s="238">
        <f>IF(C106="Comum",ROUND(E106*1.3,0),"—")</f>
        <v/>
      </c>
      <c r="M106" s="239">
        <f>IF(C106="Comum",ROUND(F106*1.15,0),"—")</f>
        <v/>
      </c>
      <c r="N106" s="240">
        <f>IF(C106="Comum",G106+2,"—")</f>
        <v/>
      </c>
      <c r="O106" s="239">
        <f>IF(C106="Comum",ROUND(E106*1.6,0),"—")</f>
        <v/>
      </c>
      <c r="P106" s="241">
        <f>IF(C106="Comum",ROUND(F106*1.3,0),"—")</f>
        <v/>
      </c>
      <c r="Q106" s="241">
        <f>IF(C106="Comum",G106+4,"—")</f>
        <v/>
      </c>
      <c r="R106" s="243" t="n"/>
      <c r="S106" s="241">
        <f>ROUND(3+0.6*D106+IF(C106="Comum",0,IF(C106="Elite",2,IF(C106="Boss",4,6))),0)</f>
        <v/>
      </c>
      <c r="T106" s="241" t="inlineStr">
        <is>
          <t>Ouro + Carne Preservada da Câmara Interna</t>
        </is>
      </c>
      <c r="U106" s="241" t="inlineStr">
        <is>
          <t>Ignora Defesa</t>
        </is>
      </c>
      <c r="V106" s="161" t="inlineStr">
        <is>
          <t>DPS</t>
        </is>
      </c>
      <c r="W106" s="161" t="inlineStr">
        <is>
          <t>Criptas de Prata — Câmara Interna</t>
        </is>
      </c>
      <c r="X106" s="242" t="n"/>
      <c r="Y106" s="242" t="n"/>
      <c r="Z106" s="242" t="n"/>
      <c r="AA106" s="242" t="n"/>
    </row>
    <row r="107" ht="15" customHeight="1" s="116">
      <c r="A107" s="233" t="inlineStr">
        <is>
          <t>Prata</t>
        </is>
      </c>
      <c r="B107" s="234" t="inlineStr">
        <is>
          <t>Cavaleiro Sem Nome Ferido</t>
        </is>
      </c>
      <c r="C107" s="233" t="inlineStr">
        <is>
          <t>Comum</t>
        </is>
      </c>
      <c r="D107" s="235" t="n">
        <v>15</v>
      </c>
      <c r="E107" s="236">
        <f>ROUND(INDEX('Curva Mestra'!$F$20:$F$94,MATCH(D107,'Curva Mestra'!$A$20:$A$94,0)),0)</f>
        <v/>
      </c>
      <c r="F107" s="236">
        <f>ROUND(INDEX('Curva Mestra'!$C$20:$C$94,MATCH(D107,'Curva Mestra'!$A$20:$A$94,0))*INDEX($B$5:$B$8,MATCH(C107,$A$5:$A$8,0)),0)</f>
        <v/>
      </c>
      <c r="G107" s="236">
        <f>ROUND(INDEX('Curva Mestra'!$D$20:$D$94,MATCH(D107,'Curva Mestra'!$A$20:$A$94,0))+INDEX($C$5:$C$8,MATCH(C107,$A$5:$A$8,0)),0)</f>
        <v/>
      </c>
      <c r="H107" s="237" t="inlineStr">
        <is>
          <t>Cavaleiro em pior estado que os demais.</t>
        </is>
      </c>
      <c r="I107" s="236" t="inlineStr">
        <is>
          <t>Golpe Trêmulo de Lâmina</t>
        </is>
      </c>
      <c r="J107" s="235" t="inlineStr">
        <is>
          <t>+15% de chance de acerto abaixo de 50% HP.</t>
        </is>
      </c>
      <c r="K107" s="236" t="inlineStr">
        <is>
          <t>Um dos cavaleiros esquecidos, mais danificado que os outros.</t>
        </is>
      </c>
      <c r="L107" s="238">
        <f>IF(C107="Comum",ROUND(E107*1.3,0),"—")</f>
        <v/>
      </c>
      <c r="M107" s="239">
        <f>IF(C107="Comum",ROUND(F107*1.15,0),"—")</f>
        <v/>
      </c>
      <c r="N107" s="240">
        <f>IF(C107="Comum",G107+2,"—")</f>
        <v/>
      </c>
      <c r="O107" s="239">
        <f>IF(C107="Comum",ROUND(E107*1.6,0),"—")</f>
        <v/>
      </c>
      <c r="P107" s="241">
        <f>IF(C107="Comum",ROUND(F107*1.3,0),"—")</f>
        <v/>
      </c>
      <c r="Q107" s="241">
        <f>IF(C107="Comum",G107+4,"—")</f>
        <v/>
      </c>
      <c r="R107" s="243" t="n"/>
      <c r="S107" s="241">
        <f>ROUND(3+0.6*D107+IF(C107="Comum",0,IF(C107="Elite",2,IF(C107="Boss",4,6))),0)</f>
        <v/>
      </c>
      <c r="T107" s="241" t="inlineStr">
        <is>
          <t>Ouro + Placa Rachada de Cavaleiro Ferido + Elmo Amassado de Cavaleiro</t>
        </is>
      </c>
      <c r="U107" s="241" t="inlineStr">
        <is>
          <t>Fragilidade</t>
        </is>
      </c>
      <c r="V107" s="161" t="inlineStr">
        <is>
          <t>DPS</t>
        </is>
      </c>
      <c r="W107" s="161" t="inlineStr">
        <is>
          <t>Criptas de Prata — Salão dos Cavaleiros</t>
        </is>
      </c>
      <c r="X107" s="242" t="n"/>
      <c r="Y107" s="242" t="n"/>
      <c r="Z107" s="242" t="n"/>
      <c r="AA107" s="242" t="n"/>
    </row>
    <row r="108" ht="15" customHeight="1" s="116">
      <c r="A108" s="233" t="inlineStr">
        <is>
          <t>Prata</t>
        </is>
      </c>
      <c r="B108" s="234" t="inlineStr">
        <is>
          <t>Escudeiro Recém-Amaldiçoado</t>
        </is>
      </c>
      <c r="C108" s="233" t="inlineStr">
        <is>
          <t>Comum</t>
        </is>
      </c>
      <c r="D108" s="235" t="n">
        <v>15</v>
      </c>
      <c r="E108" s="236">
        <f>ROUND(INDEX('Curva Mestra'!$F$20:$F$94,MATCH(D108,'Curva Mestra'!$A$20:$A$94,0)),0)</f>
        <v/>
      </c>
      <c r="F108" s="236">
        <f>ROUND(INDEX('Curva Mestra'!$C$20:$C$94,MATCH(D108,'Curva Mestra'!$A$20:$A$94,0))*INDEX($B$5:$B$8,MATCH(C108,$A$5:$A$8,0)),0)</f>
        <v/>
      </c>
      <c r="G108" s="236">
        <f>ROUND(INDEX('Curva Mestra'!$D$20:$D$94,MATCH(D108,'Curva Mestra'!$A$20:$A$94,0))+INDEX($C$5:$C$8,MATCH(C108,$A$5:$A$8,0)),0)</f>
        <v/>
      </c>
      <c r="H108" s="237" t="inlineStr">
        <is>
          <t>Escudeiro recém-caído na maldição.</t>
        </is>
      </c>
      <c r="I108" s="236" t="inlineStr">
        <is>
          <t>Escudada Fraca</t>
        </is>
      </c>
      <c r="J108" s="235" t="inlineStr">
        <is>
          <t>Fragilidade fraca.</t>
        </is>
      </c>
      <c r="K108" s="236" t="inlineStr">
        <is>
          <t>Morreu mais recentemente que o Escudeiro Amaldiçoado original.</t>
        </is>
      </c>
      <c r="L108" s="238">
        <f>IF(C108="Comum",ROUND(E108*1.3,0),"—")</f>
        <v/>
      </c>
      <c r="M108" s="239">
        <f>IF(C108="Comum",ROUND(F108*1.15,0),"—")</f>
        <v/>
      </c>
      <c r="N108" s="240">
        <f>IF(C108="Comum",G108+2,"—")</f>
        <v/>
      </c>
      <c r="O108" s="239">
        <f>IF(C108="Comum",ROUND(E108*1.6,0),"—")</f>
        <v/>
      </c>
      <c r="P108" s="241">
        <f>IF(C108="Comum",ROUND(F108*1.3,0),"—")</f>
        <v/>
      </c>
      <c r="Q108" s="241">
        <f>IF(C108="Comum",G108+4,"—")</f>
        <v/>
      </c>
      <c r="R108" s="243" t="n"/>
      <c r="S108" s="241">
        <f>ROUND(3+0.6*D108+IF(C108="Comum",0,IF(C108="Elite",2,IF(C108="Boss",4,6))),0)</f>
        <v/>
      </c>
      <c r="T108" s="241" t="inlineStr">
        <is>
          <t>Ouro + Escudo Rachado de Escudeiro Amaldiçoado</t>
        </is>
      </c>
      <c r="U108" s="241" t="inlineStr">
        <is>
          <t>Queimadura</t>
        </is>
      </c>
      <c r="V108" s="161" t="inlineStr">
        <is>
          <t>Tanque</t>
        </is>
      </c>
      <c r="W108" s="161" t="inlineStr">
        <is>
          <t>Criptas de Prata — Salão dos Cavaleiros</t>
        </is>
      </c>
      <c r="X108" s="242" t="n"/>
      <c r="Y108" s="242" t="n"/>
      <c r="Z108" s="242" t="n"/>
      <c r="AA108" s="242" t="n"/>
    </row>
    <row r="109" ht="15" customHeight="1" s="116">
      <c r="A109" s="241" t="inlineStr">
        <is>
          <t>Prata</t>
        </is>
      </c>
      <c r="B109" s="241" t="inlineStr">
        <is>
          <t>Zumbi da Cripta</t>
        </is>
      </c>
      <c r="C109" s="241" t="inlineStr">
        <is>
          <t>Comum</t>
        </is>
      </c>
      <c r="D109" s="241" t="n">
        <v>16</v>
      </c>
      <c r="E109" s="241">
        <f>ROUND(INDEX('Curva Mestra'!$F$20:$F$94,MATCH(D109,'Curva Mestra'!$A$20:$A$94,0)),0)</f>
        <v/>
      </c>
      <c r="F109" s="241">
        <f>ROUND(INDEX('Curva Mestra'!$C$20:$C$94,MATCH(D109,'Curva Mestra'!$A$20:$A$94,0))*INDEX($B$5:$B$8,MATCH(C109,$A$5:$A$8,0)),0)</f>
        <v/>
      </c>
      <c r="G109" s="241">
        <f>ROUND(INDEX('Curva Mestra'!$D$20:$D$94,MATCH(D109,'Curva Mestra'!$A$20:$A$94,0))+INDEX($C$5:$C$8,MATCH(C109,$A$5:$A$8,0)),0)</f>
        <v/>
      </c>
      <c r="H109" s="241" t="inlineStr">
        <is>
          <t>Ronda a regiao do tier Prata</t>
        </is>
      </c>
      <c r="I109" s="241" t="inlineStr">
        <is>
          <t>Mordida Cadavérica</t>
        </is>
      </c>
      <c r="J109" s="241" t="inlineStr">
        <is>
          <t>Sem efeito mecânico além do dano — ataque direto.</t>
        </is>
      </c>
      <c r="K109" s="241" t="inlineStr">
        <is>
          <t>Peregrino que morreu tentando fugir da vila antes do surto — sua voz sumiu junto com o resto de si mesmo.</t>
        </is>
      </c>
      <c r="L109" s="241">
        <f>IF(C109="Comum",ROUND(E109*1.3,0),"—")</f>
        <v/>
      </c>
      <c r="M109" s="241">
        <f>IF(C109="Comum",ROUND(F109*1.15,0),"—")</f>
        <v/>
      </c>
      <c r="N109" s="241">
        <f>IF(C109="Comum",G109+2,"—")</f>
        <v/>
      </c>
      <c r="O109" s="241">
        <f>IF(C109="Comum",ROUND(E109*1.6,0),"—")</f>
        <v/>
      </c>
      <c r="P109" s="241">
        <f>IF(C109="Comum",ROUND(F109*1.3,0),"—")</f>
        <v/>
      </c>
      <c r="Q109" s="241">
        <f>IF(C109="Comum",G109+4,"—")</f>
        <v/>
      </c>
      <c r="R109" s="161" t="inlineStr">
        <is>
          <t>O Expurgo da Cripta; As Vozes Que Não Calam</t>
        </is>
      </c>
      <c r="S109" s="241">
        <f>ROUND(INDEX('Curva Mestra'!$D$20:$D$94,MATCH(D109,'Curva Mestra'!$A$20:$A$94,0))-IF(C109="Comum",9,IF(C109="Elite",6,IF(C109="Boss",4,3))),0)</f>
        <v/>
      </c>
      <c r="T109" s="241" t="inlineStr">
        <is>
          <t>Ouro + Farrapo de Peregrino Silenciado + Pó de Ectoplasma Cristalizado (chance rara)</t>
        </is>
      </c>
      <c r="U109" s="241" t="inlineStr">
        <is>
          <t>Vulnerável a Prata — armas de Prata ignoram 2 de Defesa a mais nele.</t>
        </is>
      </c>
      <c r="V109" s="243" t="inlineStr">
        <is>
          <t>DPS</t>
        </is>
      </c>
      <c r="W109" s="243" t="inlineStr">
        <is>
          <t>Criptas de Prata</t>
        </is>
      </c>
      <c r="X109" s="243" t="n"/>
      <c r="Y109" s="243" t="n"/>
      <c r="Z109" s="243" t="n"/>
      <c r="AA109" s="243" t="n"/>
    </row>
    <row r="110" ht="15" customHeight="1" s="116">
      <c r="A110" s="241" t="inlineStr">
        <is>
          <t>Prata</t>
        </is>
      </c>
      <c r="B110" s="241" t="inlineStr">
        <is>
          <t>Espectro Sussurrante</t>
        </is>
      </c>
      <c r="C110" s="241" t="inlineStr">
        <is>
          <t>Comum</t>
        </is>
      </c>
      <c r="D110" s="241" t="n">
        <v>16</v>
      </c>
      <c r="E110" s="241">
        <f>ROUND(INDEX('Curva Mestra'!$F$20:$F$94,MATCH(D110,'Curva Mestra'!$A$20:$A$94,0)),0)</f>
        <v/>
      </c>
      <c r="F110" s="241">
        <f>ROUND(INDEX('Curva Mestra'!$C$20:$C$94,MATCH(D110,'Curva Mestra'!$A$20:$A$94,0))*INDEX($B$5:$B$8,MATCH(C110,$A$5:$A$8,0)),0)</f>
        <v/>
      </c>
      <c r="G110" s="241">
        <f>ROUND(INDEX('Curva Mestra'!$D$20:$D$94,MATCH(D110,'Curva Mestra'!$A$20:$A$94,0))+INDEX($C$5:$C$8,MATCH(C110,$A$5:$A$8,0)),0)</f>
        <v/>
      </c>
      <c r="H110" s="241" t="inlineStr">
        <is>
          <t>Habita o corredor dos ecos das criptas.</t>
        </is>
      </c>
      <c r="I110" s="241" t="inlineStr">
        <is>
          <t>Sussurro Gélido</t>
        </is>
      </c>
      <c r="J110" s="241" t="inlineStr">
        <is>
          <t>Atordoamento (20% de chance).</t>
        </is>
      </c>
      <c r="K110" s="241" t="inlineStr">
        <is>
          <t>Fala baixo demais pra entender — só o medo que causa é real.</t>
        </is>
      </c>
      <c r="L110" s="241">
        <f>IF(C110="Comum",ROUND(E110*1.3,0),"—")</f>
        <v/>
      </c>
      <c r="M110" s="241">
        <f>IF(C110="Comum",ROUND(F110*1.15,0),"—")</f>
        <v/>
      </c>
      <c r="N110" s="241">
        <f>IF(C110="Comum",G110+2,"—")</f>
        <v/>
      </c>
      <c r="O110" s="241">
        <f>IF(C110="Comum",ROUND(E110*1.6,0),"—")</f>
        <v/>
      </c>
      <c r="P110" s="241">
        <f>IF(C110="Comum",ROUND(F110*1.3,0),"—")</f>
        <v/>
      </c>
      <c r="Q110" s="241">
        <f>IF(C110="Comum",G110+4,"—")</f>
        <v/>
      </c>
      <c r="R110" s="242" t="n"/>
      <c r="S110" s="241">
        <f>ROUND(3+0.6*D110+IF(C110="Comum",0,IF(C110="Elite",2,IF(C110="Boss",4,6))),0)</f>
        <v/>
      </c>
      <c r="T110" s="241" t="inlineStr">
        <is>
          <t>Sussurro Preso em Névoa</t>
        </is>
      </c>
      <c r="U110" s="241" t="inlineStr">
        <is>
          <t>Ignora Resistência Mágica</t>
        </is>
      </c>
      <c r="V110" s="241" t="inlineStr">
        <is>
          <t>Controle</t>
        </is>
      </c>
      <c r="W110" s="241" t="inlineStr">
        <is>
          <t>Criptas de Prata — Corredor dos Ecos</t>
        </is>
      </c>
      <c r="X110" s="243" t="n"/>
      <c r="Y110" s="243" t="n"/>
      <c r="Z110" s="243" t="n"/>
      <c r="AA110" s="243" t="n"/>
    </row>
    <row r="111" ht="15" customHeight="1" s="116">
      <c r="A111" s="241" t="inlineStr">
        <is>
          <t>Prata</t>
        </is>
      </c>
      <c r="B111" s="241" t="inlineStr">
        <is>
          <t>Devoto Recém-Convertido</t>
        </is>
      </c>
      <c r="C111" s="241" t="inlineStr">
        <is>
          <t>Comum</t>
        </is>
      </c>
      <c r="D111" s="241" t="n">
        <v>16</v>
      </c>
      <c r="E111" s="241">
        <f>ROUND(INDEX('Curva Mestra'!$F$20:$F$94,MATCH(D111,'Curva Mestra'!$A$20:$A$94,0)),0)</f>
        <v/>
      </c>
      <c r="F111" s="241">
        <f>ROUND(INDEX('Curva Mestra'!$C$20:$C$94,MATCH(D111,'Curva Mestra'!$A$20:$A$94,0))*INDEX($B$5:$B$8,MATCH(C111,$A$5:$A$8,0)),0)</f>
        <v/>
      </c>
      <c r="G111" s="241">
        <f>ROUND(INDEX('Curva Mestra'!$D$20:$D$94,MATCH(D111,'Curva Mestra'!$A$20:$A$94,0))+INDEX($C$5:$C$8,MATCH(C111,$A$5:$A$8,0)),0)</f>
        <v/>
      </c>
      <c r="H111" s="241" t="inlineStr">
        <is>
          <t>Novo na Fraternidade, ainda na câmara externa.</t>
        </is>
      </c>
      <c r="I111" s="241" t="inlineStr">
        <is>
          <t>Golpe Contido</t>
        </is>
      </c>
      <c r="J111" s="241" t="inlineStr">
        <is>
          <t>Nenhum — 20% de chance de recusar lutar se abordado em silêncio.</t>
        </is>
      </c>
      <c r="K111" s="241" t="inlineStr">
        <is>
          <t>Entrou pra Fraternidade fugindo de uma dívida, não por fé.</t>
        </is>
      </c>
      <c r="L111" s="241">
        <f>IF(C111="Comum",ROUND(E111*1.3,0),"—")</f>
        <v/>
      </c>
      <c r="M111" s="241">
        <f>IF(C111="Comum",ROUND(F111*1.15,0),"—")</f>
        <v/>
      </c>
      <c r="N111" s="241">
        <f>IF(C111="Comum",G111+2,"—")</f>
        <v/>
      </c>
      <c r="O111" s="241">
        <f>IF(C111="Comum",ROUND(E111*1.6,0),"—")</f>
        <v/>
      </c>
      <c r="P111" s="241">
        <f>IF(C111="Comum",ROUND(F111*1.3,0),"—")</f>
        <v/>
      </c>
      <c r="Q111" s="241">
        <f>IF(C111="Comum",G111+4,"—")</f>
        <v/>
      </c>
      <c r="R111" s="242" t="n"/>
      <c r="S111" s="241">
        <f>ROUND(3+0.6*D111+IF(C111="Comum",0,IF(C111="Elite",2,IF(C111="Boss",4,6))),0)</f>
        <v/>
      </c>
      <c r="T111" s="241" t="inlineStr">
        <is>
          <t>Ouro + Colar de Dívida do Devoto</t>
        </is>
      </c>
      <c r="U111" s="241" t="inlineStr">
        <is>
          <t>Atordoamento</t>
        </is>
      </c>
      <c r="V111" s="241" t="inlineStr">
        <is>
          <t>Não-hostil condicional</t>
        </is>
      </c>
      <c r="W111" s="241" t="inlineStr">
        <is>
          <t>Criptas de Prata — Câmara Externa</t>
        </is>
      </c>
      <c r="X111" s="243" t="n"/>
      <c r="Y111" s="241" t="inlineStr">
        <is>
          <t>Se abordado sem combate, pode desertar (quest).</t>
        </is>
      </c>
      <c r="Z111" s="241" t="inlineStr">
        <is>
          <t>A Milícia dos Desamparados aceita desertores da Fraternidade.</t>
        </is>
      </c>
      <c r="AA111" s="243" t="n"/>
    </row>
    <row r="112" ht="15" customHeight="1" s="116">
      <c r="A112" s="241" t="inlineStr">
        <is>
          <t>Prata</t>
        </is>
      </c>
      <c r="B112" s="241" t="inlineStr">
        <is>
          <t>Cavaleiro Sem Nome</t>
        </is>
      </c>
      <c r="C112" s="241" t="inlineStr">
        <is>
          <t>Comum</t>
        </is>
      </c>
      <c r="D112" s="241" t="n">
        <v>16</v>
      </c>
      <c r="E112" s="241">
        <f>ROUND(INDEX('Curva Mestra'!$F$20:$F$94,MATCH(D112,'Curva Mestra'!$A$20:$A$94,0)),0)</f>
        <v/>
      </c>
      <c r="F112" s="241">
        <f>ROUND(INDEX('Curva Mestra'!$C$20:$C$94,MATCH(D112,'Curva Mestra'!$A$20:$A$94,0))*INDEX($B$5:$B$8,MATCH(C112,$A$5:$A$8,0)),0)</f>
        <v/>
      </c>
      <c r="G112" s="241">
        <f>ROUND(INDEX('Curva Mestra'!$D$20:$D$94,MATCH(D112,'Curva Mestra'!$A$20:$A$94,0))+INDEX($C$5:$C$8,MATCH(C112,$A$5:$A$8,0)),0)</f>
        <v/>
      </c>
      <c r="H112" s="241" t="inlineStr">
        <is>
          <t>Um dos muitos no salão dos cavaleiros das criptas.</t>
        </is>
      </c>
      <c r="I112" s="241" t="inlineStr">
        <is>
          <t>Golpe de Lâmina Cega</t>
        </is>
      </c>
      <c r="J112" s="241" t="inlineStr">
        <is>
          <t>Nenhum efeito adicional.</t>
        </is>
      </c>
      <c r="K112" s="241" t="inlineStr">
        <is>
          <t>Um dos muitos que juraram lealdade e foram esquecidos junto com o juramento.</t>
        </is>
      </c>
      <c r="L112" s="241">
        <f>IF(C112="Comum",ROUND(E112*1.3,0),"—")</f>
        <v/>
      </c>
      <c r="M112" s="241">
        <f>IF(C112="Comum",ROUND(F112*1.15,0),"—")</f>
        <v/>
      </c>
      <c r="N112" s="241">
        <f>IF(C112="Comum",G112+2,"—")</f>
        <v/>
      </c>
      <c r="O112" s="241">
        <f>IF(C112="Comum",ROUND(E112*1.6,0),"—")</f>
        <v/>
      </c>
      <c r="P112" s="241">
        <f>IF(C112="Comum",ROUND(F112*1.3,0),"—")</f>
        <v/>
      </c>
      <c r="Q112" s="241">
        <f>IF(C112="Comum",G112+4,"—")</f>
        <v/>
      </c>
      <c r="R112" s="242" t="n"/>
      <c r="S112" s="241">
        <f>ROUND(3+0.6*D112+IF(C112="Comum",0,IF(C112="Elite",2,IF(C112="Boss",4,6))),0)</f>
        <v/>
      </c>
      <c r="T112" s="241" t="inlineStr">
        <is>
          <t>Ouro + Placa Esquecida de Cavaleiro + Juramento Partido em Metal</t>
        </is>
      </c>
      <c r="U112" s="241" t="inlineStr">
        <is>
          <t>Ignora Defesa</t>
        </is>
      </c>
      <c r="V112" s="241" t="inlineStr">
        <is>
          <t>DPS</t>
        </is>
      </c>
      <c r="W112" s="241" t="inlineStr">
        <is>
          <t>Criptas de Prata — Salão dos Cavaleiros</t>
        </is>
      </c>
      <c r="X112" s="243" t="n"/>
      <c r="Y112" s="243" t="n"/>
      <c r="Z112" s="243" t="n"/>
      <c r="AA112" s="243" t="n"/>
    </row>
    <row r="113" ht="15" customHeight="1" s="116">
      <c r="A113" s="241" t="inlineStr">
        <is>
          <t>Prata</t>
        </is>
      </c>
      <c r="B113" s="241" t="inlineStr">
        <is>
          <t>Verme do Sudário</t>
        </is>
      </c>
      <c r="C113" s="241" t="inlineStr">
        <is>
          <t>Comum</t>
        </is>
      </c>
      <c r="D113" s="241" t="n">
        <v>16</v>
      </c>
      <c r="E113" s="241">
        <f>ROUND(INDEX('Curva Mestra'!$F$20:$F$94,MATCH(D113,'Curva Mestra'!$A$20:$A$94,0)),0)</f>
        <v/>
      </c>
      <c r="F113" s="241">
        <f>ROUND(INDEX('Curva Mestra'!$C$20:$C$94,MATCH(D113,'Curva Mestra'!$A$20:$A$94,0))*INDEX($B$5:$B$8,MATCH(C113,$A$5:$A$8,0)),0)</f>
        <v/>
      </c>
      <c r="G113" s="241">
        <f>ROUND(INDEX('Curva Mestra'!$D$20:$D$94,MATCH(D113,'Curva Mestra'!$A$20:$A$94,0))+INDEX($C$5:$C$8,MATCH(C113,$A$5:$A$8,0)),0)</f>
        <v/>
      </c>
      <c r="H113" s="241" t="inlineStr">
        <is>
          <t>Vive junto às Aparições do Sudário na câmara externa.</t>
        </is>
      </c>
      <c r="I113" s="241" t="inlineStr">
        <is>
          <t>Picada Pálida</t>
        </is>
      </c>
      <c r="J113" s="241" t="inlineStr">
        <is>
          <t>Veneno — só aparece perto de Aparição do Sudário.</t>
        </is>
      </c>
      <c r="K113" s="241" t="inlineStr">
        <is>
          <t>Vive nas mortalhas, se alimenta do que resta da carne.</t>
        </is>
      </c>
      <c r="L113" s="241">
        <f>IF(C113="Comum",ROUND(E113*1.3,0),"—")</f>
        <v/>
      </c>
      <c r="M113" s="241">
        <f>IF(C113="Comum",ROUND(F113*1.15,0),"—")</f>
        <v/>
      </c>
      <c r="N113" s="241">
        <f>IF(C113="Comum",G113+2,"—")</f>
        <v/>
      </c>
      <c r="O113" s="241">
        <f>IF(C113="Comum",ROUND(E113*1.6,0),"—")</f>
        <v/>
      </c>
      <c r="P113" s="241">
        <f>IF(C113="Comum",ROUND(F113*1.3,0),"—")</f>
        <v/>
      </c>
      <c r="Q113" s="241">
        <f>IF(C113="Comum",G113+4,"—")</f>
        <v/>
      </c>
      <c r="R113" s="242" t="n"/>
      <c r="S113" s="241">
        <f>ROUND(3+0.6*D113+IF(C113="Comum",0,IF(C113="Elite",2,IF(C113="Boss",4,6))),0)</f>
        <v/>
      </c>
      <c r="T113" s="241" t="inlineStr">
        <is>
          <t>Fio de Sudário Roído</t>
        </is>
      </c>
      <c r="U113" s="241" t="inlineStr">
        <is>
          <t>Queimadura</t>
        </is>
      </c>
      <c r="V113" s="241" t="inlineStr">
        <is>
          <t>Parasita</t>
        </is>
      </c>
      <c r="W113" s="241" t="inlineStr">
        <is>
          <t>Criptas de Prata — Câmara Externa, só com Aparição presente</t>
        </is>
      </c>
      <c r="X113" s="243" t="n"/>
      <c r="Y113" s="243" t="n"/>
      <c r="Z113" s="243" t="n"/>
      <c r="AA113" s="243" t="n"/>
    </row>
    <row r="114" ht="15" customHeight="1" s="116">
      <c r="A114" s="241" t="inlineStr">
        <is>
          <t>Prata</t>
        </is>
      </c>
      <c r="B114" s="241" t="inlineStr">
        <is>
          <t>Aparição Menor</t>
        </is>
      </c>
      <c r="C114" s="241" t="inlineStr">
        <is>
          <t>Comum</t>
        </is>
      </c>
      <c r="D114" s="241" t="n">
        <v>16</v>
      </c>
      <c r="E114" s="241">
        <f>ROUND(INDEX('Curva Mestra'!$F$20:$F$94,MATCH(D114,'Curva Mestra'!$A$20:$A$94,0)),0)</f>
        <v/>
      </c>
      <c r="F114" s="241">
        <f>ROUND(INDEX('Curva Mestra'!$C$20:$C$94,MATCH(D114,'Curva Mestra'!$A$20:$A$94,0))*INDEX($B$5:$B$8,MATCH(C114,$A$5:$A$8,0)),0)</f>
        <v/>
      </c>
      <c r="G114" s="241">
        <f>ROUND(INDEX('Curva Mestra'!$D$20:$D$94,MATCH(D114,'Curva Mestra'!$A$20:$A$94,0))+INDEX($C$5:$C$8,MATCH(C114,$A$5:$A$8,0)),0)</f>
        <v/>
      </c>
      <c r="H114" s="241" t="inlineStr">
        <is>
          <t>Formada nos corredores dos ecos das criptas.</t>
        </is>
      </c>
      <c r="I114" s="241" t="inlineStr">
        <is>
          <t>Toque Frio</t>
        </is>
      </c>
      <c r="J114" s="241" t="inlineStr">
        <is>
          <t>Lentidão (perde ação de movimento).</t>
        </is>
      </c>
      <c r="K114" s="241" t="inlineStr">
        <is>
          <t>Fragmento fraco de uma Aparição maior, se formou sozinho.</t>
        </is>
      </c>
      <c r="L114" s="241">
        <f>IF(C114="Comum",ROUND(E114*1.3,0),"—")</f>
        <v/>
      </c>
      <c r="M114" s="241">
        <f>IF(C114="Comum",ROUND(F114*1.15,0),"—")</f>
        <v/>
      </c>
      <c r="N114" s="241">
        <f>IF(C114="Comum",G114+2,"—")</f>
        <v/>
      </c>
      <c r="O114" s="241">
        <f>IF(C114="Comum",ROUND(E114*1.6,0),"—")</f>
        <v/>
      </c>
      <c r="P114" s="241">
        <f>IF(C114="Comum",ROUND(F114*1.3,0),"—")</f>
        <v/>
      </c>
      <c r="Q114" s="241">
        <f>IF(C114="Comum",G114+4,"—")</f>
        <v/>
      </c>
      <c r="R114" s="242" t="n"/>
      <c r="S114" s="241">
        <f>ROUND(3+0.6*D114+IF(C114="Comum",0,IF(C114="Elite",2,IF(C114="Boss",4,6))),0)</f>
        <v/>
      </c>
      <c r="T114" s="241" t="inlineStr">
        <is>
          <t>Resíduo Espectral de Aparição Menor</t>
        </is>
      </c>
      <c r="U114" s="241" t="inlineStr">
        <is>
          <t>Queimadura</t>
        </is>
      </c>
      <c r="V114" s="241" t="inlineStr">
        <is>
          <t>Controle</t>
        </is>
      </c>
      <c r="W114" s="241" t="inlineStr">
        <is>
          <t>Criptas de Prata — Corredor dos Ecos</t>
        </is>
      </c>
      <c r="X114" s="243" t="n"/>
      <c r="Y114" s="243" t="n"/>
      <c r="Z114" s="243" t="n"/>
      <c r="AA114" s="243" t="n"/>
    </row>
    <row r="115" ht="15" customHeight="1" s="116">
      <c r="A115" s="233" t="inlineStr">
        <is>
          <t>Prata</t>
        </is>
      </c>
      <c r="B115" s="234" t="inlineStr">
        <is>
          <t>Devoto Silencioso Menor</t>
        </is>
      </c>
      <c r="C115" s="233" t="inlineStr">
        <is>
          <t>Comum</t>
        </is>
      </c>
      <c r="D115" s="235" t="n">
        <v>16</v>
      </c>
      <c r="E115" s="236">
        <f>ROUND(INDEX('Curva Mestra'!$F$20:$F$94,MATCH(D115,'Curva Mestra'!$A$20:$A$94,0)),0)</f>
        <v/>
      </c>
      <c r="F115" s="236">
        <f>ROUND(INDEX('Curva Mestra'!$C$20:$C$94,MATCH(D115,'Curva Mestra'!$A$20:$A$94,0))*INDEX($B$5:$B$8,MATCH(C115,$A$5:$A$8,0)),0)</f>
        <v/>
      </c>
      <c r="G115" s="236">
        <f>ROUND(INDEX('Curva Mestra'!$D$20:$D$94,MATCH(D115,'Curva Mestra'!$A$20:$A$94,0))+INDEX($C$5:$C$8,MATCH(C115,$A$5:$A$8,0)),0)</f>
        <v/>
      </c>
      <c r="H115" s="237" t="inlineStr">
        <is>
          <t>Devoto recém-chegado à Fraternidade.</t>
        </is>
      </c>
      <c r="I115" s="236" t="inlineStr">
        <is>
          <t>Golpe Contido Fraco</t>
        </is>
      </c>
      <c r="J115" s="235" t="inlineStr">
        <is>
          <t>Nenhum efeito adicional.</t>
        </is>
      </c>
      <c r="K115" s="236" t="inlineStr">
        <is>
          <t>Novato entre os Devotos Silenciosos, ainda aprendendo a conter a própria voz.</t>
        </is>
      </c>
      <c r="L115" s="238">
        <f>IF(C115="Comum",ROUND(E115*1.3,0),"—")</f>
        <v/>
      </c>
      <c r="M115" s="239">
        <f>IF(C115="Comum",ROUND(F115*1.15,0),"—")</f>
        <v/>
      </c>
      <c r="N115" s="240">
        <f>IF(C115="Comum",G115+2,"—")</f>
        <v/>
      </c>
      <c r="O115" s="239">
        <f>IF(C115="Comum",ROUND(E115*1.6,0),"—")</f>
        <v/>
      </c>
      <c r="P115" s="241">
        <f>IF(C115="Comum",ROUND(F115*1.3,0),"—")</f>
        <v/>
      </c>
      <c r="Q115" s="241">
        <f>IF(C115="Comum",G115+4,"—")</f>
        <v/>
      </c>
      <c r="R115" s="243" t="n"/>
      <c r="S115" s="241">
        <f>ROUND(3+0.6*D115+IF(C115="Comum",0,IF(C115="Elite",2,IF(C115="Boss",4,6))),0)</f>
        <v/>
      </c>
      <c r="T115" s="241" t="inlineStr">
        <is>
          <t>Ouro + Mordaça de Aprendiz</t>
        </is>
      </c>
      <c r="U115" s="241" t="inlineStr">
        <is>
          <t>Atordoamento</t>
        </is>
      </c>
      <c r="V115" s="161" t="inlineStr">
        <is>
          <t>DPS fraco</t>
        </is>
      </c>
      <c r="W115" s="161" t="inlineStr">
        <is>
          <t>Criptas de Prata — Câmara Externa</t>
        </is>
      </c>
      <c r="X115" s="242" t="n"/>
      <c r="Y115" s="242" t="n"/>
      <c r="Z115" s="242" t="n"/>
      <c r="AA115" s="242" t="n"/>
    </row>
    <row r="116" ht="15" customHeight="1" s="116">
      <c r="A116" s="233" t="inlineStr">
        <is>
          <t>Prata</t>
        </is>
      </c>
      <c r="B116" s="234" t="inlineStr">
        <is>
          <t>Aparição da Entrada</t>
        </is>
      </c>
      <c r="C116" s="233" t="inlineStr">
        <is>
          <t>Comum</t>
        </is>
      </c>
      <c r="D116" s="235" t="n">
        <v>16</v>
      </c>
      <c r="E116" s="236">
        <f>ROUND(INDEX('Curva Mestra'!$F$20:$F$94,MATCH(D116,'Curva Mestra'!$A$20:$A$94,0)),0)</f>
        <v/>
      </c>
      <c r="F116" s="236">
        <f>ROUND(INDEX('Curva Mestra'!$C$20:$C$94,MATCH(D116,'Curva Mestra'!$A$20:$A$94,0))*INDEX($B$5:$B$8,MATCH(C116,$A$5:$A$8,0)),0)</f>
        <v/>
      </c>
      <c r="G116" s="236">
        <f>ROUND(INDEX('Curva Mestra'!$D$20:$D$94,MATCH(D116,'Curva Mestra'!$A$20:$A$94,0))+INDEX($C$5:$C$8,MATCH(C116,$A$5:$A$8,0)),0)</f>
        <v/>
      </c>
      <c r="H116" s="237" t="inlineStr">
        <is>
          <t>Aparição que vigia a entrada.</t>
        </is>
      </c>
      <c r="I116" s="236" t="inlineStr">
        <is>
          <t>Toque Frio da Entrada</t>
        </is>
      </c>
      <c r="J116" s="235" t="inlineStr">
        <is>
          <t>Lentidão.</t>
        </is>
      </c>
      <c r="K116" s="236" t="inlineStr">
        <is>
          <t>Fica sempre perto da entrada da cripta, a primeira coisa que os intrusos veem.</t>
        </is>
      </c>
      <c r="L116" s="238">
        <f>IF(C116="Comum",ROUND(E116*1.3,0),"—")</f>
        <v/>
      </c>
      <c r="M116" s="239">
        <f>IF(C116="Comum",ROUND(F116*1.15,0),"—")</f>
        <v/>
      </c>
      <c r="N116" s="240">
        <f>IF(C116="Comum",G116+2,"—")</f>
        <v/>
      </c>
      <c r="O116" s="239">
        <f>IF(C116="Comum",ROUND(E116*1.6,0),"—")</f>
        <v/>
      </c>
      <c r="P116" s="241">
        <f>IF(C116="Comum",ROUND(F116*1.3,0),"—")</f>
        <v/>
      </c>
      <c r="Q116" s="241">
        <f>IF(C116="Comum",G116+4,"—")</f>
        <v/>
      </c>
      <c r="R116" s="243" t="n"/>
      <c r="S116" s="241">
        <f>ROUND(3+0.6*D116+IF(C116="Comum",0,IF(C116="Elite",2,IF(C116="Boss",4,6))),0)</f>
        <v/>
      </c>
      <c r="T116" s="241" t="inlineStr">
        <is>
          <t>Névoa Fria da Entrada</t>
        </is>
      </c>
      <c r="U116" s="241" t="inlineStr">
        <is>
          <t>Queimadura</t>
        </is>
      </c>
      <c r="V116" s="161" t="inlineStr">
        <is>
          <t>Controle</t>
        </is>
      </c>
      <c r="W116" s="161" t="inlineStr">
        <is>
          <t>Criptas de Prata — Câmara Externa</t>
        </is>
      </c>
      <c r="X116" s="242" t="n"/>
      <c r="Y116" s="242" t="n"/>
      <c r="Z116" s="242" t="n"/>
      <c r="AA116" s="242" t="n"/>
    </row>
    <row r="117" ht="15" customHeight="1" s="116">
      <c r="A117" s="233" t="inlineStr">
        <is>
          <t>Prata</t>
        </is>
      </c>
      <c r="B117" s="234" t="inlineStr">
        <is>
          <t>Espectro Encapuzado</t>
        </is>
      </c>
      <c r="C117" s="233" t="inlineStr">
        <is>
          <t>Comum</t>
        </is>
      </c>
      <c r="D117" s="235" t="n">
        <v>17</v>
      </c>
      <c r="E117" s="236">
        <f>ROUND(INDEX('Curva Mestra'!$F$20:$F$94,MATCH(D117,'Curva Mestra'!$A$20:$A$94,0)),0)</f>
        <v/>
      </c>
      <c r="F117" s="236">
        <f>ROUND(INDEX('Curva Mestra'!$C$20:$C$94,MATCH(D117,'Curva Mestra'!$A$20:$A$94,0))*INDEX($B$5:$B$8,MATCH(C117,$A$5:$A$8,0)),0)</f>
        <v/>
      </c>
      <c r="G117" s="236">
        <f>ROUND(INDEX('Curva Mestra'!$D$20:$D$94,MATCH(D117,'Curva Mestra'!$A$20:$A$94,0))+INDEX($C$5:$C$8,MATCH(C117,$A$5:$A$8,0)),0)</f>
        <v/>
      </c>
      <c r="H117" s="237" t="inlineStr">
        <is>
          <t>Ronda a regiao do tier Prata</t>
        </is>
      </c>
      <c r="I117" s="236" t="inlineStr">
        <is>
          <t>Toque Gélido</t>
        </is>
      </c>
      <c r="J117" s="235" t="inlineStr">
        <is>
          <t>Sem efeito mecânico além do dano — ataque direto.</t>
        </is>
      </c>
      <c r="K117" s="236" t="inlineStr">
        <is>
          <t>Um dos primeiros seguidores da Fraternidade — cortou a língua tarde demais pra escapar do próprio silêncio.</t>
        </is>
      </c>
      <c r="L117" s="238">
        <f>IF(C117="Comum",ROUND(E117*1.3,0),"—")</f>
        <v/>
      </c>
      <c r="M117" s="239">
        <f>IF(C117="Comum",ROUND(F117*1.15,0),"—")</f>
        <v/>
      </c>
      <c r="N117" s="240">
        <f>IF(C117="Comum",G117+2,"—")</f>
        <v/>
      </c>
      <c r="O117" s="239">
        <f>IF(C117="Comum",ROUND(E117*1.6,0),"—")</f>
        <v/>
      </c>
      <c r="P117" s="241">
        <f>IF(C117="Comum",ROUND(F117*1.3,0),"—")</f>
        <v/>
      </c>
      <c r="Q117" s="241">
        <f>IF(C117="Comum",G117+4,"—")</f>
        <v/>
      </c>
      <c r="R117" s="241" t="inlineStr">
        <is>
          <t>As Vozes Que Não Calam</t>
        </is>
      </c>
      <c r="S117" s="241">
        <f>ROUND(INDEX('Curva Mestra'!$D$20:$D$94,MATCH(D117,'Curva Mestra'!$A$20:$A$94,0))-IF(C117="Comum",9,IF(C117="Elite",6,IF(C117="Boss",4,3))),0)</f>
        <v/>
      </c>
      <c r="T117" s="241" t="inlineStr">
        <is>
          <t>Ouro + Capuz Encardido de Espectro + Pó de Ectoplasma Cristalizado (chance rara)</t>
        </is>
      </c>
      <c r="U117" s="241" t="inlineStr">
        <is>
          <t>Vulnerável a Prata — armas de Prata ignoram 2 de Defesa a mais nele.</t>
        </is>
      </c>
      <c r="V117" s="242" t="inlineStr">
        <is>
          <t>DPS</t>
        </is>
      </c>
      <c r="W117" s="242" t="inlineStr">
        <is>
          <t>Criptas de Prata</t>
        </is>
      </c>
      <c r="X117" s="242" t="n"/>
      <c r="Y117" s="242" t="n"/>
      <c r="Z117" s="242" t="n"/>
      <c r="AA117" s="242" t="n"/>
    </row>
    <row r="118" ht="15" customHeight="1" s="116">
      <c r="A118" s="233" t="inlineStr">
        <is>
          <t>Prata</t>
        </is>
      </c>
      <c r="B118" s="234" t="inlineStr">
        <is>
          <t>Aparição do Sudário</t>
        </is>
      </c>
      <c r="C118" s="233" t="inlineStr">
        <is>
          <t>Comum</t>
        </is>
      </c>
      <c r="D118" s="235" t="n">
        <v>17</v>
      </c>
      <c r="E118" s="236">
        <f>ROUND(INDEX('Curva Mestra'!$F$20:$F$94,MATCH(D118,'Curva Mestra'!$A$20:$A$94,0)),0)</f>
        <v/>
      </c>
      <c r="F118" s="236">
        <f>ROUND(INDEX('Curva Mestra'!$C$20:$C$94,MATCH(D118,'Curva Mestra'!$A$20:$A$94,0))*INDEX($B$5:$B$8,MATCH(C118,$A$5:$A$8,0)),0)</f>
        <v/>
      </c>
      <c r="G118" s="236">
        <f>ROUND(INDEX('Curva Mestra'!$D$20:$D$94,MATCH(D118,'Curva Mestra'!$A$20:$A$94,0))+INDEX($C$5:$C$8,MATCH(C118,$A$5:$A$8,0)),0)</f>
        <v/>
      </c>
      <c r="H118" s="237" t="inlineStr">
        <is>
          <t>Ligado à Fraternidade dos Sem-Voz, região de Prata.</t>
        </is>
      </c>
      <c r="I118" s="236" t="inlineStr">
        <is>
          <t>Toque Gélido</t>
        </is>
      </c>
      <c r="J118" s="235" t="inlineStr">
        <is>
          <t>O herói não pode recuperar Mana no turno em que for atingido.</t>
        </is>
      </c>
      <c r="K118" s="236" t="inlineStr">
        <is>
          <t>Espírito silencioso que drena o calor dos vivos — não fala porque, na Fraternidade, falar era pecado.</t>
        </is>
      </c>
      <c r="L118" s="238">
        <f>IF(C118="Comum",ROUND(E118*1.3,0),"—")</f>
        <v/>
      </c>
      <c r="M118" s="239">
        <f>IF(C118="Comum",ROUND(F118*1.15,0),"—")</f>
        <v/>
      </c>
      <c r="N118" s="240">
        <f>IF(C118="Comum",G118+2,"—")</f>
        <v/>
      </c>
      <c r="O118" s="239">
        <f>IF(C118="Comum",ROUND(E118*1.6,0),"—")</f>
        <v/>
      </c>
      <c r="P118" s="241">
        <f>IF(C118="Comum",ROUND(F118*1.3,0),"—")</f>
        <v/>
      </c>
      <c r="Q118" s="241">
        <f>IF(C118="Comum",G118+4,"—")</f>
        <v/>
      </c>
      <c r="R118" s="241" t="inlineStr">
        <is>
          <t>As Vozes Que Não Calam</t>
        </is>
      </c>
      <c r="S118" s="241">
        <f>ROUND(INDEX('Curva Mestra'!$D$20:$D$94,MATCH(D118,'Curva Mestra'!$A$20:$A$94,0))-IF(C118="Comum",9,IF(C118="Elite",6,IF(C118="Boss",4,3))),0)</f>
        <v/>
      </c>
      <c r="T118" s="241" t="inlineStr">
        <is>
          <t>Ouro + Fio de Sudário Frio + Pó de Ectoplasma Cristalizado (chance rara)</t>
        </is>
      </c>
      <c r="U118" s="241" t="inlineStr">
        <is>
          <t>Vulnerável a Prata — armas de Prata ignoram 2 de Defesa a mais nele.</t>
        </is>
      </c>
      <c r="V118" s="242" t="inlineStr">
        <is>
          <t>DPS</t>
        </is>
      </c>
      <c r="W118" s="242" t="inlineStr">
        <is>
          <t>Criptas de Prata</t>
        </is>
      </c>
      <c r="X118" s="242" t="n"/>
      <c r="Y118" s="242" t="n"/>
      <c r="Z118" s="242" t="n"/>
      <c r="AA118" s="242" t="n"/>
    </row>
    <row r="119" ht="15" customHeight="1" s="116">
      <c r="A119" s="233" t="inlineStr">
        <is>
          <t>Prata</t>
        </is>
      </c>
      <c r="B119" s="234" t="inlineStr">
        <is>
          <t>Zumbi Devorador</t>
        </is>
      </c>
      <c r="C119" s="233" t="inlineStr">
        <is>
          <t>Comum</t>
        </is>
      </c>
      <c r="D119" s="235" t="n">
        <v>17</v>
      </c>
      <c r="E119" s="236">
        <f>ROUND(INDEX('Curva Mestra'!$F$20:$F$94,MATCH(D119,'Curva Mestra'!$A$20:$A$94,0)),0)</f>
        <v/>
      </c>
      <c r="F119" s="236">
        <f>ROUND(INDEX('Curva Mestra'!$C$20:$C$94,MATCH(D119,'Curva Mestra'!$A$20:$A$94,0))*INDEX($B$5:$B$8,MATCH(C119,$A$5:$A$8,0)),0)</f>
        <v/>
      </c>
      <c r="G119" s="236">
        <f>ROUND(INDEX('Curva Mestra'!$D$20:$D$94,MATCH(D119,'Curva Mestra'!$A$20:$A$94,0))+INDEX($C$5:$C$8,MATCH(C119,$A$5:$A$8,0)),0)</f>
        <v/>
      </c>
      <c r="H119" s="237" t="inlineStr">
        <is>
          <t>Ronda a câmara externa em busca do que sobra de outros combates.</t>
        </is>
      </c>
      <c r="I119" s="236" t="inlineStr">
        <is>
          <t>Mordida Voraz</t>
        </is>
      </c>
      <c r="J119" s="235" t="inlineStr">
        <is>
          <t>Cura 6 HP se houver cadáver no local (combate vencido ali antes).</t>
        </is>
      </c>
      <c r="K119" s="236" t="inlineStr">
        <is>
          <t>Come o que sobra dos outros mortos-vivos que caem na cripta.</t>
        </is>
      </c>
      <c r="L119" s="238">
        <f>IF(C119="Comum",ROUND(E119*1.3,0),"—")</f>
        <v/>
      </c>
      <c r="M119" s="239">
        <f>IF(C119="Comum",ROUND(F119*1.15,0),"—")</f>
        <v/>
      </c>
      <c r="N119" s="240">
        <f>IF(C119="Comum",G119+2,"—")</f>
        <v/>
      </c>
      <c r="O119" s="239">
        <f>IF(C119="Comum",ROUND(E119*1.6,0),"—")</f>
        <v/>
      </c>
      <c r="P119" s="241">
        <f>IF(C119="Comum",ROUND(F119*1.3,0),"—")</f>
        <v/>
      </c>
      <c r="Q119" s="241">
        <f>IF(C119="Comum",G119+4,"—")</f>
        <v/>
      </c>
      <c r="R119" s="243" t="n"/>
      <c r="S119" s="241">
        <f>ROUND(3+0.6*D119+IF(C119="Comum",0,IF(C119="Elite",2,IF(C119="Boss",4,6))),0)</f>
        <v/>
      </c>
      <c r="T119" s="241" t="inlineStr">
        <is>
          <t>Ouro + Presa Necrófaga de Zumbi Devorador</t>
        </is>
      </c>
      <c r="U119" s="241" t="inlineStr">
        <is>
          <t>Ignora Defesa</t>
        </is>
      </c>
      <c r="V119" s="161" t="inlineStr">
        <is>
          <t>Necrófago</t>
        </is>
      </c>
      <c r="W119" s="161" t="inlineStr">
        <is>
          <t>Criptas de Prata — Câmara Externa</t>
        </is>
      </c>
      <c r="X119" s="242" t="n"/>
      <c r="Y119" s="242" t="n"/>
      <c r="Z119" s="242" t="n"/>
      <c r="AA119" s="242" t="n"/>
    </row>
    <row r="120" ht="15" customHeight="1" s="116">
      <c r="A120" s="233" t="inlineStr">
        <is>
          <t>Prata</t>
        </is>
      </c>
      <c r="B120" s="234" t="inlineStr">
        <is>
          <t>Escudeiro Amaldiçoado</t>
        </is>
      </c>
      <c r="C120" s="233" t="inlineStr">
        <is>
          <t>Comum</t>
        </is>
      </c>
      <c r="D120" s="235" t="n">
        <v>17</v>
      </c>
      <c r="E120" s="236">
        <f>ROUND(INDEX('Curva Mestra'!$F$20:$F$94,MATCH(D120,'Curva Mestra'!$A$20:$A$94,0)),0)</f>
        <v/>
      </c>
      <c r="F120" s="236">
        <f>ROUND(INDEX('Curva Mestra'!$C$20:$C$94,MATCH(D120,'Curva Mestra'!$A$20:$A$94,0))*INDEX($B$5:$B$8,MATCH(C120,$A$5:$A$8,0)),0)</f>
        <v/>
      </c>
      <c r="G120" s="236">
        <f>ROUND(INDEX('Curva Mestra'!$D$20:$D$94,MATCH(D120,'Curva Mestra'!$A$20:$A$94,0))+INDEX($C$5:$C$8,MATCH(C120,$A$5:$A$8,0)),0)</f>
        <v/>
      </c>
      <c r="H120" s="237" t="inlineStr">
        <is>
          <t>Permanece perto de seu Cavaleiro no salão das criptas.</t>
        </is>
      </c>
      <c r="I120" s="236" t="inlineStr">
        <is>
          <t>Escudada Tardia</t>
        </is>
      </c>
      <c r="J120" s="235" t="inlineStr">
        <is>
          <t>Fragilidade — protege um Cavaleiro próximo, se houver.</t>
        </is>
      </c>
      <c r="K120" s="236" t="inlineStr">
        <is>
          <t>Morreu tentando proteger seu Cavaleiro. Ainda tenta.</t>
        </is>
      </c>
      <c r="L120" s="238">
        <f>IF(C120="Comum",ROUND(E120*1.3,0),"—")</f>
        <v/>
      </c>
      <c r="M120" s="239">
        <f>IF(C120="Comum",ROUND(F120*1.15,0),"—")</f>
        <v/>
      </c>
      <c r="N120" s="240">
        <f>IF(C120="Comum",G120+2,"—")</f>
        <v/>
      </c>
      <c r="O120" s="239">
        <f>IF(C120="Comum",ROUND(E120*1.6,0),"—")</f>
        <v/>
      </c>
      <c r="P120" s="241">
        <f>IF(C120="Comum",ROUND(F120*1.3,0),"—")</f>
        <v/>
      </c>
      <c r="Q120" s="241">
        <f>IF(C120="Comum",G120+4,"—")</f>
        <v/>
      </c>
      <c r="R120" s="243" t="n"/>
      <c r="S120" s="241">
        <f>ROUND(3+0.6*D120+IF(C120="Comum",0,IF(C120="Elite",2,IF(C120="Boss",4,6))),0)</f>
        <v/>
      </c>
      <c r="T120" s="241" t="inlineStr">
        <is>
          <t>Ouro + Escudo Amaldiçoado + Corrente de Lealdade Partida</t>
        </is>
      </c>
      <c r="U120" s="241" t="inlineStr">
        <is>
          <t>Queimadura</t>
        </is>
      </c>
      <c r="V120" s="161" t="inlineStr">
        <is>
          <t>Tanque/Suporte</t>
        </is>
      </c>
      <c r="W120" s="161" t="inlineStr">
        <is>
          <t>Criptas de Prata — Salão dos Cavaleiros</t>
        </is>
      </c>
      <c r="X120" s="242" t="n"/>
      <c r="Y120" s="161" t="inlineStr">
        <is>
          <t>+10% de Defesa a 1 Cavaleiro Amaldiçoado próximo, se vivo.</t>
        </is>
      </c>
      <c r="Z120" s="242" t="n"/>
      <c r="AA120" s="242" t="n"/>
    </row>
    <row r="121" ht="15" customHeight="1" s="116">
      <c r="A121" s="241" t="inlineStr">
        <is>
          <t>Prata</t>
        </is>
      </c>
      <c r="B121" s="241" t="inlineStr">
        <is>
          <t>Sino Menor</t>
        </is>
      </c>
      <c r="C121" s="241" t="inlineStr">
        <is>
          <t>Comum</t>
        </is>
      </c>
      <c r="D121" s="241" t="n">
        <v>17</v>
      </c>
      <c r="E121" s="241">
        <f>ROUND(INDEX('Curva Mestra'!$F$20:$F$94,MATCH(D121,'Curva Mestra'!$A$20:$A$94,0)),0)</f>
        <v/>
      </c>
      <c r="F121" s="241">
        <f>ROUND(INDEX('Curva Mestra'!$C$20:$C$94,MATCH(D121,'Curva Mestra'!$A$20:$A$94,0))*INDEX($B$5:$B$8,MATCH(C121,$A$5:$A$8,0)),0)</f>
        <v/>
      </c>
      <c r="G121" s="241">
        <f>ROUND(INDEX('Curva Mestra'!$D$20:$D$94,MATCH(D121,'Curva Mestra'!$A$20:$A$94,0))+INDEX($C$5:$C$8,MATCH(C121,$A$5:$A$8,0)),0)</f>
        <v/>
      </c>
      <c r="H121" s="241" t="inlineStr">
        <is>
          <t>Sino secundário, ressoa junto com o principal.</t>
        </is>
      </c>
      <c r="I121" s="241" t="inlineStr">
        <is>
          <t>Ressoar Fraco</t>
        </is>
      </c>
      <c r="J121" s="241" t="inlineStr">
        <is>
          <t>Atordoamento (15%) — só ativo perto do Sino principal.</t>
        </is>
      </c>
      <c r="K121" s="241" t="inlineStr">
        <is>
          <t>Eco menor do Sino da cripta, ressoa quando o principal toca.</t>
        </is>
      </c>
      <c r="L121" s="241">
        <f>IF(C121="Comum",ROUND(E121*1.3,0),"—")</f>
        <v/>
      </c>
      <c r="M121" s="241">
        <f>IF(C121="Comum",ROUND(F121*1.15,0),"—")</f>
        <v/>
      </c>
      <c r="N121" s="241">
        <f>IF(C121="Comum",G121+2,"—")</f>
        <v/>
      </c>
      <c r="O121" s="241">
        <f>IF(C121="Comum",ROUND(E121*1.6,0),"—")</f>
        <v/>
      </c>
      <c r="P121" s="241">
        <f>IF(C121="Comum",ROUND(F121*1.3,0),"—")</f>
        <v/>
      </c>
      <c r="Q121" s="241">
        <f>IF(C121="Comum",G121+4,"—")</f>
        <v/>
      </c>
      <c r="R121" s="242" t="n"/>
      <c r="S121" s="241">
        <f>ROUND(3+0.6*D121+IF(C121="Comum",0,IF(C121="Elite",2,IF(C121="Boss",4,6))),0)</f>
        <v/>
      </c>
      <c r="T121" s="241" t="inlineStr">
        <is>
          <t>Badalo Menor Rachado</t>
        </is>
      </c>
      <c r="U121" s="241" t="inlineStr">
        <is>
          <t>Ignora Resistência Mágica</t>
        </is>
      </c>
      <c r="V121" s="241" t="inlineStr">
        <is>
          <t>Condicional</t>
        </is>
      </c>
      <c r="W121" s="241" t="inlineStr">
        <is>
          <t>Criptas de Prata — Câmara do Sino, só perto do sino</t>
        </is>
      </c>
      <c r="X121" s="243" t="n"/>
      <c r="Y121" s="243" t="n"/>
      <c r="Z121" s="243" t="n"/>
      <c r="AA121" s="243" t="n"/>
    </row>
    <row r="122" ht="15" customHeight="1" s="116">
      <c r="A122" s="241" t="inlineStr">
        <is>
          <t>Prata</t>
        </is>
      </c>
      <c r="B122" s="241" t="inlineStr">
        <is>
          <t>Devoto Silencioso</t>
        </is>
      </c>
      <c r="C122" s="241" t="inlineStr">
        <is>
          <t>Comum</t>
        </is>
      </c>
      <c r="D122" s="241" t="n">
        <v>18</v>
      </c>
      <c r="E122" s="241">
        <f>ROUND(INDEX('Curva Mestra'!$F$20:$F$94,MATCH(D122,'Curva Mestra'!$A$20:$A$94,0)),0)</f>
        <v/>
      </c>
      <c r="F122" s="241">
        <f>ROUND(INDEX('Curva Mestra'!$C$20:$C$94,MATCH(D122,'Curva Mestra'!$A$20:$A$94,0))*INDEX($B$5:$B$8,MATCH(C122,$A$5:$A$8,0)),0)</f>
        <v/>
      </c>
      <c r="G122" s="241">
        <f>ROUND(INDEX('Curva Mestra'!$D$20:$D$94,MATCH(D122,'Curva Mestra'!$A$20:$A$94,0))+INDEX($C$5:$C$8,MATCH(C122,$A$5:$A$8,0)),0)</f>
        <v/>
      </c>
      <c r="H122" s="241" t="inlineStr">
        <is>
          <t>Ligado à Fraternidade dos Sem-Voz, região de Prata.</t>
        </is>
      </c>
      <c r="I122" s="241" t="inlineStr">
        <is>
          <t>Ataque Inesperado</t>
        </is>
      </c>
      <c r="J122" s="241" t="inlineStr">
        <is>
          <t>+2 no primeiro golpe se o alvo não percebeu a aproximação (ele não faz barulho nenhum).</t>
        </is>
      </c>
      <c r="K122" s="241" t="inlineStr">
        <is>
          <t>Cultista da Fraternidade que cortou a própria língua por fé — usa o silêncio como arma, não só como voto.</t>
        </is>
      </c>
      <c r="L122" s="241">
        <f>IF(C122="Comum",ROUND(E122*1.3,0),"—")</f>
        <v/>
      </c>
      <c r="M122" s="241">
        <f>IF(C122="Comum",ROUND(F122*1.15,0),"—")</f>
        <v/>
      </c>
      <c r="N122" s="241">
        <f>IF(C122="Comum",G122+2,"—")</f>
        <v/>
      </c>
      <c r="O122" s="241">
        <f>IF(C122="Comum",ROUND(E122*1.6,0),"—")</f>
        <v/>
      </c>
      <c r="P122" s="241">
        <f>IF(C122="Comum",ROUND(F122*1.3,0),"—")</f>
        <v/>
      </c>
      <c r="Q122" s="241">
        <f>IF(C122="Comum",G122+4,"—")</f>
        <v/>
      </c>
      <c r="R122" s="161" t="inlineStr">
        <is>
          <t>Descanso nas Catacumbas</t>
        </is>
      </c>
      <c r="S122" s="241">
        <f>ROUND(INDEX('Curva Mestra'!$D$20:$D$94,MATCH(D122,'Curva Mestra'!$A$20:$A$94,0))-IF(C122="Comum",9,IF(C122="Elite",6,IF(C122="Boss",4,3))),0)</f>
        <v/>
      </c>
      <c r="T122" s="241" t="inlineStr">
        <is>
          <t>Ouro + Língua Cortada Selada + Pó de Ectoplasma Cristalizado (chance rara)</t>
        </is>
      </c>
      <c r="U122" s="241" t="inlineStr">
        <is>
          <t>Perde o bônus de grupo se isolado dos outros cultistas em combate.</t>
        </is>
      </c>
      <c r="V122" s="243" t="inlineStr">
        <is>
          <t>DPS</t>
        </is>
      </c>
      <c r="W122" s="243" t="inlineStr">
        <is>
          <t>Criptas de Prata</t>
        </is>
      </c>
      <c r="X122" s="243" t="n"/>
      <c r="Y122" s="243" t="n"/>
      <c r="Z122" s="243" t="n"/>
      <c r="AA122" s="243" t="n"/>
    </row>
    <row r="123" ht="15" customHeight="1" s="116">
      <c r="A123" s="241" t="inlineStr">
        <is>
          <t>Prata</t>
        </is>
      </c>
      <c r="B123" s="241" t="inlineStr">
        <is>
          <t>Alma Presa no Sino</t>
        </is>
      </c>
      <c r="C123" s="241" t="inlineStr">
        <is>
          <t>Comum</t>
        </is>
      </c>
      <c r="D123" s="241" t="n">
        <v>18</v>
      </c>
      <c r="E123" s="241">
        <f>ROUND(INDEX('Curva Mestra'!$F$20:$F$94,MATCH(D123,'Curva Mestra'!$A$20:$A$94,0)),0)</f>
        <v/>
      </c>
      <c r="F123" s="241">
        <f>ROUND(INDEX('Curva Mestra'!$C$20:$C$94,MATCH(D123,'Curva Mestra'!$A$20:$A$94,0))*INDEX($B$5:$B$8,MATCH(C123,$A$5:$A$8,0)),0)</f>
        <v/>
      </c>
      <c r="G123" s="241">
        <f>ROUND(INDEX('Curva Mestra'!$D$20:$D$94,MATCH(D123,'Curva Mestra'!$A$20:$A$94,0))+INDEX($C$5:$C$8,MATCH(C123,$A$5:$A$8,0)),0)</f>
        <v/>
      </c>
      <c r="H123" s="241" t="inlineStr">
        <is>
          <t>Não se afasta da câmara do sino das criptas.</t>
        </is>
      </c>
      <c r="I123" s="241" t="inlineStr">
        <is>
          <t>Ressoar Fantasma</t>
        </is>
      </c>
      <c r="J123" s="241" t="inlineStr">
        <is>
          <t>Sangramento — só aparece perto do Sino da cripta.</t>
        </is>
      </c>
      <c r="K123" s="241" t="inlineStr">
        <is>
          <t>Morreu tocando o sino de aviso. Ainda tenta tocar.</t>
        </is>
      </c>
      <c r="L123" s="241">
        <f>IF(C123="Comum",ROUND(E123*1.3,0),"—")</f>
        <v/>
      </c>
      <c r="M123" s="241">
        <f>IF(C123="Comum",ROUND(F123*1.15,0),"—")</f>
        <v/>
      </c>
      <c r="N123" s="241">
        <f>IF(C123="Comum",G123+2,"—")</f>
        <v/>
      </c>
      <c r="O123" s="241">
        <f>IF(C123="Comum",ROUND(E123*1.6,0),"—")</f>
        <v/>
      </c>
      <c r="P123" s="241">
        <f>IF(C123="Comum",ROUND(F123*1.3,0),"—")</f>
        <v/>
      </c>
      <c r="Q123" s="241">
        <f>IF(C123="Comum",G123+4,"—")</f>
        <v/>
      </c>
      <c r="R123" s="242" t="n"/>
      <c r="S123" s="241">
        <f>ROUND(3+0.6*D123+IF(C123="Comum",0,IF(C123="Elite",2,IF(C123="Boss",4,6))),0)</f>
        <v/>
      </c>
      <c r="T123" s="241" t="inlineStr">
        <is>
          <t>Eco Preso no Metal</t>
        </is>
      </c>
      <c r="U123" s="241" t="inlineStr">
        <is>
          <t>Queimadura</t>
        </is>
      </c>
      <c r="V123" s="241" t="inlineStr">
        <is>
          <t>Condicional</t>
        </is>
      </c>
      <c r="W123" s="241" t="inlineStr">
        <is>
          <t>Criptas de Prata — Câmara do Sino, só perto do sino</t>
        </is>
      </c>
      <c r="X123" s="243" t="n"/>
      <c r="Y123" s="243" t="n"/>
      <c r="Z123" s="243" t="n"/>
      <c r="AA123" s="243" t="n"/>
    </row>
    <row r="124" ht="15" customHeight="1" s="116">
      <c r="A124" s="241" t="inlineStr">
        <is>
          <t>Prata</t>
        </is>
      </c>
      <c r="B124" s="241" t="inlineStr">
        <is>
          <t>Devoto Fanático</t>
        </is>
      </c>
      <c r="C124" s="241" t="inlineStr">
        <is>
          <t>Comum</t>
        </is>
      </c>
      <c r="D124" s="241" t="n">
        <v>18</v>
      </c>
      <c r="E124" s="241">
        <f>ROUND(INDEX('Curva Mestra'!$F$20:$F$94,MATCH(D124,'Curva Mestra'!$A$20:$A$94,0)),0)</f>
        <v/>
      </c>
      <c r="F124" s="241">
        <f>ROUND(INDEX('Curva Mestra'!$C$20:$C$94,MATCH(D124,'Curva Mestra'!$A$20:$A$94,0))*INDEX($B$5:$B$8,MATCH(C124,$A$5:$A$8,0)),0)</f>
        <v/>
      </c>
      <c r="G124" s="241">
        <f>ROUND(INDEX('Curva Mestra'!$D$20:$D$94,MATCH(D124,'Curva Mestra'!$A$20:$A$94,0))+INDEX($C$5:$C$8,MATCH(C124,$A$5:$A$8,0)),0)</f>
        <v/>
      </c>
      <c r="H124" s="241" t="inlineStr">
        <is>
          <t>Aguarda no corredor dos ecos, pronto para o sacrifício silencioso.</t>
        </is>
      </c>
      <c r="I124" s="241" t="inlineStr">
        <is>
          <t>Grito Sufocado</t>
        </is>
      </c>
      <c r="J124" s="241" t="inlineStr">
        <is>
          <t>Ao morrer, Atordoamento em área (todos no combate).</t>
        </is>
      </c>
      <c r="K124" s="241" t="inlineStr">
        <is>
          <t>Guardou o próprio grito a vida toda — sai tudo de uma vez na morte.</t>
        </is>
      </c>
      <c r="L124" s="241">
        <f>IF(C124="Comum",ROUND(E124*1.3,0),"—")</f>
        <v/>
      </c>
      <c r="M124" s="241">
        <f>IF(C124="Comum",ROUND(F124*1.15,0),"—")</f>
        <v/>
      </c>
      <c r="N124" s="241">
        <f>IF(C124="Comum",G124+2,"—")</f>
        <v/>
      </c>
      <c r="O124" s="241">
        <f>IF(C124="Comum",ROUND(E124*1.6,0),"—")</f>
        <v/>
      </c>
      <c r="P124" s="241">
        <f>IF(C124="Comum",ROUND(F124*1.3,0),"—")</f>
        <v/>
      </c>
      <c r="Q124" s="241">
        <f>IF(C124="Comum",G124+4,"—")</f>
        <v/>
      </c>
      <c r="R124" s="242" t="n"/>
      <c r="S124" s="241">
        <f>ROUND(3+0.6*D124+IF(C124="Comum",0,IF(C124="Elite",2,IF(C124="Boss",4,6))),0)</f>
        <v/>
      </c>
      <c r="T124" s="241" t="inlineStr">
        <is>
          <t>Grito Guardado do Devoto Fanático</t>
        </is>
      </c>
      <c r="U124" s="241" t="inlineStr">
        <is>
          <t>Lentidão</t>
        </is>
      </c>
      <c r="V124" s="241" t="inlineStr">
        <is>
          <t>Explosivo</t>
        </is>
      </c>
      <c r="W124" s="241" t="inlineStr">
        <is>
          <t>Criptas de Prata — Corredor dos Ecos</t>
        </is>
      </c>
      <c r="X124" s="243" t="n"/>
      <c r="Y124" s="243" t="n"/>
      <c r="Z124" s="243" t="n"/>
      <c r="AA124" s="243" t="n"/>
    </row>
    <row r="125" ht="15" customHeight="1" s="116">
      <c r="A125" s="241" t="inlineStr">
        <is>
          <t>Prata</t>
        </is>
      </c>
      <c r="B125" s="241" t="inlineStr">
        <is>
          <t>Cavaleiro Amaldicoado</t>
        </is>
      </c>
      <c r="C125" s="241" t="inlineStr">
        <is>
          <t>Elite</t>
        </is>
      </c>
      <c r="D125" s="241" t="n">
        <v>16</v>
      </c>
      <c r="E125" s="241">
        <f>ROUND(INDEX('Curva Mestra'!$G$20:$G$94,MATCH(D125,'Curva Mestra'!$A$20:$A$94,0)),0)</f>
        <v/>
      </c>
      <c r="F125" s="241">
        <f>ROUND(INDEX('Curva Mestra'!$C$20:$C$94,MATCH(D125,'Curva Mestra'!$A$20:$A$94,0))*INDEX($B$5:$B$8,MATCH(C125,$A$5:$A$8,0)),0)</f>
        <v/>
      </c>
      <c r="G125" s="241">
        <f>ROUND(INDEX('Curva Mestra'!$D$20:$D$94,MATCH(D125,'Curva Mestra'!$A$20:$A$94,0))+INDEX($C$5:$C$8,MATCH(C125,$A$5:$A$8,0)),0)</f>
        <v/>
      </c>
      <c r="H125" s="241" t="inlineStr">
        <is>
          <t>Encontro dificil dentro do tier Prata</t>
        </is>
      </c>
      <c r="I125" s="241" t="inlineStr">
        <is>
          <t>Golpe do Juramento Quebrado</t>
        </is>
      </c>
      <c r="J125" s="241" t="inlineStr">
        <is>
          <t>Cura 15% do dano causado como HP.</t>
        </is>
      </c>
      <c r="K125" s="241" t="inlineStr">
        <is>
          <t>Um paladino que jurou proteger as criptas antes da Fraternidade chegar — ainda cumpre o juramento, só que agora contra os vivos também.</t>
        </is>
      </c>
      <c r="L125" s="241">
        <f>IF(C125="Comum",ROUND(E125*1.3,0),"—")</f>
        <v/>
      </c>
      <c r="M125" s="241">
        <f>IF(C125="Comum",ROUND(F125*1.15,0),"—")</f>
        <v/>
      </c>
      <c r="N125" s="241">
        <f>IF(C125="Comum",G125+2,"—")</f>
        <v/>
      </c>
      <c r="O125" s="241">
        <f>IF(C125="Comum",ROUND(E125*1.6,0),"—")</f>
        <v/>
      </c>
      <c r="P125" s="241">
        <f>IF(C125="Comum",ROUND(F125*1.3,0),"—")</f>
        <v/>
      </c>
      <c r="Q125" s="241">
        <f>IF(C125="Comum",G125+4,"—")</f>
        <v/>
      </c>
      <c r="R125" s="161" t="inlineStr">
        <is>
          <t>O Expurgo da Cripta</t>
        </is>
      </c>
      <c r="S125" s="241">
        <f>ROUND(INDEX('Curva Mestra'!$D$20:$D$94,MATCH(D125,'Curva Mestra'!$A$20:$A$94,0))-IF(C125="Comum",9,IF(C125="Elite",6,IF(C125="Boss",4,3))),0)</f>
        <v/>
      </c>
      <c r="T125" s="241" t="inlineStr">
        <is>
          <t>Fragmento de Placa de Cavaleiro Amaldicoado + Ouro + Pó de Ectoplasma Cristalizado (chance baixa)</t>
        </is>
      </c>
      <c r="U125" s="241" t="inlineStr">
        <is>
          <t>Sem fraqueza óbvia — precisa de Knowledge alto pra descobrir algo específico.</t>
        </is>
      </c>
      <c r="V125" s="243" t="inlineStr">
        <is>
          <t>Suporte</t>
        </is>
      </c>
      <c r="W125" s="243" t="inlineStr">
        <is>
          <t>Criptas de Prata</t>
        </is>
      </c>
      <c r="X125" s="243" t="n"/>
      <c r="Y125" s="243" t="n"/>
      <c r="Z125" s="243" t="n"/>
      <c r="AA125" s="243" t="n"/>
    </row>
    <row r="126" ht="15" customHeight="1" s="116">
      <c r="A126" s="241" t="inlineStr">
        <is>
          <t>Prata</t>
        </is>
      </c>
      <c r="B126" s="241" t="inlineStr">
        <is>
          <t>Sino Falso</t>
        </is>
      </c>
      <c r="C126" s="241" t="inlineStr">
        <is>
          <t>Elite</t>
        </is>
      </c>
      <c r="D126" s="241" t="n">
        <v>17</v>
      </c>
      <c r="E126" s="241">
        <f>ROUND(INDEX('Curva Mestra'!$G$20:$G$94,MATCH(D126,'Curva Mestra'!$A$20:$A$94,0)),0)</f>
        <v/>
      </c>
      <c r="F126" s="241">
        <f>ROUND(INDEX('Curva Mestra'!$C$20:$C$94,MATCH(D126,'Curva Mestra'!$A$20:$A$94,0))*INDEX($B$5:$B$8,MATCH(C126,$A$5:$A$8,0)),0)</f>
        <v/>
      </c>
      <c r="G126" s="241">
        <f>ROUND(INDEX('Curva Mestra'!$D$20:$D$94,MATCH(D126,'Curva Mestra'!$A$20:$A$94,0))+INDEX($C$5:$C$8,MATCH(C126,$A$5:$A$8,0)),0)</f>
        <v/>
      </c>
      <c r="H126" s="241" t="inlineStr">
        <is>
          <t>Disfarçado na câmara do sino das criptas.</t>
        </is>
      </c>
      <c r="I126" s="241" t="inlineStr">
        <is>
          <t>Badalada Traiçoeira</t>
        </is>
      </c>
      <c r="J126" s="241" t="inlineStr">
        <is>
          <t>Ignora Defesa + jogador perde 1 turno de surpresa.</t>
        </is>
      </c>
      <c r="K126" s="241" t="inlineStr">
        <is>
          <t>A Fraternidade disfarça armadilhas de sino pra pegar intrusos.</t>
        </is>
      </c>
      <c r="L126" s="241">
        <f>IF(C126="Comum",ROUND(E126*1.3,0),"—")</f>
        <v/>
      </c>
      <c r="M126" s="241">
        <f>IF(C126="Comum",ROUND(F126*1.15,0),"—")</f>
        <v/>
      </c>
      <c r="N126" s="241">
        <f>IF(C126="Comum",G126+2,"—")</f>
        <v/>
      </c>
      <c r="O126" s="241">
        <f>IF(C126="Comum",ROUND(E126*1.6,0),"—")</f>
        <v/>
      </c>
      <c r="P126" s="241">
        <f>IF(C126="Comum",ROUND(F126*1.3,0),"—")</f>
        <v/>
      </c>
      <c r="Q126" s="241">
        <f>IF(C126="Comum",G126+4,"—")</f>
        <v/>
      </c>
      <c r="R126" s="242" t="n"/>
      <c r="S126" s="241">
        <f>ROUND(3+0.6*D126+IF(C126="Comum",0,IF(C126="Elite",2,IF(C126="Boss",4,6))),0)</f>
        <v/>
      </c>
      <c r="T126" s="241" t="inlineStr">
        <is>
          <t>Ouro + Veio de Prata Pálida (chance alta, x2) + Fragmento de Badalo Armadilhado</t>
        </is>
      </c>
      <c r="U126" s="241" t="inlineStr">
        <is>
          <t>Atordoamento</t>
        </is>
      </c>
      <c r="V126" s="241" t="inlineStr">
        <is>
          <t>Mímico</t>
        </is>
      </c>
      <c r="W126" s="241" t="inlineStr">
        <is>
          <t>Criptas de Prata — Câmara do Sino, 5% ao interagir</t>
        </is>
      </c>
      <c r="X126" s="243" t="n"/>
      <c r="Y126" s="243" t="n"/>
      <c r="Z126" s="243" t="n"/>
      <c r="AA126" s="241" t="inlineStr">
        <is>
          <t>Veio de Prata Pálida x2 (falso — some ao ser revelado, sem uso real)</t>
        </is>
      </c>
    </row>
    <row r="127" ht="15" customHeight="1" s="116">
      <c r="A127" s="241" t="inlineStr">
        <is>
          <t>Prata</t>
        </is>
      </c>
      <c r="B127" s="241" t="inlineStr">
        <is>
          <t>Confessor do Silêncio</t>
        </is>
      </c>
      <c r="C127" s="241" t="inlineStr">
        <is>
          <t>Elite</t>
        </is>
      </c>
      <c r="D127" s="241" t="n">
        <v>18</v>
      </c>
      <c r="E127" s="241">
        <f>ROUND(INDEX('Curva Mestra'!$G$20:$G$94,MATCH(D127,'Curva Mestra'!$A$20:$A$94,0)),0)</f>
        <v/>
      </c>
      <c r="F127" s="241">
        <f>ROUND(INDEX('Curva Mestra'!$C$20:$C$94,MATCH(D127,'Curva Mestra'!$A$20:$A$94,0))*INDEX($B$5:$B$8,MATCH(C127,$A$5:$A$8,0)),0)</f>
        <v/>
      </c>
      <c r="G127" s="241">
        <f>ROUND(INDEX('Curva Mestra'!$D$20:$D$94,MATCH(D127,'Curva Mestra'!$A$20:$A$94,0))+INDEX($C$5:$C$8,MATCH(C127,$A$5:$A$8,0)),0)</f>
        <v/>
      </c>
      <c r="H127" s="241" t="inlineStr">
        <is>
          <t>Ouve confissões no corredor dos ecos.</t>
        </is>
      </c>
      <c r="I127" s="241" t="inlineStr">
        <is>
          <t>Absolvição Forçada</t>
        </is>
      </c>
      <c r="J127" s="241" t="inlineStr">
        <is>
          <t>Cura 4 HP/turno em todos os Devotos vivos no combate.</t>
        </is>
      </c>
      <c r="K127" s="241" t="inlineStr">
        <is>
          <t>Ouve os pecados de quem a Fraternidade captura antes de silenciá-los.</t>
        </is>
      </c>
      <c r="L127" s="241">
        <f>IF(C127="Comum",ROUND(E127*1.3,0),"—")</f>
        <v/>
      </c>
      <c r="M127" s="241">
        <f>IF(C127="Comum",ROUND(F127*1.15,0),"—")</f>
        <v/>
      </c>
      <c r="N127" s="241">
        <f>IF(C127="Comum",G127+2,"—")</f>
        <v/>
      </c>
      <c r="O127" s="241">
        <f>IF(C127="Comum",ROUND(E127*1.6,0),"—")</f>
        <v/>
      </c>
      <c r="P127" s="241">
        <f>IF(C127="Comum",ROUND(F127*1.3,0),"—")</f>
        <v/>
      </c>
      <c r="Q127" s="241">
        <f>IF(C127="Comum",G127+4,"—")</f>
        <v/>
      </c>
      <c r="R127" s="242" t="n"/>
      <c r="S127" s="241">
        <f>ROUND(3+0.6*D127+IF(C127="Comum",0,IF(C127="Elite",2,IF(C127="Boss",4,6))),0)</f>
        <v/>
      </c>
      <c r="T127" s="241" t="inlineStr">
        <is>
          <t>Ouro + Fragmento de Confessor do Silêncio + Relicário de Confissões Guardadas + Pó de Ectoplasma Cristalizado (chance baixa)</t>
        </is>
      </c>
      <c r="U127" s="241" t="inlineStr">
        <is>
          <t>Ignora Resistência Mágica</t>
        </is>
      </c>
      <c r="V127" s="241" t="inlineStr">
        <is>
          <t>Suporte</t>
        </is>
      </c>
      <c r="W127" s="241" t="inlineStr">
        <is>
          <t>Criptas de Prata — Corredor dos Ecos</t>
        </is>
      </c>
      <c r="X127" s="243" t="n"/>
      <c r="Y127" s="243" t="n"/>
      <c r="Z127" s="243" t="n"/>
      <c r="AA127" s="243" t="n"/>
    </row>
    <row r="128" ht="15" customHeight="1" s="116">
      <c r="A128" s="241" t="inlineStr">
        <is>
          <t>Prata</t>
        </is>
      </c>
      <c r="B128" s="241" t="inlineStr">
        <is>
          <t>Alma Fugidia da Cripta</t>
        </is>
      </c>
      <c r="C128" s="241" t="inlineStr">
        <is>
          <t>Elite</t>
        </is>
      </c>
      <c r="D128" s="241" t="n">
        <v>18</v>
      </c>
      <c r="E128" s="241">
        <f>ROUND(INDEX('Curva Mestra'!$G$20:$G$94,MATCH(D128,'Curva Mestra'!$A$20:$A$94,0)),0)</f>
        <v/>
      </c>
      <c r="F128" s="241">
        <f>ROUND(INDEX('Curva Mestra'!$C$20:$C$94,MATCH(D128,'Curva Mestra'!$A$20:$A$94,0))*INDEX($B$5:$B$8,MATCH(C128,$A$5:$A$8,0)),0)</f>
        <v/>
      </c>
      <c r="G128" s="241">
        <f>ROUND(INDEX('Curva Mestra'!$D$20:$D$94,MATCH(D128,'Curva Mestra'!$A$20:$A$94,0))+INDEX($C$5:$C$8,MATCH(C128,$A$5:$A$8,0)),0)</f>
        <v/>
      </c>
      <c r="H128" s="241" t="inlineStr">
        <is>
          <t>Rara, vista tentando escapar das criptas.</t>
        </is>
      </c>
      <c r="I128" s="241" t="inlineStr">
        <is>
          <t>Fuga Espectral</t>
        </is>
      </c>
      <c r="J128" s="241" t="inlineStr">
        <is>
          <t>Não causa dano — foge no turno 3.</t>
        </is>
      </c>
      <c r="K128" s="241" t="inlineStr">
        <is>
          <t>Uma alma que ainda tenta escapar da cripta, séculos depois.</t>
        </is>
      </c>
      <c r="L128" s="241">
        <f>IF(C128="Comum",ROUND(E128*1.3,0),"—")</f>
        <v/>
      </c>
      <c r="M128" s="241">
        <f>IF(C128="Comum",ROUND(F128*1.15,0),"—")</f>
        <v/>
      </c>
      <c r="N128" s="241">
        <f>IF(C128="Comum",G128+2,"—")</f>
        <v/>
      </c>
      <c r="O128" s="241">
        <f>IF(C128="Comum",ROUND(E128*1.6,0),"—")</f>
        <v/>
      </c>
      <c r="P128" s="241">
        <f>IF(C128="Comum",ROUND(F128*1.3,0),"—")</f>
        <v/>
      </c>
      <c r="Q128" s="241">
        <f>IF(C128="Comum",G128+4,"—")</f>
        <v/>
      </c>
      <c r="R128" s="242" t="n"/>
      <c r="S128" s="241">
        <f>ROUND(3+0.6*D128+IF(C128="Comum",0,IF(C128="Elite",2,IF(C128="Boss",4,6))),0)</f>
        <v/>
      </c>
      <c r="T128" s="241" t="inlineStr">
        <is>
          <t>Ouro + Resíduo de Alma Fugidia</t>
        </is>
      </c>
      <c r="U128" s="241" t="inlineStr">
        <is>
          <t>Lentidão</t>
        </is>
      </c>
      <c r="V128" s="241" t="inlineStr">
        <is>
          <t>Superloot/Evasivo</t>
        </is>
      </c>
      <c r="W128" s="241" t="inlineStr">
        <is>
          <t>Criptas de Prata, spawn raro (2%)</t>
        </is>
      </c>
      <c r="X128" s="243" t="n"/>
      <c r="Y128" s="243" t="n"/>
      <c r="Z128" s="243" t="n"/>
      <c r="AA128" s="241" t="inlineStr">
        <is>
          <t>Metal Estriado Élfico (material de Tier 5) — correção: nome anterior 'Veio de Ferro Negro Cristalizado' não existia como material real; ajustado pra seguir a regra 141 (Superloot dropa material real do tier seguinte)</t>
        </is>
      </c>
    </row>
    <row r="129" ht="15" customHeight="1" s="116">
      <c r="A129" s="241" t="inlineStr">
        <is>
          <t>Prata</t>
        </is>
      </c>
      <c r="B129" s="241" t="inlineStr">
        <is>
          <t>Guarda-Costas Menor do Silêncio</t>
        </is>
      </c>
      <c r="C129" s="241" t="inlineStr">
        <is>
          <t>Elite</t>
        </is>
      </c>
      <c r="D129" s="241" t="n">
        <v>18</v>
      </c>
      <c r="E129" s="241">
        <f>ROUND(INDEX('Curva Mestra'!$G$20:$G$94,MATCH(D129,'Curva Mestra'!$A$20:$A$94,0)),0)</f>
        <v/>
      </c>
      <c r="F129" s="241">
        <f>ROUND(INDEX('Curva Mestra'!$C$20:$C$94,MATCH(D129,'Curva Mestra'!$A$20:$A$94,0))*INDEX($B$5:$B$8,MATCH(C129,$A$5:$A$8,0)),0)</f>
        <v/>
      </c>
      <c r="G129" s="241">
        <f>ROUND(INDEX('Curva Mestra'!$D$20:$D$94,MATCH(D129,'Curva Mestra'!$A$20:$A$94,0))+INDEX($C$5:$C$8,MATCH(C129,$A$5:$A$8,0)),0)</f>
        <v/>
      </c>
      <c r="H129" s="241" t="inlineStr">
        <is>
          <t>Aprendiz de guarda-costas da Fraternidade.</t>
        </is>
      </c>
      <c r="I129" s="241" t="inlineStr">
        <is>
          <t>Golpe Protetor Fraco</t>
        </is>
      </c>
      <c r="J129" s="241" t="inlineStr">
        <is>
          <t>Ignora Resistência Mágica (leve).</t>
        </is>
      </c>
      <c r="K129" s="241" t="inlineStr">
        <is>
          <t>Aprendiz do Guarda-Costas do Silêncio principal.</t>
        </is>
      </c>
      <c r="L129" s="241">
        <f>IF(C129="Comum",ROUND(E129*1.3,0),"—")</f>
        <v/>
      </c>
      <c r="M129" s="241">
        <f>IF(C129="Comum",ROUND(F129*1.15,0),"—")</f>
        <v/>
      </c>
      <c r="N129" s="241">
        <f>IF(C129="Comum",G129+2,"—")</f>
        <v/>
      </c>
      <c r="O129" s="241">
        <f>IF(C129="Comum",ROUND(E129*1.6,0),"—")</f>
        <v/>
      </c>
      <c r="P129" s="241">
        <f>IF(C129="Comum",ROUND(F129*1.3,0),"—")</f>
        <v/>
      </c>
      <c r="Q129" s="241">
        <f>IF(C129="Comum",G129+4,"—")</f>
        <v/>
      </c>
      <c r="R129" s="242" t="n"/>
      <c r="S129" s="241">
        <f>ROUND(3+0.6*D129+IF(C129="Comum",0,IF(C129="Elite",2,IF(C129="Boss",4,6))),0)</f>
        <v/>
      </c>
      <c r="T129" s="241" t="inlineStr">
        <is>
          <t>Ouro + Fragmento de Guarda-Costas Menor + Pó de Ectoplasma Cristalizado (chance baixa)</t>
        </is>
      </c>
      <c r="U129" s="241" t="inlineStr">
        <is>
          <t>Fragilidade</t>
        </is>
      </c>
      <c r="V129" s="241" t="inlineStr">
        <is>
          <t>Tanque</t>
        </is>
      </c>
      <c r="W129" s="241" t="inlineStr">
        <is>
          <t>Criptas de Prata — Corredor dos Ecos</t>
        </is>
      </c>
      <c r="X129" s="243" t="n"/>
      <c r="Y129" s="243" t="n"/>
      <c r="Z129" s="243" t="n"/>
      <c r="AA129" s="243" t="n"/>
    </row>
    <row r="130" ht="15" customHeight="1" s="116">
      <c r="A130" s="241" t="inlineStr">
        <is>
          <t>Prata</t>
        </is>
      </c>
      <c r="B130" s="241" t="inlineStr">
        <is>
          <t>Inquisidor do Silêncio</t>
        </is>
      </c>
      <c r="C130" s="241" t="inlineStr">
        <is>
          <t>Elite</t>
        </is>
      </c>
      <c r="D130" s="241" t="n">
        <v>19</v>
      </c>
      <c r="E130" s="241">
        <f>ROUND(INDEX('Curva Mestra'!$G$20:$G$94,MATCH(D130,'Curva Mestra'!$A$20:$A$94,0)),0)</f>
        <v/>
      </c>
      <c r="F130" s="241">
        <f>ROUND(INDEX('Curva Mestra'!$C$20:$C$94,MATCH(D130,'Curva Mestra'!$A$20:$A$94,0))*INDEX($B$5:$B$8,MATCH(C130,$A$5:$A$8,0)),0)</f>
        <v/>
      </c>
      <c r="G130" s="241">
        <f>ROUND(INDEX('Curva Mestra'!$D$20:$D$94,MATCH(D130,'Curva Mestra'!$A$20:$A$94,0))+INDEX($C$5:$C$8,MATCH(C130,$A$5:$A$8,0)),0)</f>
        <v/>
      </c>
      <c r="H130" s="241" t="inlineStr">
        <is>
          <t>Ligado à Fraternidade dos Sem-Voz, região de Prata.</t>
        </is>
      </c>
      <c r="I130" s="241" t="inlineStr">
        <is>
          <t>Corte Inaudível</t>
        </is>
      </c>
      <c r="J130" s="241" t="inlineStr">
        <is>
          <t>Ignora 2 pontos de Defesa de heróis com armadura pesada.</t>
        </is>
      </c>
      <c r="K130" s="241" t="inlineStr">
        <is>
          <t>Guerreiro que costurou os próprios lábios pra servir ao Ceifador — caça os últimos sacerdotes que ainda pregam em voz alta na região.</t>
        </is>
      </c>
      <c r="L130" s="241">
        <f>IF(C130="Comum",ROUND(E130*1.3,0),"—")</f>
        <v/>
      </c>
      <c r="M130" s="241">
        <f>IF(C130="Comum",ROUND(F130*1.15,0),"—")</f>
        <v/>
      </c>
      <c r="N130" s="241">
        <f>IF(C130="Comum",G130+2,"—")</f>
        <v/>
      </c>
      <c r="O130" s="241">
        <f>IF(C130="Comum",ROUND(E130*1.6,0),"—")</f>
        <v/>
      </c>
      <c r="P130" s="241">
        <f>IF(C130="Comum",ROUND(F130*1.3,0),"—")</f>
        <v/>
      </c>
      <c r="Q130" s="241">
        <f>IF(C130="Comum",G130+4,"—")</f>
        <v/>
      </c>
      <c r="R130" s="161" t="inlineStr">
        <is>
          <t>O Inquisidor Que Não Ouve Súplicas</t>
        </is>
      </c>
      <c r="S130" s="241">
        <f>ROUND(INDEX('Curva Mestra'!$D$20:$D$94,MATCH(D130,'Curva Mestra'!$A$20:$A$94,0))-IF(C130="Comum",9,IF(C130="Elite",6,IF(C130="Boss",4,3))),0)</f>
        <v/>
      </c>
      <c r="T130" s="241" t="inlineStr">
        <is>
          <t>Relicário de Inquisidor do Silêncio + Ouro + Pó de Ectoplasma Cristalizado (chance baixa)</t>
        </is>
      </c>
      <c r="U130" s="241" t="inlineStr">
        <is>
          <t>Vulnerável a Prata — armas de Prata ignoram 2 de Defesa a mais nele.</t>
        </is>
      </c>
      <c r="V130" s="243" t="inlineStr">
        <is>
          <t>DPS</t>
        </is>
      </c>
      <c r="W130" s="243" t="inlineStr">
        <is>
          <t>Criptas de Prata</t>
        </is>
      </c>
      <c r="X130" s="243" t="n"/>
      <c r="Y130" s="243" t="n"/>
      <c r="Z130" s="243" t="n"/>
      <c r="AA130" s="243" t="n"/>
    </row>
    <row r="131" ht="15" customHeight="1" s="116">
      <c r="A131" s="241" t="inlineStr">
        <is>
          <t>Prata</t>
        </is>
      </c>
      <c r="B131" s="241" t="inlineStr">
        <is>
          <t>Irmã Traidora</t>
        </is>
      </c>
      <c r="C131" s="241" t="inlineStr">
        <is>
          <t>Elite</t>
        </is>
      </c>
      <c r="D131" s="241" t="n">
        <v>19</v>
      </c>
      <c r="E131" s="241">
        <f>ROUND(INDEX('Curva Mestra'!$G$20:$G$94,MATCH(D131,'Curva Mestra'!$A$20:$A$94,0)),0)</f>
        <v/>
      </c>
      <c r="F131" s="241">
        <f>ROUND(INDEX('Curva Mestra'!$C$20:$C$94,MATCH(D131,'Curva Mestra'!$A$20:$A$94,0))*INDEX($B$5:$B$8,MATCH(C131,$A$5:$A$8,0)),0)</f>
        <v/>
      </c>
      <c r="G131" s="241">
        <f>ROUND(INDEX('Curva Mestra'!$D$20:$D$94,MATCH(D131,'Curva Mestra'!$A$20:$A$94,0))+INDEX($C$5:$C$8,MATCH(C131,$A$5:$A$8,0)),0)</f>
        <v/>
      </c>
      <c r="H131" s="241" t="inlineStr">
        <is>
          <t>Ligado à Fraternidade dos Sem-Voz, região de Prata.</t>
        </is>
      </c>
      <c r="I131" s="241" t="inlineStr">
        <is>
          <t>Grito Quebrado</t>
        </is>
      </c>
      <c r="J131" s="241" t="inlineStr">
        <is>
          <t>Uma vez por combate, pode gritar: cura 15 HP de si mesma, mas revela a posição dela por 1 turno (Defesa -2).</t>
        </is>
      </c>
      <c r="K131" s="241" t="inlineStr">
        <is>
          <t>Quebrou o voto de silêncio da Fraternidade por amor a um aldeão que seria sacrificado. Agora é caçada pelos dois lados.</t>
        </is>
      </c>
      <c r="L131" s="241">
        <f>IF(C131="Comum",ROUND(E131*1.3,0),"—")</f>
        <v/>
      </c>
      <c r="M131" s="241">
        <f>IF(C131="Comum",ROUND(F131*1.15,0),"—")</f>
        <v/>
      </c>
      <c r="N131" s="241">
        <f>IF(C131="Comum",G131+2,"—")</f>
        <v/>
      </c>
      <c r="O131" s="241">
        <f>IF(C131="Comum",ROUND(E131*1.6,0),"—")</f>
        <v/>
      </c>
      <c r="P131" s="241">
        <f>IF(C131="Comum",ROUND(F131*1.3,0),"—")</f>
        <v/>
      </c>
      <c r="Q131" s="241">
        <f>IF(C131="Comum",G131+4,"—")</f>
        <v/>
      </c>
      <c r="R131" s="161" t="inlineStr">
        <is>
          <t>A Irmã Traidora</t>
        </is>
      </c>
      <c r="S131" s="241">
        <f>ROUND(INDEX('Curva Mestra'!$D$20:$D$94,MATCH(D131,'Curva Mestra'!$A$20:$A$94,0))-IF(C131="Comum",9,IF(C131="Elite",6,IF(C131="Boss",4,3))),0)</f>
        <v/>
      </c>
      <c r="T131" s="241" t="inlineStr">
        <is>
          <t>Fragmento de Irmã Traidora + Ouro + Pó de Ectoplasma Cristalizado (chance baixa)</t>
        </is>
      </c>
      <c r="U131" s="241" t="inlineStr">
        <is>
          <t>Sem fraqueza óbvia — precisa de Knowledge alto pra descobrir algo específico.</t>
        </is>
      </c>
      <c r="V131" s="243" t="inlineStr">
        <is>
          <t>Suporte</t>
        </is>
      </c>
      <c r="W131" s="243" t="inlineStr">
        <is>
          <t>Criptas de Prata</t>
        </is>
      </c>
      <c r="X131" s="243" t="n"/>
      <c r="Y131" s="243" t="n"/>
      <c r="Z131" s="243" t="n"/>
      <c r="AA131" s="243" t="n"/>
    </row>
    <row r="132" ht="15" customHeight="1" s="116">
      <c r="A132" s="241" t="inlineStr">
        <is>
          <t>Prata</t>
        </is>
      </c>
      <c r="B132" s="241" t="inlineStr">
        <is>
          <t>Carrasco Silencioso</t>
        </is>
      </c>
      <c r="C132" s="241" t="inlineStr">
        <is>
          <t>Elite</t>
        </is>
      </c>
      <c r="D132" s="241" t="n">
        <v>19</v>
      </c>
      <c r="E132" s="241">
        <f>ROUND(INDEX('Curva Mestra'!$G$20:$G$94,MATCH(D132,'Curva Mestra'!$A$20:$A$94,0)),0)</f>
        <v/>
      </c>
      <c r="F132" s="241">
        <f>ROUND(INDEX('Curva Mestra'!$C$20:$C$94,MATCH(D132,'Curva Mestra'!$A$20:$A$94,0))*INDEX($B$5:$B$8,MATCH(C132,$A$5:$A$8,0)),0)</f>
        <v/>
      </c>
      <c r="G132" s="241">
        <f>ROUND(INDEX('Curva Mestra'!$D$20:$D$94,MATCH(D132,'Curva Mestra'!$A$20:$A$94,0))+INDEX($C$5:$C$8,MATCH(C132,$A$5:$A$8,0)),0)</f>
        <v/>
      </c>
      <c r="H132" s="241" t="inlineStr">
        <is>
          <t>Executa sentenças na câmara do sino.</t>
        </is>
      </c>
      <c r="I132" s="241" t="inlineStr">
        <is>
          <t>Corte sem Som</t>
        </is>
      </c>
      <c r="J132" s="241" t="inlineStr">
        <is>
          <t>Ignora Defesa + Sangramento.</t>
        </is>
      </c>
      <c r="K132" s="241" t="inlineStr">
        <is>
          <t>Executa quem a Fraternidade condena, sem 1 palavra.</t>
        </is>
      </c>
      <c r="L132" s="241">
        <f>IF(C132="Comum",ROUND(E132*1.3,0),"—")</f>
        <v/>
      </c>
      <c r="M132" s="241">
        <f>IF(C132="Comum",ROUND(F132*1.15,0),"—")</f>
        <v/>
      </c>
      <c r="N132" s="241">
        <f>IF(C132="Comum",G132+2,"—")</f>
        <v/>
      </c>
      <c r="O132" s="241">
        <f>IF(C132="Comum",ROUND(E132*1.6,0),"—")</f>
        <v/>
      </c>
      <c r="P132" s="241">
        <f>IF(C132="Comum",ROUND(F132*1.3,0),"—")</f>
        <v/>
      </c>
      <c r="Q132" s="241">
        <f>IF(C132="Comum",G132+4,"—")</f>
        <v/>
      </c>
      <c r="R132" s="242" t="n"/>
      <c r="S132" s="241">
        <f>ROUND(3+0.6*D132+IF(C132="Comum",0,IF(C132="Elite",2,IF(C132="Boss",4,6))),0)</f>
        <v/>
      </c>
      <c r="T132" s="241" t="inlineStr">
        <is>
          <t>Ouro + Fragmento de Carrasco Silencioso + Machado Silencioso Quebrado + Pó de Ectoplasma Cristalizado (chance baixa)</t>
        </is>
      </c>
      <c r="U132" s="241" t="inlineStr">
        <is>
          <t>Atordoamento</t>
        </is>
      </c>
      <c r="V132" s="241" t="inlineStr">
        <is>
          <t>Assassino</t>
        </is>
      </c>
      <c r="W132" s="241" t="inlineStr">
        <is>
          <t>Criptas de Prata — Câmara do Sino</t>
        </is>
      </c>
      <c r="X132" s="243" t="n"/>
      <c r="Y132" s="243" t="n"/>
      <c r="Z132" s="243" t="n"/>
      <c r="AA132" s="243" t="n"/>
    </row>
    <row r="133" ht="15" customHeight="1" s="116">
      <c r="A133" s="233" t="inlineStr">
        <is>
          <t>Prata</t>
        </is>
      </c>
      <c r="B133" s="234" t="inlineStr">
        <is>
          <t>Irmão Guardião, o Que Ainda Vigia</t>
        </is>
      </c>
      <c r="C133" s="233" t="inlineStr">
        <is>
          <t>Elite</t>
        </is>
      </c>
      <c r="D133" s="235" t="n">
        <v>19</v>
      </c>
      <c r="E133" s="236">
        <f>ROUND(INDEX('Curva Mestra'!$G$20:$G$94,MATCH(D133,'Curva Mestra'!$A$20:$A$94,0)),0)</f>
        <v/>
      </c>
      <c r="F133" s="236">
        <f>ROUND(INDEX('Curva Mestra'!$C$20:$C$94,MATCH(D133,'Curva Mestra'!$A$20:$A$94,0))*INDEX($B$5:$B$8,MATCH(C133,$A$5:$A$8,0)),0)</f>
        <v/>
      </c>
      <c r="G133" s="236">
        <f>ROUND(INDEX('Curva Mestra'!$D$20:$D$94,MATCH(D133,'Curva Mestra'!$A$20:$A$94,0))+INDEX($C$5:$C$8,MATCH(C133,$A$5:$A$8,0)),0)</f>
        <v/>
      </c>
      <c r="H133" s="237" t="inlineStr">
        <is>
          <t>Nunca se afasta da câmara do sino.</t>
        </is>
      </c>
      <c r="I133" s="236" t="inlineStr">
        <is>
          <t>Vigília Eterna</t>
        </is>
      </c>
      <c r="J133" s="235" t="inlineStr">
        <is>
          <t>Ignora Resistência Mágica + concede Lentidão a quem tenta fugir.</t>
        </is>
      </c>
      <c r="K133" s="236" t="inlineStr">
        <is>
          <t>Prometeu proteger o Sino até a Fraternidade cair. Ninguém disse quando parar.</t>
        </is>
      </c>
      <c r="L133" s="238">
        <f>IF(C133="Comum",ROUND(E133*1.3,0),"—")</f>
        <v/>
      </c>
      <c r="M133" s="239">
        <f>IF(C133="Comum",ROUND(F133*1.15,0),"—")</f>
        <v/>
      </c>
      <c r="N133" s="240">
        <f>IF(C133="Comum",G133+2,"—")</f>
        <v/>
      </c>
      <c r="O133" s="239">
        <f>IF(C133="Comum",ROUND(E133*1.6,0),"—")</f>
        <v/>
      </c>
      <c r="P133" s="241">
        <f>IF(C133="Comum",ROUND(F133*1.3,0),"—")</f>
        <v/>
      </c>
      <c r="Q133" s="241">
        <f>IF(C133="Comum",G133+4,"—")</f>
        <v/>
      </c>
      <c r="R133" s="243" t="n"/>
      <c r="S133" s="241">
        <f>ROUND(3+0.6*D133+IF(C133="Comum",0,IF(C133="Elite",2,IF(C133="Boss",4,6))),0)</f>
        <v/>
      </c>
      <c r="T133" s="241" t="inlineStr">
        <is>
          <t>Ouro + Fragmento do Último Vigia + Pó de Ectoplasma Cristalizado (chance baixa)</t>
        </is>
      </c>
      <c r="U133" s="241" t="inlineStr">
        <is>
          <t>Lentidão</t>
        </is>
      </c>
      <c r="V133" s="161" t="inlineStr">
        <is>
          <t>Nomeado / Mini-Boss</t>
        </is>
      </c>
      <c r="W133" s="161" t="inlineStr">
        <is>
          <t>Criptas de Prata — Câmara do Sino, spawn raro (4%)</t>
        </is>
      </c>
      <c r="X133" s="161" t="inlineStr">
        <is>
          <t>A 30% de HP oferece deixar o jogador passar em paz se ele prometer não tocar o Sino — dá Título se aceito.</t>
        </is>
      </c>
      <c r="Y133" s="242" t="n"/>
      <c r="Z133" s="242" t="n"/>
      <c r="AA133" s="161" t="inlineStr">
        <is>
          <t>Corda do Último Vigia (se derrotado em vez de negociado) [ver Artefatos e Relíquias]</t>
        </is>
      </c>
    </row>
    <row r="134" ht="15" customHeight="1" s="116">
      <c r="A134" s="233" t="inlineStr">
        <is>
          <t>Prata</t>
        </is>
      </c>
      <c r="B134" s="234" t="inlineStr">
        <is>
          <t>Guarda-Costas do Silêncio</t>
        </is>
      </c>
      <c r="C134" s="233" t="inlineStr">
        <is>
          <t>Elite</t>
        </is>
      </c>
      <c r="D134" s="235" t="n">
        <v>19</v>
      </c>
      <c r="E134" s="236">
        <f>ROUND(INDEX('Curva Mestra'!$G$20:$G$94,MATCH(D134,'Curva Mestra'!$A$20:$A$94,0)),0)</f>
        <v/>
      </c>
      <c r="F134" s="236">
        <f>ROUND(INDEX('Curva Mestra'!$C$20:$C$94,MATCH(D134,'Curva Mestra'!$A$20:$A$94,0))*INDEX($B$5:$B$8,MATCH(C134,$A$5:$A$8,0)),0)</f>
        <v/>
      </c>
      <c r="G134" s="236">
        <f>ROUND(INDEX('Curva Mestra'!$D$20:$D$94,MATCH(D134,'Curva Mestra'!$A$20:$A$94,0))+INDEX($C$5:$C$8,MATCH(C134,$A$5:$A$8,0)),0)</f>
        <v/>
      </c>
      <c r="H134" s="237" t="inlineStr">
        <is>
          <t>Protege o Confessor no corredor dos ecos.</t>
        </is>
      </c>
      <c r="I134" s="236" t="inlineStr">
        <is>
          <t>Golpe Protetor</t>
        </is>
      </c>
      <c r="J134" s="235" t="inlineStr">
        <is>
          <t>Ignora Defesa + protege o Confessor do Silêncio se ele estiver no combate.</t>
        </is>
      </c>
      <c r="K134" s="236" t="inlineStr">
        <is>
          <t>Escolhido pra proteger quem guarda os segredos confessados.</t>
        </is>
      </c>
      <c r="L134" s="238">
        <f>IF(C134="Comum",ROUND(E134*1.3,0),"—")</f>
        <v/>
      </c>
      <c r="M134" s="239">
        <f>IF(C134="Comum",ROUND(F134*1.15,0),"—")</f>
        <v/>
      </c>
      <c r="N134" s="240">
        <f>IF(C134="Comum",G134+2,"—")</f>
        <v/>
      </c>
      <c r="O134" s="239">
        <f>IF(C134="Comum",ROUND(E134*1.6,0),"—")</f>
        <v/>
      </c>
      <c r="P134" s="241">
        <f>IF(C134="Comum",ROUND(F134*1.3,0),"—")</f>
        <v/>
      </c>
      <c r="Q134" s="241">
        <f>IF(C134="Comum",G134+4,"—")</f>
        <v/>
      </c>
      <c r="R134" s="243" t="n"/>
      <c r="S134" s="241">
        <f>ROUND(3+0.6*D134+IF(C134="Comum",0,IF(C134="Elite",2,IF(C134="Boss",4,6))),0)</f>
        <v/>
      </c>
      <c r="T134" s="241" t="inlineStr">
        <is>
          <t>Ouro + Fragmento de Guarda-Costas do Silêncio + Pó de Ectoplasma Cristalizado (chance baixa)</t>
        </is>
      </c>
      <c r="U134" s="241" t="inlineStr">
        <is>
          <t>Ignora Resistência Mágica</t>
        </is>
      </c>
      <c r="V134" s="161" t="inlineStr">
        <is>
          <t>Tanque</t>
        </is>
      </c>
      <c r="W134" s="161" t="inlineStr">
        <is>
          <t>Criptas de Prata — Corredor dos Ecos</t>
        </is>
      </c>
      <c r="X134" s="242" t="n"/>
      <c r="Y134" s="161" t="inlineStr">
        <is>
          <t>Redireciona 1 ataque por turno pro Confessor, se presente.</t>
        </is>
      </c>
      <c r="Z134" s="242" t="n"/>
      <c r="AA134" s="242" t="n"/>
    </row>
    <row r="135" ht="15" customHeight="1" s="116">
      <c r="A135" s="233" t="inlineStr">
        <is>
          <t>Prata</t>
        </is>
      </c>
      <c r="B135" s="234" t="inlineStr">
        <is>
          <t>O Ceifador do Silêncio</t>
        </is>
      </c>
      <c r="C135" s="233" t="inlineStr">
        <is>
          <t>Boss</t>
        </is>
      </c>
      <c r="D135" s="235" t="n">
        <v>18</v>
      </c>
      <c r="E135" s="236">
        <f>ROUND(INDEX('Curva Mestra'!$H$20:$H$94,MATCH(D135,'Curva Mestra'!$A$20:$A$94,0)),0)</f>
        <v/>
      </c>
      <c r="F135" s="236">
        <f>ROUND(INDEX('Curva Mestra'!$C$20:$C$94,MATCH(D135,'Curva Mestra'!$A$20:$A$94,0))*INDEX($B$5:$B$8,MATCH(C135,$A$5:$A$8,0)),0)</f>
        <v/>
      </c>
      <c r="G135" s="236">
        <f>ROUND(INDEX('Curva Mestra'!$D$20:$D$94,MATCH(D135,'Curva Mestra'!$A$20:$A$94,0))+INDEX($C$5:$C$8,MATCH(C135,$A$5:$A$8,0)),0)</f>
        <v/>
      </c>
      <c r="H135" s="237" t="inlineStr">
        <is>
          <t>Chefe / marco final do tier Prata</t>
        </is>
      </c>
      <c r="I135" s="236" t="inlineStr">
        <is>
          <t>Toque Mudo</t>
        </is>
      </c>
      <c r="J135" s="235" t="inlineStr">
        <is>
          <t>Aplica Imobilização Grave (2 turnos, sem conjurar magia) ao acertar.</t>
        </is>
      </c>
      <c r="K135" s="236" t="inlineStr">
        <is>
          <t>A entidade que a Fraternidade dos Sem-Voz venera e teme ao mesmo tempo — dizem que ele ceifa a voz de quem grita antes de morrer.</t>
        </is>
      </c>
      <c r="L135" s="238">
        <f>IF(C135="Comum",ROUND(E135*1.3,0),"—")</f>
        <v/>
      </c>
      <c r="M135" s="239">
        <f>IF(C135="Comum",ROUND(F135*1.15,0),"—")</f>
        <v/>
      </c>
      <c r="N135" s="240">
        <f>IF(C135="Comum",G135+2,"—")</f>
        <v/>
      </c>
      <c r="O135" s="239">
        <f>IF(C135="Comum",ROUND(E135*1.6,0),"—")</f>
        <v/>
      </c>
      <c r="P135" s="241">
        <f>IF(C135="Comum",ROUND(F135*1.3,0),"—")</f>
        <v/>
      </c>
      <c r="Q135" s="241">
        <f>IF(C135="Comum",G135+4,"—")</f>
        <v/>
      </c>
      <c r="R135" s="241" t="inlineStr">
        <is>
          <t>O Expurgo da Cripta</t>
        </is>
      </c>
      <c r="S135" s="241">
        <f>ROUND(INDEX('Curva Mestra'!$D$20:$D$94,MATCH(D135,'Curva Mestra'!$A$20:$A$94,0))-IF(C135="Comum",9,IF(C135="Elite",6,IF(C135="Boss",4,3))),0)</f>
        <v/>
      </c>
      <c r="T135" s="241" t="inlineStr">
        <is>
          <t>Resíduo Espectral de O Ceifador do Silêncio + Essência de O Ceifador do Silêncio + Ouro + Pó de Ectoplasma Cristalizado (chance baixa)</t>
        </is>
      </c>
      <c r="U135" s="241" t="inlineStr">
        <is>
          <t>Vulnerável a Prata — armas de Prata ignoram 2 de Defesa a mais nele.</t>
        </is>
      </c>
      <c r="V135" s="242" t="inlineStr">
        <is>
          <t>Controle</t>
        </is>
      </c>
      <c r="W135" s="242" t="inlineStr">
        <is>
          <t>Criptas de Prata</t>
        </is>
      </c>
      <c r="X135" s="242" t="n"/>
      <c r="Y135" s="242" t="n"/>
      <c r="Z135" s="242" t="n"/>
      <c r="AA135" s="242" t="n"/>
    </row>
    <row r="136" ht="15" customHeight="1" s="116">
      <c r="A136" s="241" t="inlineStr">
        <is>
          <t>Prata</t>
        </is>
      </c>
      <c r="B136" s="241" t="inlineStr">
        <is>
          <t>Guardião do Sino</t>
        </is>
      </c>
      <c r="C136" s="241" t="inlineStr">
        <is>
          <t>Boss</t>
        </is>
      </c>
      <c r="D136" s="241" t="n">
        <v>20</v>
      </c>
      <c r="E136" s="241">
        <f>ROUND(INDEX('Curva Mestra'!$H$20:$H$94,MATCH(D136,'Curva Mestra'!$A$20:$A$94,0)),0)</f>
        <v/>
      </c>
      <c r="F136" s="241">
        <f>ROUND(INDEX('Curva Mestra'!$C$20:$C$94,MATCH(D136,'Curva Mestra'!$A$20:$A$94,0))*INDEX($B$5:$B$8,MATCH(C136,$A$5:$A$8,0)),0)</f>
        <v/>
      </c>
      <c r="G136" s="241">
        <f>ROUND(INDEX('Curva Mestra'!$D$20:$D$94,MATCH(D136,'Curva Mestra'!$A$20:$A$94,0))+INDEX($C$5:$C$8,MATCH(C136,$A$5:$A$8,0)),0)</f>
        <v/>
      </c>
      <c r="H136" s="241" t="inlineStr">
        <is>
          <t>Ligado à Fraternidade dos Sem-Voz, região de Prata.</t>
        </is>
      </c>
      <c r="I136" s="241" t="inlineStr">
        <is>
          <t>Ecoar Fatal</t>
        </is>
      </c>
      <c r="J136" s="241" t="inlineStr">
        <is>
          <t>Ao ser atingido, causa 5 de dano a todos no combate — inclusive aliados dele (o som fere igual). Também aplica: Cura 15% do dano causado como HP.</t>
        </is>
      </c>
      <c r="K136" s="241" t="inlineStr">
        <is>
          <t>Protege "O Sino Que Não Deve Tocar" há gerações. Não sabe mais se guarda o sino do mundo, ou o mundo do sino.</t>
        </is>
      </c>
      <c r="L136" s="241">
        <f>IF(C136="Comum",ROUND(E136*1.3,0),"—")</f>
        <v/>
      </c>
      <c r="M136" s="241">
        <f>IF(C136="Comum",ROUND(F136*1.15,0),"—")</f>
        <v/>
      </c>
      <c r="N136" s="241">
        <f>IF(C136="Comum",G136+2,"—")</f>
        <v/>
      </c>
      <c r="O136" s="241">
        <f>IF(C136="Comum",ROUND(E136*1.6,0),"—")</f>
        <v/>
      </c>
      <c r="P136" s="241">
        <f>IF(C136="Comum",ROUND(F136*1.3,0),"—")</f>
        <v/>
      </c>
      <c r="Q136" s="241">
        <f>IF(C136="Comum",G136+4,"—")</f>
        <v/>
      </c>
      <c r="R136" s="161" t="inlineStr">
        <is>
          <t>O Sino Que Não Deve Tocar</t>
        </is>
      </c>
      <c r="S136" s="241">
        <f>ROUND(INDEX('Curva Mestra'!$D$20:$D$94,MATCH(D136,'Curva Mestra'!$A$20:$A$94,0))-IF(C136="Comum",9,IF(C136="Elite",6,IF(C136="Boss",4,3))),0)</f>
        <v/>
      </c>
      <c r="T136" s="241" t="inlineStr">
        <is>
          <t>Núcleo de Guardião do Sino + Essência de Guardião do Sino + Ouro + Pó de Ectoplasma Cristalizado (chance baixa)</t>
        </is>
      </c>
      <c r="U136" s="241" t="inlineStr">
        <is>
          <t>Vulnerável a Ignora Resistência Mágica — segue ordens antigas, sem vontade própria pra resistir.</t>
        </is>
      </c>
      <c r="V136" s="243" t="inlineStr">
        <is>
          <t>Suporte</t>
        </is>
      </c>
      <c r="W136" s="243" t="inlineStr">
        <is>
          <t>Criptas de Prata</t>
        </is>
      </c>
      <c r="X136" s="243" t="n"/>
      <c r="Y136" s="243" t="n"/>
      <c r="Z136" s="243" t="n"/>
      <c r="AA136" s="243" t="inlineStr">
        <is>
          <t>O Sino Que Não Deve Tocar</t>
        </is>
      </c>
    </row>
    <row r="137" ht="15" customHeight="1" s="116">
      <c r="A137" s="241" t="inlineStr">
        <is>
          <t>Aco Elfico</t>
        </is>
      </c>
      <c r="B137" s="241" t="inlineStr">
        <is>
          <t>Sentinela Quebrada</t>
        </is>
      </c>
      <c r="C137" s="241" t="inlineStr">
        <is>
          <t>Comum</t>
        </is>
      </c>
      <c r="D137" s="241" t="n">
        <v>20</v>
      </c>
      <c r="E137" s="241">
        <f>ROUND(INDEX('Curva Mestra'!$F$20:$F$94,MATCH(D137,'Curva Mestra'!$A$20:$A$94,0)),0)</f>
        <v/>
      </c>
      <c r="F137" s="241">
        <f>ROUND(INDEX('Curva Mestra'!$C$20:$C$94,MATCH(D137,'Curva Mestra'!$A$20:$A$94,0))*INDEX($B$5:$B$8,MATCH(C137,$A$5:$A$8,0)),0)</f>
        <v/>
      </c>
      <c r="G137" s="241">
        <f>ROUND(INDEX('Curva Mestra'!$D$20:$D$94,MATCH(D137,'Curva Mestra'!$A$20:$A$94,0))+INDEX($C$5:$C$8,MATCH(C137,$A$5:$A$8,0)),0)</f>
        <v/>
      </c>
      <c r="H137" s="241" t="inlineStr">
        <is>
          <t>Abandonada no pátio externo das ruínas há séculos.</t>
        </is>
      </c>
      <c r="I137" s="241" t="inlineStr">
        <is>
          <t>Golpe Instável</t>
        </is>
      </c>
      <c r="J137" s="241" t="inlineStr">
        <is>
          <t>Nenhum — mais fraca, luta de forma errática.</t>
        </is>
      </c>
      <c r="K137" s="241" t="inlineStr">
        <is>
          <t>Séculos de abandono deixaram marca até na magia élfica.</t>
        </is>
      </c>
      <c r="L137" s="241">
        <f>IF(C137="Comum",ROUND(E137*1.3,0),"—")</f>
        <v/>
      </c>
      <c r="M137" s="241">
        <f>IF(C137="Comum",ROUND(F137*1.15,0),"—")</f>
        <v/>
      </c>
      <c r="N137" s="241">
        <f>IF(C137="Comum",G137+2,"—")</f>
        <v/>
      </c>
      <c r="O137" s="241">
        <f>IF(C137="Comum",ROUND(E137*1.6,0),"—")</f>
        <v/>
      </c>
      <c r="P137" s="241">
        <f>IF(C137="Comum",ROUND(F137*1.3,0),"—")</f>
        <v/>
      </c>
      <c r="Q137" s="241">
        <f>IF(C137="Comum",G137+4,"—")</f>
        <v/>
      </c>
      <c r="R137" s="242" t="n"/>
      <c r="S137" s="241">
        <f>ROUND(3+0.6*D137+IF(C137="Comum",0,IF(C137="Elite",2,IF(C137="Boss",4,6))),0)</f>
        <v/>
      </c>
      <c r="T137" s="241" t="inlineStr">
        <is>
          <t>Ouro + Fragmento de Pedra Rúnica Quebrada</t>
        </is>
      </c>
      <c r="U137" s="241" t="inlineStr">
        <is>
          <t>Fragilidade</t>
        </is>
      </c>
      <c r="V137" s="241" t="inlineStr">
        <is>
          <t>DPS fraco</t>
        </is>
      </c>
      <c r="W137" s="241" t="inlineStr">
        <is>
          <t>Ruínas Élficas — Pátio Externo</t>
        </is>
      </c>
      <c r="X137" s="243" t="n"/>
      <c r="Y137" s="241" t="inlineStr">
        <is>
          <t>Pode ser reparada se poupada e levada a um ferreiro élfico (quest).</t>
        </is>
      </c>
      <c r="Z137" s="243" t="n"/>
      <c r="AA137" s="243" t="n"/>
    </row>
    <row r="138" ht="15" customHeight="1" s="116">
      <c r="A138" s="241" t="inlineStr">
        <is>
          <t>Aco Elfico</t>
        </is>
      </c>
      <c r="B138" s="241" t="inlineStr">
        <is>
          <t>Musgo Devorador</t>
        </is>
      </c>
      <c r="C138" s="241" t="inlineStr">
        <is>
          <t>Comum</t>
        </is>
      </c>
      <c r="D138" s="241" t="n">
        <v>20</v>
      </c>
      <c r="E138" s="241">
        <f>ROUND(INDEX('Curva Mestra'!$F$20:$F$94,MATCH(D138,'Curva Mestra'!$A$20:$A$94,0)),0)</f>
        <v/>
      </c>
      <c r="F138" s="241">
        <f>ROUND(INDEX('Curva Mestra'!$C$20:$C$94,MATCH(D138,'Curva Mestra'!$A$20:$A$94,0))*INDEX($B$5:$B$8,MATCH(C138,$A$5:$A$8,0)),0)</f>
        <v/>
      </c>
      <c r="G138" s="241">
        <f>ROUND(INDEX('Curva Mestra'!$D$20:$D$94,MATCH(D138,'Curva Mestra'!$A$20:$A$94,0))+INDEX($C$5:$C$8,MATCH(C138,$A$5:$A$8,0)),0)</f>
        <v/>
      </c>
      <c r="H138" s="241" t="inlineStr">
        <is>
          <t>Cresce no pátio externo, sobre o que ali morre.</t>
        </is>
      </c>
      <c r="I138" s="241" t="inlineStr">
        <is>
          <t>Absorção</t>
        </is>
      </c>
      <c r="J138" s="241" t="inlineStr">
        <is>
          <t>Cura 5 HP se houver cadáver no local.</t>
        </is>
      </c>
      <c r="K138" s="241" t="inlineStr">
        <is>
          <t>Cresce sobre o que morre nas ruínas, parte da própria pedra agora.</t>
        </is>
      </c>
      <c r="L138" s="241">
        <f>IF(C138="Comum",ROUND(E138*1.3,0),"—")</f>
        <v/>
      </c>
      <c r="M138" s="241">
        <f>IF(C138="Comum",ROUND(F138*1.15,0),"—")</f>
        <v/>
      </c>
      <c r="N138" s="241">
        <f>IF(C138="Comum",G138+2,"—")</f>
        <v/>
      </c>
      <c r="O138" s="241">
        <f>IF(C138="Comum",ROUND(E138*1.6,0),"—")</f>
        <v/>
      </c>
      <c r="P138" s="241">
        <f>IF(C138="Comum",ROUND(F138*1.3,0),"—")</f>
        <v/>
      </c>
      <c r="Q138" s="241">
        <f>IF(C138="Comum",G138+4,"—")</f>
        <v/>
      </c>
      <c r="R138" s="242" t="n"/>
      <c r="S138" s="241">
        <f>ROUND(3+0.6*D138+IF(C138="Comum",0,IF(C138="Elite",2,IF(C138="Boss",4,6))),0)</f>
        <v/>
      </c>
      <c r="T138" s="241" t="inlineStr">
        <is>
          <t>Ouro + Amostra de Musgo Devorador</t>
        </is>
      </c>
      <c r="U138" s="241" t="inlineStr">
        <is>
          <t>Queimadura</t>
        </is>
      </c>
      <c r="V138" s="241" t="inlineStr">
        <is>
          <t>Necrófago</t>
        </is>
      </c>
      <c r="W138" s="241" t="inlineStr">
        <is>
          <t>Ruínas Élficas — Pátio Externo</t>
        </is>
      </c>
      <c r="X138" s="243" t="n"/>
      <c r="Y138" s="243" t="n"/>
      <c r="Z138" s="243" t="n"/>
      <c r="AA138" s="243" t="n"/>
    </row>
    <row r="139" ht="15" customHeight="1" s="116">
      <c r="A139" s="241" t="inlineStr">
        <is>
          <t>Aco Elfico</t>
        </is>
      </c>
      <c r="B139" s="241" t="inlineStr">
        <is>
          <t>Elfa Sobrevivente, Última do Clã</t>
        </is>
      </c>
      <c r="C139" s="241" t="inlineStr">
        <is>
          <t>Comum</t>
        </is>
      </c>
      <c r="D139" s="241" t="n">
        <v>20</v>
      </c>
      <c r="E139" s="241">
        <f>ROUND(INDEX('Curva Mestra'!$F$20:$F$94,MATCH(D139,'Curva Mestra'!$A$20:$A$94,0)),0)</f>
        <v/>
      </c>
      <c r="F139" s="241">
        <f>ROUND(INDEX('Curva Mestra'!$C$20:$C$94,MATCH(D139,'Curva Mestra'!$A$20:$A$94,0))*INDEX($B$5:$B$8,MATCH(C139,$A$5:$A$8,0)),0)</f>
        <v/>
      </c>
      <c r="G139" s="241">
        <f>ROUND(INDEX('Curva Mestra'!$D$20:$D$94,MATCH(D139,'Curva Mestra'!$A$20:$A$94,0))+INDEX($C$5:$C$8,MATCH(C139,$A$5:$A$8,0)),0)</f>
        <v/>
      </c>
      <c r="H139" s="241" t="inlineStr">
        <is>
          <t>Esconde-se no pátio externo das ruínas.</t>
        </is>
      </c>
      <c r="I139" s="241" t="inlineStr">
        <is>
          <t>(não ataca)</t>
        </is>
      </c>
      <c r="J139" s="241" t="inlineStr">
        <is>
          <t>Não-hostil: se poupada, ensina 1 receita élfica exclusiva (Crafting).</t>
        </is>
      </c>
      <c r="K139" s="241" t="inlineStr">
        <is>
          <t>Sobreviveu escondida quando o resto do clã virou Sentinela ou pior.</t>
        </is>
      </c>
      <c r="L139" s="241">
        <f>IF(C139="Comum",ROUND(E139*1.3,0),"—")</f>
        <v/>
      </c>
      <c r="M139" s="241">
        <f>IF(C139="Comum",ROUND(F139*1.15,0),"—")</f>
        <v/>
      </c>
      <c r="N139" s="241">
        <f>IF(C139="Comum",G139+2,"—")</f>
        <v/>
      </c>
      <c r="O139" s="241">
        <f>IF(C139="Comum",ROUND(E139*1.6,0),"—")</f>
        <v/>
      </c>
      <c r="P139" s="241">
        <f>IF(C139="Comum",ROUND(F139*1.3,0),"—")</f>
        <v/>
      </c>
      <c r="Q139" s="241">
        <f>IF(C139="Comum",G139+4,"—")</f>
        <v/>
      </c>
      <c r="R139" s="242" t="n"/>
      <c r="S139" s="241">
        <f>ROUND(3+0.6*D139+IF(C139="Comum",0,IF(C139="Elite",2,IF(C139="Boss",4,6))),0)</f>
        <v/>
      </c>
      <c r="T139" s="241" t="inlineStr">
        <is>
          <t>Ouro + Broche do Clã Perdido</t>
        </is>
      </c>
      <c r="U139" s="241" t="inlineStr">
        <is>
          <t>Sem fraqueza óbvia — precisa de Knowledge alto pra descobrir algo específico.</t>
        </is>
      </c>
      <c r="V139" s="241" t="inlineStr">
        <is>
          <t>Não-hostil</t>
        </is>
      </c>
      <c r="W139" s="241" t="inlineStr">
        <is>
          <t>Ruínas Élficas — Pátio Externo</t>
        </is>
      </c>
      <c r="X139" s="243" t="n"/>
      <c r="Y139" s="241" t="inlineStr">
        <is>
          <t>Ensina uma Receita se poupada e tratada com respeito.</t>
        </is>
      </c>
      <c r="Z139" s="241" t="inlineStr">
        <is>
          <t>A Vigília das Folhas de Prata a protegeria, se soubesse que ela vive.</t>
        </is>
      </c>
      <c r="AA139" s="243" t="n"/>
    </row>
    <row r="140" ht="15" customHeight="1" s="116">
      <c r="A140" s="233" t="inlineStr">
        <is>
          <t>Aco Elfico</t>
        </is>
      </c>
      <c r="B140" s="234" t="inlineStr">
        <is>
          <t>Musgo Rastejante Menor</t>
        </is>
      </c>
      <c r="C140" s="233" t="inlineStr">
        <is>
          <t>Comum</t>
        </is>
      </c>
      <c r="D140" s="235" t="n">
        <v>20</v>
      </c>
      <c r="E140" s="236">
        <f>ROUND(INDEX('Curva Mestra'!$F$20:$F$94,MATCH(D140,'Curva Mestra'!$A$20:$A$94,0)),0)</f>
        <v/>
      </c>
      <c r="F140" s="236">
        <f>ROUND(INDEX('Curva Mestra'!$C$20:$C$94,MATCH(D140,'Curva Mestra'!$A$20:$A$94,0))*INDEX($B$5:$B$8,MATCH(C140,$A$5:$A$8,0)),0)</f>
        <v/>
      </c>
      <c r="G140" s="236">
        <f>ROUND(INDEX('Curva Mestra'!$D$20:$D$94,MATCH(D140,'Curva Mestra'!$A$20:$A$94,0))+INDEX($C$5:$C$8,MATCH(C140,$A$5:$A$8,0)),0)</f>
        <v/>
      </c>
      <c r="H140" s="237" t="inlineStr">
        <is>
          <t>Variante jovem do Musgo Devorador.</t>
        </is>
      </c>
      <c r="I140" s="236" t="inlineStr">
        <is>
          <t>Absorção Fraca</t>
        </is>
      </c>
      <c r="J140" s="235" t="inlineStr">
        <is>
          <t>Cura 3 HP se houver cadáver no local.</t>
        </is>
      </c>
      <c r="K140" s="236" t="inlineStr">
        <is>
          <t>Musgo mais jovem, ainda crescendo sobre as pedras das ruínas.</t>
        </is>
      </c>
      <c r="L140" s="238">
        <f>IF(C140="Comum",ROUND(E140*1.3,0),"—")</f>
        <v/>
      </c>
      <c r="M140" s="239">
        <f>IF(C140="Comum",ROUND(F140*1.15,0),"—")</f>
        <v/>
      </c>
      <c r="N140" s="240">
        <f>IF(C140="Comum",G140+2,"—")</f>
        <v/>
      </c>
      <c r="O140" s="239">
        <f>IF(C140="Comum",ROUND(E140*1.6,0),"—")</f>
        <v/>
      </c>
      <c r="P140" s="241">
        <f>IF(C140="Comum",ROUND(F140*1.3,0),"—")</f>
        <v/>
      </c>
      <c r="Q140" s="241">
        <f>IF(C140="Comum",G140+4,"—")</f>
        <v/>
      </c>
      <c r="R140" s="243" t="n"/>
      <c r="S140" s="241">
        <f>ROUND(3+0.6*D140+IF(C140="Comum",0,IF(C140="Elite",2,IF(C140="Boss",4,6))),0)</f>
        <v/>
      </c>
      <c r="T140" s="241" t="inlineStr">
        <is>
          <t>Ouro + Broto de Musgo Rastejante</t>
        </is>
      </c>
      <c r="U140" s="241" t="inlineStr">
        <is>
          <t>Queimadura</t>
        </is>
      </c>
      <c r="V140" s="161" t="inlineStr">
        <is>
          <t>Necrófago</t>
        </is>
      </c>
      <c r="W140" s="161" t="inlineStr">
        <is>
          <t>Ruínas Élficas — Pátio Externo</t>
        </is>
      </c>
      <c r="X140" s="242" t="n"/>
      <c r="Y140" s="242" t="n"/>
      <c r="Z140" s="242" t="n"/>
      <c r="AA140" s="242" t="n"/>
    </row>
    <row r="141" ht="15" customHeight="1" s="116">
      <c r="A141" s="233" t="inlineStr">
        <is>
          <t>Aco Elfico</t>
        </is>
      </c>
      <c r="B141" s="234" t="inlineStr">
        <is>
          <t>Sentinela Elfica Adormecida</t>
        </is>
      </c>
      <c r="C141" s="233" t="inlineStr">
        <is>
          <t>Comum</t>
        </is>
      </c>
      <c r="D141" s="235" t="n">
        <v>21</v>
      </c>
      <c r="E141" s="236">
        <f>ROUND(INDEX('Curva Mestra'!$F$20:$F$94,MATCH(D141,'Curva Mestra'!$A$20:$A$94,0)),0)</f>
        <v/>
      </c>
      <c r="F141" s="236">
        <f>ROUND(INDEX('Curva Mestra'!$C$20:$C$94,MATCH(D141,'Curva Mestra'!$A$20:$A$94,0))*INDEX($B$5:$B$8,MATCH(C141,$A$5:$A$8,0)),0)</f>
        <v/>
      </c>
      <c r="G141" s="236">
        <f>ROUND(INDEX('Curva Mestra'!$D$20:$D$94,MATCH(D141,'Curva Mestra'!$A$20:$A$94,0))+INDEX($C$5:$C$8,MATCH(C141,$A$5:$A$8,0)),0)</f>
        <v/>
      </c>
      <c r="H141" s="237" t="inlineStr">
        <is>
          <t>Ronda a regiao do tier Aco Elfico</t>
        </is>
      </c>
      <c r="I141" s="236" t="inlineStr">
        <is>
          <t>Desperta Repentina</t>
        </is>
      </c>
      <c r="J141" s="235" t="inlineStr">
        <is>
          <t>Sem efeito mecânico além do dano — ataque direto.</t>
        </is>
      </c>
      <c r="K141" s="236" t="inlineStr">
        <is>
          <t>Estátua viva que despertou fora de hora — a corrupção no ar confundiu o gatilho mágico que deveria só reagir a invasores de verdade.</t>
        </is>
      </c>
      <c r="L141" s="238">
        <f>IF(C141="Comum",ROUND(E141*1.3,0),"—")</f>
        <v/>
      </c>
      <c r="M141" s="239">
        <f>IF(C141="Comum",ROUND(F141*1.15,0),"—")</f>
        <v/>
      </c>
      <c r="N141" s="240">
        <f>IF(C141="Comum",G141+2,"—")</f>
        <v/>
      </c>
      <c r="O141" s="239">
        <f>IF(C141="Comum",ROUND(E141*1.6,0),"—")</f>
        <v/>
      </c>
      <c r="P141" s="241">
        <f>IF(C141="Comum",ROUND(F141*1.3,0),"—")</f>
        <v/>
      </c>
      <c r="Q141" s="241">
        <f>IF(C141="Comum",G141+4,"—")</f>
        <v/>
      </c>
      <c r="R141" s="241" t="inlineStr">
        <is>
          <t>Sentinelas Erradas</t>
        </is>
      </c>
      <c r="S141" s="241">
        <f>ROUND(INDEX('Curva Mestra'!$D$20:$D$94,MATCH(D141,'Curva Mestra'!$A$20:$A$94,0))-IF(C141="Comum",9,IF(C141="Elite",6,IF(C141="Boss",4,3))),0)</f>
        <v/>
      </c>
      <c r="T141" s="241" t="inlineStr">
        <is>
          <t>Ouro + Núcleo Rúnico Dormente + Cristal Ressonante da Elfa (chance rara)</t>
        </is>
      </c>
      <c r="U141" s="241" t="inlineStr">
        <is>
          <t>Vulnerável a Ignora Resistência Mágica — segue ordens antigas, sem vontade própria pra resistir.</t>
        </is>
      </c>
      <c r="V141" s="242" t="inlineStr">
        <is>
          <t>DPS</t>
        </is>
      </c>
      <c r="W141" s="242" t="inlineStr">
        <is>
          <t>Ruínas Élficas</t>
        </is>
      </c>
      <c r="X141" s="242" t="n"/>
      <c r="Y141" s="242" t="n"/>
      <c r="Z141" s="242" t="n"/>
      <c r="AA141" s="242" t="n"/>
    </row>
    <row r="142" ht="15" customHeight="1" s="116">
      <c r="A142" s="233" t="inlineStr">
        <is>
          <t>Aco Elfico</t>
        </is>
      </c>
      <c r="B142" s="234" t="inlineStr">
        <is>
          <t>Ent Pequeno Corrompido</t>
        </is>
      </c>
      <c r="C142" s="233" t="inlineStr">
        <is>
          <t>Comum</t>
        </is>
      </c>
      <c r="D142" s="235" t="n">
        <v>21</v>
      </c>
      <c r="E142" s="236">
        <f>ROUND(INDEX('Curva Mestra'!$F$20:$F$94,MATCH(D142,'Curva Mestra'!$A$20:$A$94,0)),0)</f>
        <v/>
      </c>
      <c r="F142" s="236">
        <f>ROUND(INDEX('Curva Mestra'!$C$20:$C$94,MATCH(D142,'Curva Mestra'!$A$20:$A$94,0))*INDEX($B$5:$B$8,MATCH(C142,$A$5:$A$8,0)),0)</f>
        <v/>
      </c>
      <c r="G142" s="236">
        <f>ROUND(INDEX('Curva Mestra'!$D$20:$D$94,MATCH(D142,'Curva Mestra'!$A$20:$A$94,0))+INDEX($C$5:$C$8,MATCH(C142,$A$5:$A$8,0)),0)</f>
        <v/>
      </c>
      <c r="H142" s="237" t="inlineStr">
        <is>
          <t>Cresce nos Bosques Pétreos ao redor das ruínas.</t>
        </is>
      </c>
      <c r="I142" s="236" t="inlineStr">
        <is>
          <t>Golpe de Galho</t>
        </is>
      </c>
      <c r="J142" s="235" t="inlineStr">
        <is>
          <t>Fragilidade (equipamento).</t>
        </is>
      </c>
      <c r="K142" s="236" t="inlineStr">
        <is>
          <t>Árvore jovem que absorveu a marca antes de crescer direito.</t>
        </is>
      </c>
      <c r="L142" s="238">
        <f>IF(C142="Comum",ROUND(E142*1.3,0),"—")</f>
        <v/>
      </c>
      <c r="M142" s="239">
        <f>IF(C142="Comum",ROUND(F142*1.15,0),"—")</f>
        <v/>
      </c>
      <c r="N142" s="240">
        <f>IF(C142="Comum",G142+2,"—")</f>
        <v/>
      </c>
      <c r="O142" s="239">
        <f>IF(C142="Comum",ROUND(E142*1.6,0),"—")</f>
        <v/>
      </c>
      <c r="P142" s="241">
        <f>IF(C142="Comum",ROUND(F142*1.3,0),"—")</f>
        <v/>
      </c>
      <c r="Q142" s="241">
        <f>IF(C142="Comum",G142+4,"—")</f>
        <v/>
      </c>
      <c r="R142" s="243" t="n"/>
      <c r="S142" s="241">
        <f>ROUND(3+0.6*D142+IF(C142="Comum",0,IF(C142="Elite",2,IF(C142="Boss",4,6))),0)</f>
        <v/>
      </c>
      <c r="T142" s="241" t="inlineStr">
        <is>
          <t>Ouro + Casca Corrompida de Ent Pequeno</t>
        </is>
      </c>
      <c r="U142" s="241" t="inlineStr">
        <is>
          <t>Queimadura</t>
        </is>
      </c>
      <c r="V142" s="161" t="inlineStr">
        <is>
          <t>Tanque</t>
        </is>
      </c>
      <c r="W142" s="161" t="inlineStr">
        <is>
          <t>Bosques Pétreos</t>
        </is>
      </c>
      <c r="X142" s="242" t="n"/>
      <c r="Y142" s="161" t="inlineStr">
        <is>
          <t>Se destruído, planta uma nova semente corrompida no local (cosmético).</t>
        </is>
      </c>
      <c r="Z142" s="242" t="n"/>
      <c r="AA142" s="242" t="n"/>
    </row>
    <row r="143" ht="15" customHeight="1" s="116">
      <c r="A143" s="233" t="inlineStr">
        <is>
          <t>Aco Elfico</t>
        </is>
      </c>
      <c r="B143" s="234" t="inlineStr">
        <is>
          <t>Guardião Menor de Pedra</t>
        </is>
      </c>
      <c r="C143" s="233" t="inlineStr">
        <is>
          <t>Comum</t>
        </is>
      </c>
      <c r="D143" s="235" t="n">
        <v>21</v>
      </c>
      <c r="E143" s="236">
        <f>ROUND(INDEX('Curva Mestra'!$F$20:$F$94,MATCH(D143,'Curva Mestra'!$A$20:$A$94,0)),0)</f>
        <v/>
      </c>
      <c r="F143" s="236">
        <f>ROUND(INDEX('Curva Mestra'!$C$20:$C$94,MATCH(D143,'Curva Mestra'!$A$20:$A$94,0))*INDEX($B$5:$B$8,MATCH(C143,$A$5:$A$8,0)),0)</f>
        <v/>
      </c>
      <c r="G143" s="236">
        <f>ROUND(INDEX('Curva Mestra'!$D$20:$D$94,MATCH(D143,'Curva Mestra'!$A$20:$A$94,0))+INDEX($C$5:$C$8,MATCH(C143,$A$5:$A$8,0)),0)</f>
        <v/>
      </c>
      <c r="H143" s="237" t="inlineStr">
        <is>
          <t>Fragmento funcional no pátio interno das ruínas.</t>
        </is>
      </c>
      <c r="I143" s="236" t="inlineStr">
        <is>
          <t>Punho de Pétreo</t>
        </is>
      </c>
      <c r="J143" s="235" t="inlineStr">
        <is>
          <t>Nenhum efeito adicional — resistente.</t>
        </is>
      </c>
      <c r="K143" s="236" t="inlineStr">
        <is>
          <t>Fragmento pequeno dos Guardiões maiores, ainda ativo.</t>
        </is>
      </c>
      <c r="L143" s="238">
        <f>IF(C143="Comum",ROUND(E143*1.3,0),"—")</f>
        <v/>
      </c>
      <c r="M143" s="239">
        <f>IF(C143="Comum",ROUND(F143*1.15,0),"—")</f>
        <v/>
      </c>
      <c r="N143" s="240">
        <f>IF(C143="Comum",G143+2,"—")</f>
        <v/>
      </c>
      <c r="O143" s="239">
        <f>IF(C143="Comum",ROUND(E143*1.6,0),"—")</f>
        <v/>
      </c>
      <c r="P143" s="241">
        <f>IF(C143="Comum",ROUND(F143*1.3,0),"—")</f>
        <v/>
      </c>
      <c r="Q143" s="241">
        <f>IF(C143="Comum",G143+4,"—")</f>
        <v/>
      </c>
      <c r="R143" s="243" t="n"/>
      <c r="S143" s="241">
        <f>ROUND(3+0.6*D143+IF(C143="Comum",0,IF(C143="Elite",2,IF(C143="Boss",4,6))),0)</f>
        <v/>
      </c>
      <c r="T143" s="241" t="inlineStr">
        <is>
          <t>Ouro + Fragmento de Pedra do Guardião Menor</t>
        </is>
      </c>
      <c r="U143" s="241" t="inlineStr">
        <is>
          <t>Ignora Resistência Mágica</t>
        </is>
      </c>
      <c r="V143" s="161" t="inlineStr">
        <is>
          <t>Tanque</t>
        </is>
      </c>
      <c r="W143" s="161" t="inlineStr">
        <is>
          <t>Ruínas Élficas — Pátio Interno</t>
        </is>
      </c>
      <c r="X143" s="242" t="n"/>
      <c r="Y143" s="242" t="n"/>
      <c r="Z143" s="242" t="n"/>
      <c r="AA143" s="242" t="n"/>
    </row>
    <row r="144" ht="15" customHeight="1" s="116">
      <c r="A144" s="233" t="inlineStr">
        <is>
          <t>Aco Elfico</t>
        </is>
      </c>
      <c r="B144" s="234" t="inlineStr">
        <is>
          <t>Seiva Parasita</t>
        </is>
      </c>
      <c r="C144" s="233" t="inlineStr">
        <is>
          <t>Comum</t>
        </is>
      </c>
      <c r="D144" s="235" t="n">
        <v>21</v>
      </c>
      <c r="E144" s="236">
        <f>ROUND(INDEX('Curva Mestra'!$F$20:$F$94,MATCH(D144,'Curva Mestra'!$A$20:$A$94,0)),0)</f>
        <v/>
      </c>
      <c r="F144" s="236">
        <f>ROUND(INDEX('Curva Mestra'!$C$20:$C$94,MATCH(D144,'Curva Mestra'!$A$20:$A$94,0))*INDEX($B$5:$B$8,MATCH(C144,$A$5:$A$8,0)),0)</f>
        <v/>
      </c>
      <c r="G144" s="236">
        <f>ROUND(INDEX('Curva Mestra'!$D$20:$D$94,MATCH(D144,'Curva Mestra'!$A$20:$A$94,0))+INDEX($C$5:$C$8,MATCH(C144,$A$5:$A$8,0)),0)</f>
        <v/>
      </c>
      <c r="H144" s="237" t="inlineStr">
        <is>
          <t>Vive dentro das Aranhas-Seiva das ruínas.</t>
        </is>
      </c>
      <c r="I144" s="236" t="inlineStr">
        <is>
          <t>Grude Corrosivo</t>
        </is>
      </c>
      <c r="J144" s="235" t="inlineStr">
        <is>
          <t>Fragilidade — só aparece com Aranha-Seiva presente.</t>
        </is>
      </c>
      <c r="K144" s="236" t="inlineStr">
        <is>
          <t>Vive dentro da Aranha-Seiva, controla parte do comportamento dela.</t>
        </is>
      </c>
      <c r="L144" s="238">
        <f>IF(C144="Comum",ROUND(E144*1.3,0),"—")</f>
        <v/>
      </c>
      <c r="M144" s="239">
        <f>IF(C144="Comum",ROUND(F144*1.15,0),"—")</f>
        <v/>
      </c>
      <c r="N144" s="240">
        <f>IF(C144="Comum",G144+2,"—")</f>
        <v/>
      </c>
      <c r="O144" s="239">
        <f>IF(C144="Comum",ROUND(E144*1.6,0),"—")</f>
        <v/>
      </c>
      <c r="P144" s="241">
        <f>IF(C144="Comum",ROUND(F144*1.3,0),"—")</f>
        <v/>
      </c>
      <c r="Q144" s="241">
        <f>IF(C144="Comum",G144+4,"—")</f>
        <v/>
      </c>
      <c r="R144" s="243" t="n"/>
      <c r="S144" s="241">
        <f>ROUND(3+0.6*D144+IF(C144="Comum",0,IF(C144="Elite",2,IF(C144="Boss",4,6))),0)</f>
        <v/>
      </c>
      <c r="T144" s="241" t="inlineStr">
        <is>
          <t>Ouro + Seiva Parasita Extraída</t>
        </is>
      </c>
      <c r="U144" s="241" t="inlineStr">
        <is>
          <t>Queimadura</t>
        </is>
      </c>
      <c r="V144" s="161" t="inlineStr">
        <is>
          <t>Parasita</t>
        </is>
      </c>
      <c r="W144" s="161" t="inlineStr">
        <is>
          <t>Ruínas Élficas, só com Aranha-Seiva presente</t>
        </is>
      </c>
      <c r="X144" s="242" t="n"/>
      <c r="Y144" s="242" t="n"/>
      <c r="Z144" s="242" t="n"/>
      <c r="AA144" s="242" t="n"/>
    </row>
    <row r="145" ht="15" customHeight="1" s="116">
      <c r="A145" s="233" t="inlineStr">
        <is>
          <t>Aco Elfico</t>
        </is>
      </c>
      <c r="B145" s="234" t="inlineStr">
        <is>
          <t>Sentinela Recém-Ativada</t>
        </is>
      </c>
      <c r="C145" s="233" t="inlineStr">
        <is>
          <t>Comum</t>
        </is>
      </c>
      <c r="D145" s="235" t="n">
        <v>21</v>
      </c>
      <c r="E145" s="236">
        <f>ROUND(INDEX('Curva Mestra'!$F$20:$F$94,MATCH(D145,'Curva Mestra'!$A$20:$A$94,0)),0)</f>
        <v/>
      </c>
      <c r="F145" s="236">
        <f>ROUND(INDEX('Curva Mestra'!$C$20:$C$94,MATCH(D145,'Curva Mestra'!$A$20:$A$94,0))*INDEX($B$5:$B$8,MATCH(C145,$A$5:$A$8,0)),0)</f>
        <v/>
      </c>
      <c r="G145" s="236">
        <f>ROUND(INDEX('Curva Mestra'!$D$20:$D$94,MATCH(D145,'Curva Mestra'!$A$20:$A$94,0))+INDEX($C$5:$C$8,MATCH(C145,$A$5:$A$8,0)),0)</f>
        <v/>
      </c>
      <c r="H145" s="237" t="inlineStr">
        <is>
          <t>Sentinela recém-desperta pela perturbação nas ruínas.</t>
        </is>
      </c>
      <c r="I145" s="236" t="inlineStr">
        <is>
          <t>Lâmina Instável</t>
        </is>
      </c>
      <c r="J145" s="235" t="inlineStr">
        <is>
          <t>Nenhum efeito adicional — variação instável, dano irregular.</t>
        </is>
      </c>
      <c r="K145" s="236" t="inlineStr">
        <is>
          <t>Ativada recentemente, ainda calibrando os próprios movimentos.</t>
        </is>
      </c>
      <c r="L145" s="238">
        <f>IF(C145="Comum",ROUND(E145*1.3,0),"—")</f>
        <v/>
      </c>
      <c r="M145" s="239">
        <f>IF(C145="Comum",ROUND(F145*1.15,0),"—")</f>
        <v/>
      </c>
      <c r="N145" s="240">
        <f>IF(C145="Comum",G145+2,"—")</f>
        <v/>
      </c>
      <c r="O145" s="239">
        <f>IF(C145="Comum",ROUND(E145*1.6,0),"—")</f>
        <v/>
      </c>
      <c r="P145" s="241">
        <f>IF(C145="Comum",ROUND(F145*1.3,0),"—")</f>
        <v/>
      </c>
      <c r="Q145" s="241">
        <f>IF(C145="Comum",G145+4,"—")</f>
        <v/>
      </c>
      <c r="R145" s="243" t="n"/>
      <c r="S145" s="241">
        <f>ROUND(3+0.6*D145+IF(C145="Comum",0,IF(C145="Elite",2,IF(C145="Boss",4,6))),0)</f>
        <v/>
      </c>
      <c r="T145" s="241" t="inlineStr">
        <is>
          <t>Ouro + Engrenagem Rúnica Recém-Ativada</t>
        </is>
      </c>
      <c r="U145" s="241" t="inlineStr">
        <is>
          <t>Fragilidade</t>
        </is>
      </c>
      <c r="V145" s="161" t="inlineStr">
        <is>
          <t>DPS</t>
        </is>
      </c>
      <c r="W145" s="161" t="inlineStr">
        <is>
          <t>Ruínas Élficas — Pátio Externo</t>
        </is>
      </c>
      <c r="X145" s="242" t="n"/>
      <c r="Y145" s="242" t="n"/>
      <c r="Z145" s="242" t="n"/>
      <c r="AA145" s="242" t="n"/>
    </row>
    <row r="146" ht="15" customHeight="1" s="116">
      <c r="A146" s="241" t="inlineStr">
        <is>
          <t>Aco Elfico</t>
        </is>
      </c>
      <c r="B146" s="241" t="inlineStr">
        <is>
          <t>Raposa da Névoa Jovem</t>
        </is>
      </c>
      <c r="C146" s="241" t="inlineStr">
        <is>
          <t>Comum</t>
        </is>
      </c>
      <c r="D146" s="241" t="n">
        <v>21</v>
      </c>
      <c r="E146" s="241">
        <f>ROUND(INDEX('Curva Mestra'!$F$20:$F$94,MATCH(D146,'Curva Mestra'!$A$20:$A$94,0)),0)</f>
        <v/>
      </c>
      <c r="F146" s="241">
        <f>ROUND(INDEX('Curva Mestra'!$C$20:$C$94,MATCH(D146,'Curva Mestra'!$A$20:$A$94,0))*INDEX($B$5:$B$8,MATCH(C146,$A$5:$A$8,0)),0)</f>
        <v/>
      </c>
      <c r="G146" s="241">
        <f>ROUND(INDEX('Curva Mestra'!$D$20:$D$94,MATCH(D146,'Curva Mestra'!$A$20:$A$94,0))+INDEX($C$5:$C$8,MATCH(C146,$A$5:$A$8,0)),0)</f>
        <v/>
      </c>
      <c r="H146" s="241" t="inlineStr">
        <is>
          <t>Filhote da linhagem de raposas espectrais.</t>
        </is>
      </c>
      <c r="I146" s="241" t="inlineStr">
        <is>
          <t>Mordida Fantasma Fraca</t>
        </is>
      </c>
      <c r="J146" s="241" t="inlineStr">
        <is>
          <t>Nenhum efeito adicional.</t>
        </is>
      </c>
      <c r="K146" s="241" t="inlineStr">
        <is>
          <t>Filhote da Raposa da Névoa, ainda aprendendo a se camuflar.</t>
        </is>
      </c>
      <c r="L146" s="241">
        <f>IF(C146="Comum",ROUND(E146*1.3,0),"—")</f>
        <v/>
      </c>
      <c r="M146" s="241">
        <f>IF(C146="Comum",ROUND(F146*1.15,0),"—")</f>
        <v/>
      </c>
      <c r="N146" s="241">
        <f>IF(C146="Comum",G146+2,"—")</f>
        <v/>
      </c>
      <c r="O146" s="241">
        <f>IF(C146="Comum",ROUND(E146*1.6,0),"—")</f>
        <v/>
      </c>
      <c r="P146" s="241">
        <f>IF(C146="Comum",ROUND(F146*1.3,0),"—")</f>
        <v/>
      </c>
      <c r="Q146" s="241">
        <f>IF(C146="Comum",G146+4,"—")</f>
        <v/>
      </c>
      <c r="R146" s="242" t="n"/>
      <c r="S146" s="241">
        <f>ROUND(3+0.6*D146+IF(C146="Comum",0,IF(C146="Elite",2,IF(C146="Boss",4,6))),0)</f>
        <v/>
      </c>
      <c r="T146" s="241" t="inlineStr">
        <is>
          <t>Ouro + Cauda Espectral de Raposa Jovem</t>
        </is>
      </c>
      <c r="U146" s="241" t="inlineStr">
        <is>
          <t>Ignora Resistência Mágica</t>
        </is>
      </c>
      <c r="V146" s="241" t="inlineStr">
        <is>
          <t>DPS fraco</t>
        </is>
      </c>
      <c r="W146" s="241" t="inlineStr">
        <is>
          <t>Bosques Pétreos</t>
        </is>
      </c>
      <c r="X146" s="243" t="n"/>
      <c r="Y146" s="243" t="n"/>
      <c r="Z146" s="243" t="n"/>
      <c r="AA146" s="243" t="n"/>
    </row>
    <row r="147" ht="15" customHeight="1" s="116">
      <c r="A147" s="241" t="inlineStr">
        <is>
          <t>Aco Elfico</t>
        </is>
      </c>
      <c r="B147" s="241" t="inlineStr">
        <is>
          <t>Seiva Viva Menor</t>
        </is>
      </c>
      <c r="C147" s="241" t="inlineStr">
        <is>
          <t>Comum</t>
        </is>
      </c>
      <c r="D147" s="241" t="n">
        <v>21</v>
      </c>
      <c r="E147" s="241">
        <f>ROUND(INDEX('Curva Mestra'!$F$20:$F$94,MATCH(D147,'Curva Mestra'!$A$20:$A$94,0)),0)</f>
        <v/>
      </c>
      <c r="F147" s="241">
        <f>ROUND(INDEX('Curva Mestra'!$C$20:$C$94,MATCH(D147,'Curva Mestra'!$A$20:$A$94,0))*INDEX($B$5:$B$8,MATCH(C147,$A$5:$A$8,0)),0)</f>
        <v/>
      </c>
      <c r="G147" s="241">
        <f>ROUND(INDEX('Curva Mestra'!$D$20:$D$94,MATCH(D147,'Curva Mestra'!$A$20:$A$94,0))+INDEX($C$5:$C$8,MATCH(C147,$A$5:$A$8,0)),0)</f>
        <v/>
      </c>
      <c r="H147" s="241" t="inlineStr">
        <is>
          <t>Seiva ainda não madura o suficiente pra virar parasita.</t>
        </is>
      </c>
      <c r="I147" s="241" t="inlineStr">
        <is>
          <t>Grude Fraco</t>
        </is>
      </c>
      <c r="J147" s="241" t="inlineStr">
        <is>
          <t>Fragilidade fraca.</t>
        </is>
      </c>
      <c r="K147" s="241" t="inlineStr">
        <is>
          <t>Seiva corrompida que ainda não formou parasita completo.</t>
        </is>
      </c>
      <c r="L147" s="241">
        <f>IF(C147="Comum",ROUND(E147*1.3,0),"—")</f>
        <v/>
      </c>
      <c r="M147" s="241">
        <f>IF(C147="Comum",ROUND(F147*1.15,0),"—")</f>
        <v/>
      </c>
      <c r="N147" s="241">
        <f>IF(C147="Comum",G147+2,"—")</f>
        <v/>
      </c>
      <c r="O147" s="241">
        <f>IF(C147="Comum",ROUND(E147*1.6,0),"—")</f>
        <v/>
      </c>
      <c r="P147" s="241">
        <f>IF(C147="Comum",ROUND(F147*1.3,0),"—")</f>
        <v/>
      </c>
      <c r="Q147" s="241">
        <f>IF(C147="Comum",G147+4,"—")</f>
        <v/>
      </c>
      <c r="R147" s="242" t="n"/>
      <c r="S147" s="241">
        <f>ROUND(3+0.6*D147+IF(C147="Comum",0,IF(C147="Elite",2,IF(C147="Boss",4,6))),0)</f>
        <v/>
      </c>
      <c r="T147" s="241" t="inlineStr">
        <is>
          <t>Ouro + Seiva Viva Corrompida</t>
        </is>
      </c>
      <c r="U147" s="241" t="inlineStr">
        <is>
          <t>Queimadura</t>
        </is>
      </c>
      <c r="V147" s="241" t="inlineStr">
        <is>
          <t>Debuffer</t>
        </is>
      </c>
      <c r="W147" s="241" t="inlineStr">
        <is>
          <t>Ruínas Élficas — Pátio Externo</t>
        </is>
      </c>
      <c r="X147" s="243" t="n"/>
      <c r="Y147" s="243" t="n"/>
      <c r="Z147" s="243" t="n"/>
      <c r="AA147" s="243" t="n"/>
    </row>
    <row r="148" ht="15" customHeight="1" s="116">
      <c r="A148" s="241" t="inlineStr">
        <is>
          <t>Aco Elfico</t>
        </is>
      </c>
      <c r="B148" s="241" t="inlineStr">
        <is>
          <t>Arqueiro Fantasma</t>
        </is>
      </c>
      <c r="C148" s="241" t="inlineStr">
        <is>
          <t>Comum</t>
        </is>
      </c>
      <c r="D148" s="241" t="n">
        <v>22</v>
      </c>
      <c r="E148" s="241">
        <f>ROUND(INDEX('Curva Mestra'!$F$20:$F$94,MATCH(D148,'Curva Mestra'!$A$20:$A$94,0)),0)</f>
        <v/>
      </c>
      <c r="F148" s="241">
        <f>ROUND(INDEX('Curva Mestra'!$C$20:$C$94,MATCH(D148,'Curva Mestra'!$A$20:$A$94,0))*INDEX($B$5:$B$8,MATCH(C148,$A$5:$A$8,0)),0)</f>
        <v/>
      </c>
      <c r="G148" s="241">
        <f>ROUND(INDEX('Curva Mestra'!$D$20:$D$94,MATCH(D148,'Curva Mestra'!$A$20:$A$94,0))+INDEX($C$5:$C$8,MATCH(C148,$A$5:$A$8,0)),0)</f>
        <v/>
      </c>
      <c r="H148" s="241" t="inlineStr">
        <is>
          <t>Ronda a regiao do tier Aco Elfico</t>
        </is>
      </c>
      <c r="I148" s="241" t="inlineStr">
        <is>
          <t>Flecha Espectral</t>
        </is>
      </c>
      <c r="J148" s="241" t="inlineStr">
        <is>
          <t>Sem efeito mecânico além do dano — ataque direto.</t>
        </is>
      </c>
      <c r="K148" s="241" t="inlineStr">
        <is>
          <t>Sentinela élfica morta há séculos, ainda de guarda — não sabe que a floresta que protegia já não existe do jeito que ele lembra.</t>
        </is>
      </c>
      <c r="L148" s="241">
        <f>IF(C148="Comum",ROUND(E148*1.3,0),"—")</f>
        <v/>
      </c>
      <c r="M148" s="241">
        <f>IF(C148="Comum",ROUND(F148*1.15,0),"—")</f>
        <v/>
      </c>
      <c r="N148" s="241">
        <f>IF(C148="Comum",G148+2,"—")</f>
        <v/>
      </c>
      <c r="O148" s="241">
        <f>IF(C148="Comum",ROUND(E148*1.6,0),"—")</f>
        <v/>
      </c>
      <c r="P148" s="241">
        <f>IF(C148="Comum",ROUND(F148*1.3,0),"—")</f>
        <v/>
      </c>
      <c r="Q148" s="241">
        <f>IF(C148="Comum",G148+4,"—")</f>
        <v/>
      </c>
      <c r="R148" s="161" t="inlineStr">
        <is>
          <t>Sentinelas Erradas</t>
        </is>
      </c>
      <c r="S148" s="241">
        <f>ROUND(INDEX('Curva Mestra'!$D$20:$D$94,MATCH(D148,'Curva Mestra'!$A$20:$A$94,0))-IF(C148="Comum",9,IF(C148="Elite",6,IF(C148="Boss",4,3))),0)</f>
        <v/>
      </c>
      <c r="T148" s="241" t="inlineStr">
        <is>
          <t>Ouro + Arco Espectral de Arqueiro Fantasma + Cristal Ressonante da Elfa (chance rara)</t>
        </is>
      </c>
      <c r="U148" s="241" t="inlineStr">
        <is>
          <t>Vulnerável a Prata — armas de Prata ignoram 2 de Defesa a mais nele.</t>
        </is>
      </c>
      <c r="V148" s="243" t="inlineStr">
        <is>
          <t>DPS</t>
        </is>
      </c>
      <c r="W148" s="243" t="inlineStr">
        <is>
          <t>Ruínas Élficas</t>
        </is>
      </c>
      <c r="X148" s="243" t="n"/>
      <c r="Y148" s="243" t="n"/>
      <c r="Z148" s="243" t="n"/>
      <c r="AA148" s="243" t="n"/>
    </row>
    <row r="149" ht="15" customHeight="1" s="116">
      <c r="A149" s="241" t="inlineStr">
        <is>
          <t>Aco Elfico</t>
        </is>
      </c>
      <c r="B149" s="241" t="inlineStr">
        <is>
          <t>Sentinela Desperta</t>
        </is>
      </c>
      <c r="C149" s="241" t="inlineStr">
        <is>
          <t>Comum</t>
        </is>
      </c>
      <c r="D149" s="241" t="n">
        <v>22</v>
      </c>
      <c r="E149" s="241">
        <f>ROUND(INDEX('Curva Mestra'!$F$20:$F$94,MATCH(D149,'Curva Mestra'!$A$20:$A$94,0)),0)</f>
        <v/>
      </c>
      <c r="F149" s="241">
        <f>ROUND(INDEX('Curva Mestra'!$C$20:$C$94,MATCH(D149,'Curva Mestra'!$A$20:$A$94,0))*INDEX($B$5:$B$8,MATCH(C149,$A$5:$A$8,0)),0)</f>
        <v/>
      </c>
      <c r="G149" s="241">
        <f>ROUND(INDEX('Curva Mestra'!$D$20:$D$94,MATCH(D149,'Curva Mestra'!$A$20:$A$94,0))+INDEX($C$5:$C$8,MATCH(C149,$A$5:$A$8,0)),0)</f>
        <v/>
      </c>
      <c r="H149" s="241" t="inlineStr">
        <is>
          <t>Vigia o pátio interno das Ruínas Élficas.</t>
        </is>
      </c>
      <c r="I149" s="241" t="inlineStr">
        <is>
          <t>Lâmina de Cristal</t>
        </is>
      </c>
      <c r="J149" s="241" t="inlineStr">
        <is>
          <t>Ignora Defesa — mais forte que a Sentinela Adormecida, já em alerta.</t>
        </is>
      </c>
      <c r="K149" s="241" t="inlineStr">
        <is>
          <t>Acordou antes do tempo — algo perturbou o sono das ruínas.</t>
        </is>
      </c>
      <c r="L149" s="241">
        <f>IF(C149="Comum",ROUND(E149*1.3,0),"—")</f>
        <v/>
      </c>
      <c r="M149" s="241">
        <f>IF(C149="Comum",ROUND(F149*1.15,0),"—")</f>
        <v/>
      </c>
      <c r="N149" s="241">
        <f>IF(C149="Comum",G149+2,"—")</f>
        <v/>
      </c>
      <c r="O149" s="241">
        <f>IF(C149="Comum",ROUND(E149*1.6,0),"—")</f>
        <v/>
      </c>
      <c r="P149" s="241">
        <f>IF(C149="Comum",ROUND(F149*1.3,0),"—")</f>
        <v/>
      </c>
      <c r="Q149" s="241">
        <f>IF(C149="Comum",G149+4,"—")</f>
        <v/>
      </c>
      <c r="R149" s="242" t="n"/>
      <c r="S149" s="241">
        <f>ROUND(3+0.6*D149+IF(C149="Comum",0,IF(C149="Elite",2,IF(C149="Boss",4,6))),0)</f>
        <v/>
      </c>
      <c r="T149" s="241" t="inlineStr">
        <is>
          <t>Ouro + Núcleo Rúnico Desperto</t>
        </is>
      </c>
      <c r="U149" s="241" t="inlineStr">
        <is>
          <t>Ignora Resistência Mágica</t>
        </is>
      </c>
      <c r="V149" s="241" t="inlineStr">
        <is>
          <t>DPS</t>
        </is>
      </c>
      <c r="W149" s="241" t="inlineStr">
        <is>
          <t>Ruínas Élficas — Pátio Interno</t>
        </is>
      </c>
      <c r="X149" s="243" t="n"/>
      <c r="Y149" s="243" t="n"/>
      <c r="Z149" s="243" t="n"/>
      <c r="AA149" s="243" t="n"/>
    </row>
    <row r="150" ht="15" customHeight="1" s="116">
      <c r="A150" s="241" t="inlineStr">
        <is>
          <t>Aco Elfico</t>
        </is>
      </c>
      <c r="B150" s="241" t="inlineStr">
        <is>
          <t>Lâmina Fantasma</t>
        </is>
      </c>
      <c r="C150" s="241" t="inlineStr">
        <is>
          <t>Comum</t>
        </is>
      </c>
      <c r="D150" s="241" t="n">
        <v>22</v>
      </c>
      <c r="E150" s="241">
        <f>ROUND(INDEX('Curva Mestra'!$F$20:$F$94,MATCH(D150,'Curva Mestra'!$A$20:$A$94,0)),0)</f>
        <v/>
      </c>
      <c r="F150" s="241">
        <f>ROUND(INDEX('Curva Mestra'!$C$20:$C$94,MATCH(D150,'Curva Mestra'!$A$20:$A$94,0))*INDEX($B$5:$B$8,MATCH(C150,$A$5:$A$8,0)),0)</f>
        <v/>
      </c>
      <c r="G150" s="241">
        <f>ROUND(INDEX('Curva Mestra'!$D$20:$D$94,MATCH(D150,'Curva Mestra'!$A$20:$A$94,0))+INDEX($C$5:$C$8,MATCH(C150,$A$5:$A$8,0)),0)</f>
        <v/>
      </c>
      <c r="H150" s="241" t="inlineStr">
        <is>
          <t>Perambula pelo pátio interno das ruínas.</t>
        </is>
      </c>
      <c r="I150" s="241" t="inlineStr">
        <is>
          <t>Corte Silencioso</t>
        </is>
      </c>
      <c r="J150" s="241" t="inlineStr">
        <is>
          <t>Sangramento.</t>
        </is>
      </c>
      <c r="K150" s="241" t="inlineStr">
        <is>
          <t>Uma guarda élfica que morreu de lâmina em punho — ainda não largou.</t>
        </is>
      </c>
      <c r="L150" s="241">
        <f>IF(C150="Comum",ROUND(E150*1.3,0),"—")</f>
        <v/>
      </c>
      <c r="M150" s="241">
        <f>IF(C150="Comum",ROUND(F150*1.15,0),"—")</f>
        <v/>
      </c>
      <c r="N150" s="241">
        <f>IF(C150="Comum",G150+2,"—")</f>
        <v/>
      </c>
      <c r="O150" s="241">
        <f>IF(C150="Comum",ROUND(E150*1.6,0),"—")</f>
        <v/>
      </c>
      <c r="P150" s="241">
        <f>IF(C150="Comum",ROUND(F150*1.3,0),"—")</f>
        <v/>
      </c>
      <c r="Q150" s="241">
        <f>IF(C150="Comum",G150+4,"—")</f>
        <v/>
      </c>
      <c r="R150" s="242" t="n"/>
      <c r="S150" s="241">
        <f>ROUND(3+0.6*D150+IF(C150="Comum",0,IF(C150="Elite",2,IF(C150="Boss",4,6))),0)</f>
        <v/>
      </c>
      <c r="T150" s="241" t="inlineStr">
        <is>
          <t>Ouro + Lâmina Espectral Quebrada</t>
        </is>
      </c>
      <c r="U150" s="241" t="inlineStr">
        <is>
          <t>Queimadura</t>
        </is>
      </c>
      <c r="V150" s="241" t="inlineStr">
        <is>
          <t>Assassino</t>
        </is>
      </c>
      <c r="W150" s="241" t="inlineStr">
        <is>
          <t>Ruínas Élficas — Pátio Interno</t>
        </is>
      </c>
      <c r="X150" s="243" t="n"/>
      <c r="Y150" s="243" t="n"/>
      <c r="Z150" s="243" t="n"/>
      <c r="AA150" s="243" t="n"/>
    </row>
    <row r="151" ht="15" customHeight="1" s="116">
      <c r="A151" s="241" t="inlineStr">
        <is>
          <t>Aco Elfico</t>
        </is>
      </c>
      <c r="B151" s="241" t="inlineStr">
        <is>
          <t>Raposa da Névoa</t>
        </is>
      </c>
      <c r="C151" s="241" t="inlineStr">
        <is>
          <t>Comum</t>
        </is>
      </c>
      <c r="D151" s="241" t="n">
        <v>22</v>
      </c>
      <c r="E151" s="241">
        <f>ROUND(INDEX('Curva Mestra'!$F$20:$F$94,MATCH(D151,'Curva Mestra'!$A$20:$A$94,0)),0)</f>
        <v/>
      </c>
      <c r="F151" s="241">
        <f>ROUND(INDEX('Curva Mestra'!$C$20:$C$94,MATCH(D151,'Curva Mestra'!$A$20:$A$94,0))*INDEX($B$5:$B$8,MATCH(C151,$A$5:$A$8,0)),0)</f>
        <v/>
      </c>
      <c r="G151" s="241">
        <f>ROUND(INDEX('Curva Mestra'!$D$20:$D$94,MATCH(D151,'Curva Mestra'!$A$20:$A$94,0))+INDEX($C$5:$C$8,MATCH(C151,$A$5:$A$8,0)),0)</f>
        <v/>
      </c>
      <c r="H151" s="241" t="inlineStr">
        <is>
          <t>Vista com mais frequência à noite, nos Bosques Pétreos.</t>
        </is>
      </c>
      <c r="I151" s="241" t="inlineStr">
        <is>
          <t>Mordida Fantasma</t>
        </is>
      </c>
      <c r="J151" s="241" t="inlineStr">
        <is>
          <t>Lentidão.</t>
        </is>
      </c>
      <c r="K151" s="241" t="inlineStr">
        <is>
          <t>Some e reaparece entre a névoa que cobre as ruínas à noite.</t>
        </is>
      </c>
      <c r="L151" s="241">
        <f>IF(C151="Comum",ROUND(E151*1.3,0),"—")</f>
        <v/>
      </c>
      <c r="M151" s="241">
        <f>IF(C151="Comum",ROUND(F151*1.15,0),"—")</f>
        <v/>
      </c>
      <c r="N151" s="241">
        <f>IF(C151="Comum",G151+2,"—")</f>
        <v/>
      </c>
      <c r="O151" s="241">
        <f>IF(C151="Comum",ROUND(E151*1.6,0),"—")</f>
        <v/>
      </c>
      <c r="P151" s="241">
        <f>IF(C151="Comum",ROUND(F151*1.3,0),"—")</f>
        <v/>
      </c>
      <c r="Q151" s="241">
        <f>IF(C151="Comum",G151+4,"—")</f>
        <v/>
      </c>
      <c r="R151" s="242" t="n"/>
      <c r="S151" s="241">
        <f>ROUND(3+0.6*D151+IF(C151="Comum",0,IF(C151="Elite",2,IF(C151="Boss",4,6))),0)</f>
        <v/>
      </c>
      <c r="T151" s="241" t="inlineStr">
        <is>
          <t>Ouro + Cauda Espectral de Raposa da Névoa</t>
        </is>
      </c>
      <c r="U151" s="241" t="inlineStr">
        <is>
          <t>Ignora Resistência Mágica</t>
        </is>
      </c>
      <c r="V151" s="241" t="inlineStr">
        <is>
          <t>Batedor</t>
        </is>
      </c>
      <c r="W151" s="241" t="inlineStr">
        <is>
          <t>Bosques Pétreos, mais comum à noite</t>
        </is>
      </c>
      <c r="X151" s="243" t="n"/>
      <c r="Y151" s="243" t="n"/>
      <c r="Z151" s="243" t="n"/>
      <c r="AA151" s="243" t="n"/>
    </row>
    <row r="152" ht="15" customHeight="1" s="116">
      <c r="A152" s="241" t="inlineStr">
        <is>
          <t>Aco Elfico</t>
        </is>
      </c>
      <c r="B152" s="241" t="inlineStr">
        <is>
          <t>Eco da Última Canção</t>
        </is>
      </c>
      <c r="C152" s="241" t="inlineStr">
        <is>
          <t>Comum</t>
        </is>
      </c>
      <c r="D152" s="241" t="n">
        <v>22</v>
      </c>
      <c r="E152" s="241">
        <f>ROUND(INDEX('Curva Mestra'!$F$20:$F$94,MATCH(D152,'Curva Mestra'!$A$20:$A$94,0)),0)</f>
        <v/>
      </c>
      <c r="F152" s="241">
        <f>ROUND(INDEX('Curva Mestra'!$C$20:$C$94,MATCH(D152,'Curva Mestra'!$A$20:$A$94,0))*INDEX($B$5:$B$8,MATCH(C152,$A$5:$A$8,0)),0)</f>
        <v/>
      </c>
      <c r="G152" s="241">
        <f>ROUND(INDEX('Curva Mestra'!$D$20:$D$94,MATCH(D152,'Curva Mestra'!$A$20:$A$94,0))+INDEX($C$5:$C$8,MATCH(C152,$A$5:$A$8,0)),0)</f>
        <v/>
      </c>
      <c r="H152" s="241" t="inlineStr">
        <is>
          <t>Ouvido à noite nos Bosques Pétreos.</t>
        </is>
      </c>
      <c r="I152" s="241" t="inlineStr">
        <is>
          <t>Nota Dissonante</t>
        </is>
      </c>
      <c r="J152" s="241" t="inlineStr">
        <is>
          <t>Atordoamento (20%).</t>
        </is>
      </c>
      <c r="K152" s="241" t="inlineStr">
        <is>
          <t>Fragmento de uma canção élfica que nunca terminou de tocar.</t>
        </is>
      </c>
      <c r="L152" s="241">
        <f>IF(C152="Comum",ROUND(E152*1.3,0),"—")</f>
        <v/>
      </c>
      <c r="M152" s="241">
        <f>IF(C152="Comum",ROUND(F152*1.15,0),"—")</f>
        <v/>
      </c>
      <c r="N152" s="241">
        <f>IF(C152="Comum",G152+2,"—")</f>
        <v/>
      </c>
      <c r="O152" s="241">
        <f>IF(C152="Comum",ROUND(E152*1.6,0),"—")</f>
        <v/>
      </c>
      <c r="P152" s="241">
        <f>IF(C152="Comum",ROUND(F152*1.3,0),"—")</f>
        <v/>
      </c>
      <c r="Q152" s="241">
        <f>IF(C152="Comum",G152+4,"—")</f>
        <v/>
      </c>
      <c r="R152" s="242" t="n"/>
      <c r="S152" s="241">
        <f>ROUND(3+0.6*D152+IF(C152="Comum",0,IF(C152="Elite",2,IF(C152="Boss",4,6))),0)</f>
        <v/>
      </c>
      <c r="T152" s="241" t="inlineStr">
        <is>
          <t>Ouro + Fragmento da Última Canção</t>
        </is>
      </c>
      <c r="U152" s="241" t="inlineStr">
        <is>
          <t>Ignora Resistência Mágica</t>
        </is>
      </c>
      <c r="V152" s="241" t="inlineStr">
        <is>
          <t>Controle</t>
        </is>
      </c>
      <c r="W152" s="241" t="inlineStr">
        <is>
          <t>Bosques Pétreos, à noite</t>
        </is>
      </c>
      <c r="X152" s="243" t="n"/>
      <c r="Y152" s="243" t="n"/>
      <c r="Z152" s="243" t="n"/>
      <c r="AA152" s="243" t="n"/>
    </row>
    <row r="153" ht="15" customHeight="1" s="116">
      <c r="A153" s="241" t="inlineStr">
        <is>
          <t>Aco Elfico</t>
        </is>
      </c>
      <c r="B153" s="241" t="inlineStr">
        <is>
          <t>Batedor Élfico Recém-Corrompido</t>
        </is>
      </c>
      <c r="C153" s="241" t="inlineStr">
        <is>
          <t>Comum</t>
        </is>
      </c>
      <c r="D153" s="241" t="n">
        <v>22</v>
      </c>
      <c r="E153" s="241">
        <f>ROUND(INDEX('Curva Mestra'!$F$20:$F$94,MATCH(D153,'Curva Mestra'!$A$20:$A$94,0)),0)</f>
        <v/>
      </c>
      <c r="F153" s="241">
        <f>ROUND(INDEX('Curva Mestra'!$C$20:$C$94,MATCH(D153,'Curva Mestra'!$A$20:$A$94,0))*INDEX($B$5:$B$8,MATCH(C153,$A$5:$A$8,0)),0)</f>
        <v/>
      </c>
      <c r="G153" s="241">
        <f>ROUND(INDEX('Curva Mestra'!$D$20:$D$94,MATCH(D153,'Curva Mestra'!$A$20:$A$94,0))+INDEX($C$5:$C$8,MATCH(C153,$A$5:$A$8,0)),0)</f>
        <v/>
      </c>
      <c r="H153" s="241" t="inlineStr">
        <is>
          <t>Batedor élfico recém-marcado pela Infecção.</t>
        </is>
      </c>
      <c r="I153" s="241" t="inlineStr">
        <is>
          <t>Flecha Imprecisa</t>
        </is>
      </c>
      <c r="J153" s="241" t="inlineStr">
        <is>
          <t>Nenhum efeito adicional.</t>
        </is>
      </c>
      <c r="K153" s="241" t="inlineStr">
        <is>
          <t>Corrompido há pouco, ainda mantém parte da precisão élfica original.</t>
        </is>
      </c>
      <c r="L153" s="241">
        <f>IF(C153="Comum",ROUND(E153*1.3,0),"—")</f>
        <v/>
      </c>
      <c r="M153" s="241">
        <f>IF(C153="Comum",ROUND(F153*1.15,0),"—")</f>
        <v/>
      </c>
      <c r="N153" s="241">
        <f>IF(C153="Comum",G153+2,"—")</f>
        <v/>
      </c>
      <c r="O153" s="241">
        <f>IF(C153="Comum",ROUND(E153*1.6,0),"—")</f>
        <v/>
      </c>
      <c r="P153" s="241">
        <f>IF(C153="Comum",ROUND(F153*1.3,0),"—")</f>
        <v/>
      </c>
      <c r="Q153" s="241">
        <f>IF(C153="Comum",G153+4,"—")</f>
        <v/>
      </c>
      <c r="R153" s="242" t="n"/>
      <c r="S153" s="241">
        <f>ROUND(3+0.6*D153+IF(C153="Comum",0,IF(C153="Elite",2,IF(C153="Boss",4,6))),0)</f>
        <v/>
      </c>
      <c r="T153" s="241" t="inlineStr">
        <is>
          <t>Ouro + Arco Corrompido de Batedor Élfico</t>
        </is>
      </c>
      <c r="U153" s="241" t="inlineStr">
        <is>
          <t>Atordoamento</t>
        </is>
      </c>
      <c r="V153" s="241" t="inlineStr">
        <is>
          <t>Ranged</t>
        </is>
      </c>
      <c r="W153" s="241" t="inlineStr">
        <is>
          <t>Bosques Pétreos</t>
        </is>
      </c>
      <c r="X153" s="243" t="n"/>
      <c r="Y153" s="243" t="n"/>
      <c r="Z153" s="243" t="n"/>
      <c r="AA153" s="243" t="n"/>
    </row>
    <row r="154" ht="15" customHeight="1" s="116">
      <c r="A154" s="241" t="inlineStr">
        <is>
          <t>Aco Elfico</t>
        </is>
      </c>
      <c r="B154" s="241" t="inlineStr">
        <is>
          <t>Guardião de Pedra Rachado</t>
        </is>
      </c>
      <c r="C154" s="241" t="inlineStr">
        <is>
          <t>Comum</t>
        </is>
      </c>
      <c r="D154" s="241" t="n">
        <v>22</v>
      </c>
      <c r="E154" s="241">
        <f>ROUND(INDEX('Curva Mestra'!$F$20:$F$94,MATCH(D154,'Curva Mestra'!$A$20:$A$94,0)),0)</f>
        <v/>
      </c>
      <c r="F154" s="241">
        <f>ROUND(INDEX('Curva Mestra'!$C$20:$C$94,MATCH(D154,'Curva Mestra'!$A$20:$A$94,0))*INDEX($B$5:$B$8,MATCH(C154,$A$5:$A$8,0)),0)</f>
        <v/>
      </c>
      <c r="G154" s="241">
        <f>ROUND(INDEX('Curva Mestra'!$D$20:$D$94,MATCH(D154,'Curva Mestra'!$A$20:$A$94,0))+INDEX($C$5:$C$8,MATCH(C154,$A$5:$A$8,0)),0)</f>
        <v/>
      </c>
      <c r="H154" s="241" t="inlineStr">
        <is>
          <t>Guardião de pedra desgastado pelo tempo.</t>
        </is>
      </c>
      <c r="I154" s="241" t="inlineStr">
        <is>
          <t>Punho Rachado</t>
        </is>
      </c>
      <c r="J154" s="241" t="inlineStr">
        <is>
          <t>Fragilidade — ele mesmo está rachado, mais fácil de danificar.</t>
        </is>
      </c>
      <c r="K154" s="241" t="inlineStr">
        <is>
          <t>Guardião antigo, com fissuras visíveis pela idade.</t>
        </is>
      </c>
      <c r="L154" s="241">
        <f>IF(C154="Comum",ROUND(E154*1.3,0),"—")</f>
        <v/>
      </c>
      <c r="M154" s="241">
        <f>IF(C154="Comum",ROUND(F154*1.15,0),"—")</f>
        <v/>
      </c>
      <c r="N154" s="241">
        <f>IF(C154="Comum",G154+2,"—")</f>
        <v/>
      </c>
      <c r="O154" s="241">
        <f>IF(C154="Comum",ROUND(E154*1.6,0),"—")</f>
        <v/>
      </c>
      <c r="P154" s="241">
        <f>IF(C154="Comum",ROUND(F154*1.3,0),"—")</f>
        <v/>
      </c>
      <c r="Q154" s="241">
        <f>IF(C154="Comum",G154+4,"—")</f>
        <v/>
      </c>
      <c r="R154" s="242" t="n"/>
      <c r="S154" s="241">
        <f>ROUND(3+0.6*D154+IF(C154="Comum",0,IF(C154="Elite",2,IF(C154="Boss",4,6))),0)</f>
        <v/>
      </c>
      <c r="T154" s="241" t="inlineStr">
        <is>
          <t>Ouro + Fragmento de Pedra Rachada</t>
        </is>
      </c>
      <c r="U154" s="241" t="inlineStr">
        <is>
          <t>Ignora Resistência Mágica</t>
        </is>
      </c>
      <c r="V154" s="241" t="inlineStr">
        <is>
          <t>Tanque</t>
        </is>
      </c>
      <c r="W154" s="241" t="inlineStr">
        <is>
          <t>Ruínas Élficas — Pátio Interno</t>
        </is>
      </c>
      <c r="X154" s="243" t="n"/>
      <c r="Y154" s="243" t="n"/>
      <c r="Z154" s="243" t="n"/>
      <c r="AA154" s="243" t="n"/>
    </row>
    <row r="155" ht="15" customHeight="1" s="116">
      <c r="A155" s="241" t="inlineStr">
        <is>
          <t>Aco Elfico</t>
        </is>
      </c>
      <c r="B155" s="241" t="inlineStr">
        <is>
          <t>Eco Menor da Canção</t>
        </is>
      </c>
      <c r="C155" s="241" t="inlineStr">
        <is>
          <t>Comum</t>
        </is>
      </c>
      <c r="D155" s="241" t="n">
        <v>22</v>
      </c>
      <c r="E155" s="241">
        <f>ROUND(INDEX('Curva Mestra'!$F$20:$F$94,MATCH(D155,'Curva Mestra'!$A$20:$A$94,0)),0)</f>
        <v/>
      </c>
      <c r="F155" s="241">
        <f>ROUND(INDEX('Curva Mestra'!$C$20:$C$94,MATCH(D155,'Curva Mestra'!$A$20:$A$94,0))*INDEX($B$5:$B$8,MATCH(C155,$A$5:$A$8,0)),0)</f>
        <v/>
      </c>
      <c r="G155" s="241">
        <f>ROUND(INDEX('Curva Mestra'!$D$20:$D$94,MATCH(D155,'Curva Mestra'!$A$20:$A$94,0))+INDEX($C$5:$C$8,MATCH(C155,$A$5:$A$8,0)),0)</f>
        <v/>
      </c>
      <c r="H155" s="241" t="inlineStr">
        <is>
          <t>Eco menor, fragmento da canção maior.</t>
        </is>
      </c>
      <c r="I155" s="241" t="inlineStr">
        <is>
          <t>Nota Fraca</t>
        </is>
      </c>
      <c r="J155" s="241" t="inlineStr">
        <is>
          <t>Atordoamento fraco (15%).</t>
        </is>
      </c>
      <c r="K155" s="241" t="inlineStr">
        <is>
          <t>Fragmento pequeno do Eco da Última Canção.</t>
        </is>
      </c>
      <c r="L155" s="241">
        <f>IF(C155="Comum",ROUND(E155*1.3,0),"—")</f>
        <v/>
      </c>
      <c r="M155" s="241">
        <f>IF(C155="Comum",ROUND(F155*1.15,0),"—")</f>
        <v/>
      </c>
      <c r="N155" s="241">
        <f>IF(C155="Comum",G155+2,"—")</f>
        <v/>
      </c>
      <c r="O155" s="241">
        <f>IF(C155="Comum",ROUND(E155*1.6,0),"—")</f>
        <v/>
      </c>
      <c r="P155" s="241">
        <f>IF(C155="Comum",ROUND(F155*1.3,0),"—")</f>
        <v/>
      </c>
      <c r="Q155" s="241">
        <f>IF(C155="Comum",G155+4,"—")</f>
        <v/>
      </c>
      <c r="R155" s="242" t="n"/>
      <c r="S155" s="241">
        <f>ROUND(3+0.6*D155+IF(C155="Comum",0,IF(C155="Elite",2,IF(C155="Boss",4,6))),0)</f>
        <v/>
      </c>
      <c r="T155" s="241" t="inlineStr">
        <is>
          <t>Ouro + Eco Menor Fragmentado</t>
        </is>
      </c>
      <c r="U155" s="241" t="inlineStr">
        <is>
          <t>Ignora Resistência Mágica</t>
        </is>
      </c>
      <c r="V155" s="241" t="inlineStr">
        <is>
          <t>Controle</t>
        </is>
      </c>
      <c r="W155" s="241" t="inlineStr">
        <is>
          <t>Bosques Pétreos, à noite</t>
        </is>
      </c>
      <c r="X155" s="243" t="n"/>
      <c r="Y155" s="243" t="n"/>
      <c r="Z155" s="243" t="n"/>
      <c r="AA155" s="243" t="n"/>
    </row>
    <row r="156" ht="15" customHeight="1" s="116">
      <c r="A156" s="233" t="inlineStr">
        <is>
          <t>Aco Elfico</t>
        </is>
      </c>
      <c r="B156" s="234" t="inlineStr">
        <is>
          <t>Lâmina Fantasma Menor</t>
        </is>
      </c>
      <c r="C156" s="233" t="inlineStr">
        <is>
          <t>Comum</t>
        </is>
      </c>
      <c r="D156" s="235" t="n">
        <v>22</v>
      </c>
      <c r="E156" s="236">
        <f>ROUND(INDEX('Curva Mestra'!$F$20:$F$94,MATCH(D156,'Curva Mestra'!$A$20:$A$94,0)),0)</f>
        <v/>
      </c>
      <c r="F156" s="236">
        <f>ROUND(INDEX('Curva Mestra'!$C$20:$C$94,MATCH(D156,'Curva Mestra'!$A$20:$A$94,0))*INDEX($B$5:$B$8,MATCH(C156,$A$5:$A$8,0)),0)</f>
        <v/>
      </c>
      <c r="G156" s="236">
        <f>ROUND(INDEX('Curva Mestra'!$D$20:$D$94,MATCH(D156,'Curva Mestra'!$A$20:$A$94,0))+INDEX($C$5:$C$8,MATCH(C156,$A$5:$A$8,0)),0)</f>
        <v/>
      </c>
      <c r="H156" s="237" t="inlineStr">
        <is>
          <t>Fragmento fraco da Lâmina Fantasma original.</t>
        </is>
      </c>
      <c r="I156" s="236" t="inlineStr">
        <is>
          <t>Corte Fraco</t>
        </is>
      </c>
      <c r="J156" s="235" t="inlineStr">
        <is>
          <t>Sangramento fraco.</t>
        </is>
      </c>
      <c r="K156" s="236" t="inlineStr">
        <is>
          <t>Espírito menor de um guarda que morreu de forma mais rápida.</t>
        </is>
      </c>
      <c r="L156" s="238">
        <f>IF(C156="Comum",ROUND(E156*1.3,0),"—")</f>
        <v/>
      </c>
      <c r="M156" s="239">
        <f>IF(C156="Comum",ROUND(F156*1.15,0),"—")</f>
        <v/>
      </c>
      <c r="N156" s="240">
        <f>IF(C156="Comum",G156+2,"—")</f>
        <v/>
      </c>
      <c r="O156" s="239">
        <f>IF(C156="Comum",ROUND(E156*1.6,0),"—")</f>
        <v/>
      </c>
      <c r="P156" s="241">
        <f>IF(C156="Comum",ROUND(F156*1.3,0),"—")</f>
        <v/>
      </c>
      <c r="Q156" s="241">
        <f>IF(C156="Comum",G156+4,"—")</f>
        <v/>
      </c>
      <c r="R156" s="243" t="n"/>
      <c r="S156" s="241">
        <f>ROUND(3+0.6*D156+IF(C156="Comum",0,IF(C156="Elite",2,IF(C156="Boss",4,6))),0)</f>
        <v/>
      </c>
      <c r="T156" s="241" t="inlineStr">
        <is>
          <t>Ouro + Lâmina Espectral Menor</t>
        </is>
      </c>
      <c r="U156" s="241" t="inlineStr">
        <is>
          <t>Queimadura</t>
        </is>
      </c>
      <c r="V156" s="161" t="inlineStr">
        <is>
          <t>Assassino</t>
        </is>
      </c>
      <c r="W156" s="161" t="inlineStr">
        <is>
          <t>Ruínas Élficas — Pátio Interno</t>
        </is>
      </c>
      <c r="X156" s="242" t="n"/>
      <c r="Y156" s="242" t="n"/>
      <c r="Z156" s="242" t="n"/>
      <c r="AA156" s="242" t="n"/>
    </row>
    <row r="157" ht="15" customHeight="1" s="116">
      <c r="A157" s="233" t="inlineStr">
        <is>
          <t>Aco Elfico</t>
        </is>
      </c>
      <c r="B157" s="234" t="inlineStr">
        <is>
          <t>Aranha-Seiva das Ruínas</t>
        </is>
      </c>
      <c r="C157" s="233" t="inlineStr">
        <is>
          <t>Comum</t>
        </is>
      </c>
      <c r="D157" s="235" t="n">
        <v>23</v>
      </c>
      <c r="E157" s="236">
        <f>ROUND(INDEX('Curva Mestra'!$F$20:$F$94,MATCH(D157,'Curva Mestra'!$A$20:$A$94,0)),0)</f>
        <v/>
      </c>
      <c r="F157" s="236">
        <f>ROUND(INDEX('Curva Mestra'!$C$20:$C$94,MATCH(D157,'Curva Mestra'!$A$20:$A$94,0))*INDEX($B$5:$B$8,MATCH(C157,$A$5:$A$8,0)),0)</f>
        <v/>
      </c>
      <c r="G157" s="236">
        <f>ROUND(INDEX('Curva Mestra'!$D$20:$D$94,MATCH(D157,'Curva Mestra'!$A$20:$A$94,0))+INDEX($C$5:$C$8,MATCH(C157,$A$5:$A$8,0)),0)</f>
        <v/>
      </c>
      <c r="H157" s="237" t="inlineStr">
        <is>
          <t>Domínio Élfico-Anão dos Ecos, região de Aco Elfico.</t>
        </is>
      </c>
      <c r="I157" s="236" t="inlineStr">
        <is>
          <t>Seiva Grudenta</t>
        </is>
      </c>
      <c r="J157" s="235" t="inlineStr">
        <is>
          <t>Reduz a velocidade de fuga do alvo em 1 turno.</t>
        </is>
      </c>
      <c r="K157" s="236" t="inlineStr">
        <is>
          <t>Aracnídeo nativo do bosque sagrado — cresceu maior depois que a seiva prateada das árvores começou a escurecer perto das fendas de corrupção.</t>
        </is>
      </c>
      <c r="L157" s="238">
        <f>IF(C157="Comum",ROUND(E157*1.3,0),"—")</f>
        <v/>
      </c>
      <c r="M157" s="239">
        <f>IF(C157="Comum",ROUND(F157*1.15,0),"—")</f>
        <v/>
      </c>
      <c r="N157" s="240">
        <f>IF(C157="Comum",G157+2,"—")</f>
        <v/>
      </c>
      <c r="O157" s="239">
        <f>IF(C157="Comum",ROUND(E157*1.6,0),"—")</f>
        <v/>
      </c>
      <c r="P157" s="241">
        <f>IF(C157="Comum",ROUND(F157*1.3,0),"—")</f>
        <v/>
      </c>
      <c r="Q157" s="241">
        <f>IF(C157="Comum",G157+4,"—")</f>
        <v/>
      </c>
      <c r="R157" s="241" t="inlineStr">
        <is>
          <t>Sentinelas Erradas</t>
        </is>
      </c>
      <c r="S157" s="241">
        <f>ROUND(INDEX('Curva Mestra'!$D$20:$D$94,MATCH(D157,'Curva Mestra'!$A$20:$A$94,0))-IF(C157="Comum",9,IF(C157="Elite",6,IF(C157="Boss",4,3))),0)</f>
        <v/>
      </c>
      <c r="T157" s="241" t="inlineStr">
        <is>
          <t>Ouro + Seiva Escurecida de Aranha + Cristal Ressonante da Elfa (chance rara)</t>
        </is>
      </c>
      <c r="U157" s="241" t="inlineStr">
        <is>
          <t>Vulnerável a Ignora Defesa — pele grossa, mas com pontos fracos previsíveis.</t>
        </is>
      </c>
      <c r="V157" s="242" t="inlineStr">
        <is>
          <t>DPS</t>
        </is>
      </c>
      <c r="W157" s="242" t="inlineStr">
        <is>
          <t>Ruínas Élficas</t>
        </is>
      </c>
      <c r="X157" s="242" t="n"/>
      <c r="Y157" s="242" t="n"/>
      <c r="Z157" s="242" t="n"/>
      <c r="AA157" s="242" t="n"/>
    </row>
    <row r="158" ht="15" customHeight="1" s="116">
      <c r="A158" s="233" t="inlineStr">
        <is>
          <t>Aco Elfico</t>
        </is>
      </c>
      <c r="B158" s="234" t="inlineStr">
        <is>
          <t>Assassino Silente</t>
        </is>
      </c>
      <c r="C158" s="233" t="inlineStr">
        <is>
          <t>Comum</t>
        </is>
      </c>
      <c r="D158" s="235" t="n">
        <v>23</v>
      </c>
      <c r="E158" s="236">
        <f>ROUND(INDEX('Curva Mestra'!$F$20:$F$94,MATCH(D158,'Curva Mestra'!$A$20:$A$94,0)),0)</f>
        <v/>
      </c>
      <c r="F158" s="236">
        <f>ROUND(INDEX('Curva Mestra'!$C$20:$C$94,MATCH(D158,'Curva Mestra'!$A$20:$A$94,0))*INDEX($B$5:$B$8,MATCH(C158,$A$5:$A$8,0)),0)</f>
        <v/>
      </c>
      <c r="G158" s="236">
        <f>ROUND(INDEX('Curva Mestra'!$D$20:$D$94,MATCH(D158,'Curva Mestra'!$A$20:$A$94,0))+INDEX($C$5:$C$8,MATCH(C158,$A$5:$A$8,0)),0)</f>
        <v/>
      </c>
      <c r="H158" s="237" t="inlineStr">
        <is>
          <t>Domínio Élfico-Anão dos Ecos, região de Aco Elfico.</t>
        </is>
      </c>
      <c r="I158" s="236" t="inlineStr">
        <is>
          <t>Golpe sem Eco</t>
        </is>
      </c>
      <c r="J158" s="235" t="inlineStr">
        <is>
          <t>+2 no primeiro golpe se o alvo não percebeu a aproximação.</t>
        </is>
      </c>
      <c r="K158" s="236" t="inlineStr">
        <is>
          <t>Operativo da Ordem do Silêncio Eterno, ramo élfico da mesma filosofia da Fraternidade dos Sem-Voz — caça conjuradores pra "proteger o mundo do próprio som".</t>
        </is>
      </c>
      <c r="L158" s="238">
        <f>IF(C158="Comum",ROUND(E158*1.3,0),"—")</f>
        <v/>
      </c>
      <c r="M158" s="239">
        <f>IF(C158="Comum",ROUND(F158*1.15,0),"—")</f>
        <v/>
      </c>
      <c r="N158" s="240">
        <f>IF(C158="Comum",G158+2,"—")</f>
        <v/>
      </c>
      <c r="O158" s="239">
        <f>IF(C158="Comum",ROUND(E158*1.6,0),"—")</f>
        <v/>
      </c>
      <c r="P158" s="241">
        <f>IF(C158="Comum",ROUND(F158*1.3,0),"—")</f>
        <v/>
      </c>
      <c r="Q158" s="241">
        <f>IF(C158="Comum",G158+4,"—")</f>
        <v/>
      </c>
      <c r="R158" s="241" t="inlineStr">
        <is>
          <t>O Caçador de Conjuradores</t>
        </is>
      </c>
      <c r="S158" s="241">
        <f>ROUND(INDEX('Curva Mestra'!$D$20:$D$94,MATCH(D158,'Curva Mestra'!$A$20:$A$94,0))-IF(C158="Comum",9,IF(C158="Elite",6,IF(C158="Boss",4,3))),0)</f>
        <v/>
      </c>
      <c r="T158" s="241" t="inlineStr">
        <is>
          <t>Ouro + Capuz Silencioso da Ordem + Cristal Ressonante da Elfa (chance rara)</t>
        </is>
      </c>
      <c r="U158" s="241" t="inlineStr">
        <is>
          <t>Sem fraqueza óbvia — precisa de Knowledge alto pra descobrir algo específico.</t>
        </is>
      </c>
      <c r="V158" s="242" t="inlineStr">
        <is>
          <t>DPS</t>
        </is>
      </c>
      <c r="W158" s="242" t="inlineStr">
        <is>
          <t>Ruínas Élficas</t>
        </is>
      </c>
      <c r="X158" s="242" t="n"/>
      <c r="Y158" s="242" t="n"/>
      <c r="Z158" s="242" t="n"/>
      <c r="AA158" s="242" t="n"/>
    </row>
    <row r="159" ht="15" customHeight="1" s="116">
      <c r="A159" s="241" t="inlineStr">
        <is>
          <t>Aco Elfico</t>
        </is>
      </c>
      <c r="B159" s="241" t="inlineStr">
        <is>
          <t>Batedor Élfico Corrompido</t>
        </is>
      </c>
      <c r="C159" s="241" t="inlineStr">
        <is>
          <t>Comum</t>
        </is>
      </c>
      <c r="D159" s="241" t="n">
        <v>23</v>
      </c>
      <c r="E159" s="241">
        <f>ROUND(INDEX('Curva Mestra'!$F$20:$F$94,MATCH(D159,'Curva Mestra'!$A$20:$A$94,0)),0)</f>
        <v/>
      </c>
      <c r="F159" s="241">
        <f>ROUND(INDEX('Curva Mestra'!$C$20:$C$94,MATCH(D159,'Curva Mestra'!$A$20:$A$94,0))*INDEX($B$5:$B$8,MATCH(C159,$A$5:$A$8,0)),0)</f>
        <v/>
      </c>
      <c r="G159" s="241">
        <f>ROUND(INDEX('Curva Mestra'!$D$20:$D$94,MATCH(D159,'Curva Mestra'!$A$20:$A$94,0))+INDEX($C$5:$C$8,MATCH(C159,$A$5:$A$8,0)),0)</f>
        <v/>
      </c>
      <c r="H159" s="241" t="inlineStr">
        <is>
          <t>Ronda os Bosques Pétreos em busca de intrusos.</t>
        </is>
      </c>
      <c r="I159" s="241" t="inlineStr">
        <is>
          <t>Flecha Precisa</t>
        </is>
      </c>
      <c r="J159" s="241" t="inlineStr">
        <is>
          <t>Ignora Defesa.</t>
        </is>
      </c>
      <c r="K159" s="241" t="inlineStr">
        <is>
          <t>Rastreava intrusos nas ruínas. Agora rastreia qualquer coisa viva.</t>
        </is>
      </c>
      <c r="L159" s="241">
        <f>IF(C159="Comum",ROUND(E159*1.3,0),"—")</f>
        <v/>
      </c>
      <c r="M159" s="241">
        <f>IF(C159="Comum",ROUND(F159*1.15,0),"—")</f>
        <v/>
      </c>
      <c r="N159" s="241">
        <f>IF(C159="Comum",G159+2,"—")</f>
        <v/>
      </c>
      <c r="O159" s="241">
        <f>IF(C159="Comum",ROUND(E159*1.6,0),"—")</f>
        <v/>
      </c>
      <c r="P159" s="241">
        <f>IF(C159="Comum",ROUND(F159*1.3,0),"—")</f>
        <v/>
      </c>
      <c r="Q159" s="241">
        <f>IF(C159="Comum",G159+4,"—")</f>
        <v/>
      </c>
      <c r="R159" s="242" t="n"/>
      <c r="S159" s="241">
        <f>ROUND(3+0.6*D159+IF(C159="Comum",0,IF(C159="Elite",2,IF(C159="Boss",4,6))),0)</f>
        <v/>
      </c>
      <c r="T159" s="241" t="inlineStr">
        <is>
          <t>Ouro + Arco Corrompido de Batedor Veterano</t>
        </is>
      </c>
      <c r="U159" s="241" t="inlineStr">
        <is>
          <t>Atordoamento</t>
        </is>
      </c>
      <c r="V159" s="241" t="inlineStr">
        <is>
          <t>Ranged/DPS</t>
        </is>
      </c>
      <c r="W159" s="241" t="inlineStr">
        <is>
          <t>Bosques Pétreos</t>
        </is>
      </c>
      <c r="X159" s="243" t="n"/>
      <c r="Y159" s="243" t="n"/>
      <c r="Z159" s="243" t="n"/>
      <c r="AA159" s="243" t="n"/>
    </row>
    <row r="160" ht="15" customHeight="1" s="116">
      <c r="A160" s="241" t="inlineStr">
        <is>
          <t>Aco Elfico</t>
        </is>
      </c>
      <c r="B160" s="241" t="inlineStr">
        <is>
          <t>Caçador de Conjuradores Menor</t>
        </is>
      </c>
      <c r="C160" s="241" t="inlineStr">
        <is>
          <t>Comum</t>
        </is>
      </c>
      <c r="D160" s="241" t="n">
        <v>23</v>
      </c>
      <c r="E160" s="241">
        <f>ROUND(INDEX('Curva Mestra'!$F$20:$F$94,MATCH(D160,'Curva Mestra'!$A$20:$A$94,0)),0)</f>
        <v/>
      </c>
      <c r="F160" s="241">
        <f>ROUND(INDEX('Curva Mestra'!$C$20:$C$94,MATCH(D160,'Curva Mestra'!$A$20:$A$94,0))*INDEX($B$5:$B$8,MATCH(C160,$A$5:$A$8,0)),0)</f>
        <v/>
      </c>
      <c r="G160" s="241">
        <f>ROUND(INDEX('Curva Mestra'!$D$20:$D$94,MATCH(D160,'Curva Mestra'!$A$20:$A$94,0))+INDEX($C$5:$C$8,MATCH(C160,$A$5:$A$8,0)),0)</f>
        <v/>
      </c>
      <c r="H160" s="241" t="inlineStr">
        <is>
          <t>Rastreia magia nos Bosques Pétreos.</t>
        </is>
      </c>
      <c r="I160" s="241" t="inlineStr">
        <is>
          <t>Marca Silenciadora</t>
        </is>
      </c>
      <c r="J160" s="241" t="inlineStr">
        <is>
          <t>Reduz o custo de Mana disponível do jogador em 10% por 2 turnos.</t>
        </is>
      </c>
      <c r="K160" s="241" t="inlineStr">
        <is>
          <t>Treinado pra caçar quem usa magia nas ruínas — a Infecção manteve o instinto.</t>
        </is>
      </c>
      <c r="L160" s="241">
        <f>IF(C160="Comum",ROUND(E160*1.3,0),"—")</f>
        <v/>
      </c>
      <c r="M160" s="241">
        <f>IF(C160="Comum",ROUND(F160*1.15,0),"—")</f>
        <v/>
      </c>
      <c r="N160" s="241">
        <f>IF(C160="Comum",G160+2,"—")</f>
        <v/>
      </c>
      <c r="O160" s="241">
        <f>IF(C160="Comum",ROUND(E160*1.6,0),"—")</f>
        <v/>
      </c>
      <c r="P160" s="241">
        <f>IF(C160="Comum",ROUND(F160*1.3,0),"—")</f>
        <v/>
      </c>
      <c r="Q160" s="241">
        <f>IF(C160="Comum",G160+4,"—")</f>
        <v/>
      </c>
      <c r="R160" s="242" t="n"/>
      <c r="S160" s="241">
        <f>ROUND(3+0.6*D160+IF(C160="Comum",0,IF(C160="Elite",2,IF(C160="Boss",4,6))),0)</f>
        <v/>
      </c>
      <c r="T160" s="241" t="inlineStr">
        <is>
          <t>Ouro + Corda Rúnica de Caçador Menor</t>
        </is>
      </c>
      <c r="U160" s="241" t="inlineStr">
        <is>
          <t>Ignora Resistência Mágica</t>
        </is>
      </c>
      <c r="V160" s="241" t="inlineStr">
        <is>
          <t>Debuffer</t>
        </is>
      </c>
      <c r="W160" s="241" t="inlineStr">
        <is>
          <t>Bosques Pétreos</t>
        </is>
      </c>
      <c r="X160" s="243" t="n"/>
      <c r="Y160" s="243" t="n"/>
      <c r="Z160" s="243" t="n"/>
      <c r="AA160" s="243" t="n"/>
    </row>
    <row r="161" ht="15" customHeight="1" s="116">
      <c r="A161" s="241" t="inlineStr">
        <is>
          <t>Aco Elfico</t>
        </is>
      </c>
      <c r="B161" s="241" t="inlineStr">
        <is>
          <t>Ent Ancião Corrompido</t>
        </is>
      </c>
      <c r="C161" s="241" t="inlineStr">
        <is>
          <t>Comum</t>
        </is>
      </c>
      <c r="D161" s="241" t="n">
        <v>23</v>
      </c>
      <c r="E161" s="241">
        <f>ROUND(INDEX('Curva Mestra'!$F$20:$F$94,MATCH(D161,'Curva Mestra'!$A$20:$A$94,0)),0)</f>
        <v/>
      </c>
      <c r="F161" s="241">
        <f>ROUND(INDEX('Curva Mestra'!$C$20:$C$94,MATCH(D161,'Curva Mestra'!$A$20:$A$94,0))*INDEX($B$5:$B$8,MATCH(C161,$A$5:$A$8,0)),0)</f>
        <v/>
      </c>
      <c r="G161" s="241">
        <f>ROUND(INDEX('Curva Mestra'!$D$20:$D$94,MATCH(D161,'Curva Mestra'!$A$20:$A$94,0))+INDEX($C$5:$C$8,MATCH(C161,$A$5:$A$8,0)),0)</f>
        <v/>
      </c>
      <c r="H161" s="241" t="inlineStr">
        <is>
          <t>Variante mais antiga e forte do Ent Pequeno Corrompido.</t>
        </is>
      </c>
      <c r="I161" s="241" t="inlineStr">
        <is>
          <t>Golpe de Raiz Profunda</t>
        </is>
      </c>
      <c r="J161" s="241" t="inlineStr">
        <is>
          <t>Fragilidade forte.</t>
        </is>
      </c>
      <c r="K161" s="241" t="inlineStr">
        <is>
          <t>Árvore mais velha que o Ent Pequeno, corrompida há mais tempo.</t>
        </is>
      </c>
      <c r="L161" s="241">
        <f>IF(C161="Comum",ROUND(E161*1.3,0),"—")</f>
        <v/>
      </c>
      <c r="M161" s="241">
        <f>IF(C161="Comum",ROUND(F161*1.15,0),"—")</f>
        <v/>
      </c>
      <c r="N161" s="241">
        <f>IF(C161="Comum",G161+2,"—")</f>
        <v/>
      </c>
      <c r="O161" s="241">
        <f>IF(C161="Comum",ROUND(E161*1.6,0),"—")</f>
        <v/>
      </c>
      <c r="P161" s="241">
        <f>IF(C161="Comum",ROUND(F161*1.3,0),"—")</f>
        <v/>
      </c>
      <c r="Q161" s="241">
        <f>IF(C161="Comum",G161+4,"—")</f>
        <v/>
      </c>
      <c r="R161" s="242" t="n"/>
      <c r="S161" s="241">
        <f>ROUND(3+0.6*D161+IF(C161="Comum",0,IF(C161="Elite",2,IF(C161="Boss",4,6))),0)</f>
        <v/>
      </c>
      <c r="T161" s="241" t="inlineStr">
        <is>
          <t>Ouro + Casca Corrompida de Ent Ancião</t>
        </is>
      </c>
      <c r="U161" s="241" t="inlineStr">
        <is>
          <t>Queimadura</t>
        </is>
      </c>
      <c r="V161" s="241" t="inlineStr">
        <is>
          <t>Tanque</t>
        </is>
      </c>
      <c r="W161" s="241" t="inlineStr">
        <is>
          <t>Bosques Pétreos</t>
        </is>
      </c>
      <c r="X161" s="243" t="n"/>
      <c r="Y161" s="243" t="n"/>
      <c r="Z161" s="243" t="n"/>
      <c r="AA161" s="243" t="n"/>
    </row>
    <row r="162" ht="15" customHeight="1" s="116">
      <c r="A162" s="241" t="inlineStr">
        <is>
          <t>Aco Elfico</t>
        </is>
      </c>
      <c r="B162" s="241" t="inlineStr">
        <is>
          <t>Guardiao das Ruinas</t>
        </is>
      </c>
      <c r="C162" s="241" t="inlineStr">
        <is>
          <t>Elite</t>
        </is>
      </c>
      <c r="D162" s="241" t="n">
        <v>23</v>
      </c>
      <c r="E162" s="241">
        <f>ROUND(INDEX('Curva Mestra'!$G$20:$G$94,MATCH(D162,'Curva Mestra'!$A$20:$A$94,0)),0)</f>
        <v/>
      </c>
      <c r="F162" s="241">
        <f>ROUND(INDEX('Curva Mestra'!$C$20:$C$94,MATCH(D162,'Curva Mestra'!$A$20:$A$94,0))*INDEX($B$5:$B$8,MATCH(C162,$A$5:$A$8,0)),0)</f>
        <v/>
      </c>
      <c r="G162" s="241">
        <f>ROUND(INDEX('Curva Mestra'!$D$20:$D$94,MATCH(D162,'Curva Mestra'!$A$20:$A$94,0))+INDEX($C$5:$C$8,MATCH(C162,$A$5:$A$8,0)),0)</f>
        <v/>
      </c>
      <c r="H162" s="241" t="inlineStr">
        <is>
          <t>Encontro dificil dentro do tier Aco Elfico</t>
        </is>
      </c>
      <c r="I162" s="241" t="inlineStr">
        <is>
          <t>Golpe de Pedra Antiga</t>
        </is>
      </c>
      <c r="J162" s="241" t="inlineStr">
        <is>
          <t>Sem efeito mecânico além do dano — ataque direto.</t>
        </is>
      </c>
      <c r="K162" s="241" t="inlineStr">
        <is>
          <t>Protege as ruínas por juramento antigo — não distingue mais entre saqueador e viajante perdido.</t>
        </is>
      </c>
      <c r="L162" s="241">
        <f>IF(C162="Comum",ROUND(E162*1.3,0),"—")</f>
        <v/>
      </c>
      <c r="M162" s="241">
        <f>IF(C162="Comum",ROUND(F162*1.15,0),"—")</f>
        <v/>
      </c>
      <c r="N162" s="241">
        <f>IF(C162="Comum",G162+2,"—")</f>
        <v/>
      </c>
      <c r="O162" s="241">
        <f>IF(C162="Comum",ROUND(E162*1.6,0),"—")</f>
        <v/>
      </c>
      <c r="P162" s="241">
        <f>IF(C162="Comum",ROUND(F162*1.3,0),"—")</f>
        <v/>
      </c>
      <c r="Q162" s="241">
        <f>IF(C162="Comum",G162+4,"—")</f>
        <v/>
      </c>
      <c r="R162" s="161" t="inlineStr">
        <is>
          <t>As Runas do Guardião</t>
        </is>
      </c>
      <c r="S162" s="241">
        <f>ROUND(INDEX('Curva Mestra'!$D$20:$D$94,MATCH(D162,'Curva Mestra'!$A$20:$A$94,0))-IF(C162="Comum",9,IF(C162="Elite",6,IF(C162="Boss",4,3))),0)</f>
        <v/>
      </c>
      <c r="T162" s="241" t="inlineStr">
        <is>
          <t>Núcleo de Guardiao das Ruinas + Ouro + Cristal Ressonante da Elfa (chance baixa)</t>
        </is>
      </c>
      <c r="U162" s="241" t="inlineStr">
        <is>
          <t>Vulnerável a Ignora Resistência Mágica — segue ordens antigas, sem vontade própria pra resistir.</t>
        </is>
      </c>
      <c r="V162" s="243" t="inlineStr">
        <is>
          <t>DPS</t>
        </is>
      </c>
      <c r="W162" s="243" t="inlineStr">
        <is>
          <t>Ruínas Élficas</t>
        </is>
      </c>
      <c r="X162" s="243" t="n"/>
      <c r="Y162" s="243" t="n"/>
      <c r="Z162" s="243" t="n"/>
      <c r="AA162" s="243" t="n"/>
    </row>
    <row r="163" ht="15" customHeight="1" s="116">
      <c r="A163" s="241" t="inlineStr">
        <is>
          <t>Aco Elfico</t>
        </is>
      </c>
      <c r="B163" s="241" t="inlineStr">
        <is>
          <t>Árvore Sentinela Falsa</t>
        </is>
      </c>
      <c r="C163" s="241" t="inlineStr">
        <is>
          <t>Elite</t>
        </is>
      </c>
      <c r="D163" s="241" t="n">
        <v>23</v>
      </c>
      <c r="E163" s="241">
        <f>ROUND(INDEX('Curva Mestra'!$G$20:$G$94,MATCH(D163,'Curva Mestra'!$A$20:$A$94,0)),0)</f>
        <v/>
      </c>
      <c r="F163" s="241">
        <f>ROUND(INDEX('Curva Mestra'!$C$20:$C$94,MATCH(D163,'Curva Mestra'!$A$20:$A$94,0))*INDEX($B$5:$B$8,MATCH(C163,$A$5:$A$8,0)),0)</f>
        <v/>
      </c>
      <c r="G163" s="241">
        <f>ROUND(INDEX('Curva Mestra'!$D$20:$D$94,MATCH(D163,'Curva Mestra'!$A$20:$A$94,0))+INDEX($C$5:$C$8,MATCH(C163,$A$5:$A$8,0)),0)</f>
        <v/>
      </c>
      <c r="H163" s="241" t="inlineStr">
        <is>
          <t>Disfarçada entre as árvores antigas dos Bosques Pétreos.</t>
        </is>
      </c>
      <c r="I163" s="241" t="inlineStr">
        <is>
          <t>Raiz Súbita</t>
        </is>
      </c>
      <c r="J163" s="241" t="inlineStr">
        <is>
          <t>Ignora Defesa + jogador perde 1 turno de surpresa.</t>
        </is>
      </c>
      <c r="K163" s="241" t="inlineStr">
        <is>
          <t>Armadilha viva plantada pela Vigília pra pegar saqueadores das ruínas.</t>
        </is>
      </c>
      <c r="L163" s="241">
        <f>IF(C163="Comum",ROUND(E163*1.3,0),"—")</f>
        <v/>
      </c>
      <c r="M163" s="241">
        <f>IF(C163="Comum",ROUND(F163*1.15,0),"—")</f>
        <v/>
      </c>
      <c r="N163" s="241">
        <f>IF(C163="Comum",G163+2,"—")</f>
        <v/>
      </c>
      <c r="O163" s="241">
        <f>IF(C163="Comum",ROUND(E163*1.6,0),"—")</f>
        <v/>
      </c>
      <c r="P163" s="241">
        <f>IF(C163="Comum",ROUND(F163*1.3,0),"—")</f>
        <v/>
      </c>
      <c r="Q163" s="241">
        <f>IF(C163="Comum",G163+4,"—")</f>
        <v/>
      </c>
      <c r="R163" s="242" t="n"/>
      <c r="S163" s="241">
        <f>ROUND(3+0.6*D163+IF(C163="Comum",0,IF(C163="Elite",2,IF(C163="Boss",4,6))),0)</f>
        <v/>
      </c>
      <c r="T163" s="241" t="inlineStr">
        <is>
          <t>Ouro + Sabugueiro Ancestral (chance alta, x2) + Fragmento de Raiz Armadilhada</t>
        </is>
      </c>
      <c r="U163" s="241" t="inlineStr">
        <is>
          <t>Atordoamento</t>
        </is>
      </c>
      <c r="V163" s="241" t="inlineStr">
        <is>
          <t>Mímico</t>
        </is>
      </c>
      <c r="W163" s="241" t="inlineStr">
        <is>
          <t>Bosques Pétreos, 5% ao interagir com árvore antiga</t>
        </is>
      </c>
      <c r="X163" s="243" t="n"/>
      <c r="Y163" s="243" t="n"/>
      <c r="Z163" s="241" t="inlineStr">
        <is>
          <t>A Vigília das Folhas de Prata planta essas de propósito.</t>
        </is>
      </c>
      <c r="AA163" s="241" t="inlineStr">
        <is>
          <t>Sabugueiro Ancestral x2 (falso — some ao ser revelado, sem uso real)</t>
        </is>
      </c>
    </row>
    <row r="164" ht="15" customHeight="1" s="116">
      <c r="A164" s="233" t="inlineStr">
        <is>
          <t>Aco Elfico</t>
        </is>
      </c>
      <c r="B164" s="234" t="inlineStr">
        <is>
          <t>Cervo Prateado das Ruínas</t>
        </is>
      </c>
      <c r="C164" s="233" t="inlineStr">
        <is>
          <t>Elite</t>
        </is>
      </c>
      <c r="D164" s="235" t="n">
        <v>23</v>
      </c>
      <c r="E164" s="236">
        <f>ROUND(INDEX('Curva Mestra'!$G$20:$G$94,MATCH(D164,'Curva Mestra'!$A$20:$A$94,0)),0)</f>
        <v/>
      </c>
      <c r="F164" s="236">
        <f>ROUND(INDEX('Curva Mestra'!$C$20:$C$94,MATCH(D164,'Curva Mestra'!$A$20:$A$94,0))*INDEX($B$5:$B$8,MATCH(C164,$A$5:$A$8,0)),0)</f>
        <v/>
      </c>
      <c r="G164" s="236">
        <f>ROUND(INDEX('Curva Mestra'!$D$20:$D$94,MATCH(D164,'Curva Mestra'!$A$20:$A$94,0))+INDEX($C$5:$C$8,MATCH(C164,$A$5:$A$8,0)),0)</f>
        <v/>
      </c>
      <c r="H164" s="237" t="inlineStr">
        <is>
          <t>Raro, avistado fugindo pelos Bosques Pétreos.</t>
        </is>
      </c>
      <c r="I164" s="236" t="inlineStr">
        <is>
          <t>Fuga Élfica</t>
        </is>
      </c>
      <c r="J164" s="235" t="inlineStr">
        <is>
          <t>Não causa dano — foge no turno 3.</t>
        </is>
      </c>
      <c r="K164" s="236" t="inlineStr">
        <is>
          <t>Última linhagem de cervos que bebiam da fonte élfica antiga.</t>
        </is>
      </c>
      <c r="L164" s="238">
        <f>IF(C164="Comum",ROUND(E164*1.3,0),"—")</f>
        <v/>
      </c>
      <c r="M164" s="239">
        <f>IF(C164="Comum",ROUND(F164*1.15,0),"—")</f>
        <v/>
      </c>
      <c r="N164" s="240">
        <f>IF(C164="Comum",G164+2,"—")</f>
        <v/>
      </c>
      <c r="O164" s="239">
        <f>IF(C164="Comum",ROUND(E164*1.6,0),"—")</f>
        <v/>
      </c>
      <c r="P164" s="241">
        <f>IF(C164="Comum",ROUND(F164*1.3,0),"—")</f>
        <v/>
      </c>
      <c r="Q164" s="241">
        <f>IF(C164="Comum",G164+4,"—")</f>
        <v/>
      </c>
      <c r="R164" s="243" t="n"/>
      <c r="S164" s="241">
        <f>ROUND(3+0.6*D164+IF(C164="Comum",0,IF(C164="Elite",2,IF(C164="Boss",4,6))),0)</f>
        <v/>
      </c>
      <c r="T164" s="241" t="inlineStr">
        <is>
          <t>Ouro + Pelo Prateado do Cervo</t>
        </is>
      </c>
      <c r="U164" s="241" t="inlineStr">
        <is>
          <t>Lentidão</t>
        </is>
      </c>
      <c r="V164" s="161" t="inlineStr">
        <is>
          <t>Superloot/Evasivo</t>
        </is>
      </c>
      <c r="W164" s="161" t="inlineStr">
        <is>
          <t>Bosques Pétreos, spawn raro (2%)</t>
        </is>
      </c>
      <c r="X164" s="242" t="n"/>
      <c r="Y164" s="242" t="n"/>
      <c r="Z164" s="242" t="n"/>
      <c r="AA164" s="161" t="inlineStr">
        <is>
          <t>Latão de Fornalha Subterrânea (material de Tier 6)</t>
        </is>
      </c>
    </row>
    <row r="165" ht="15" customHeight="1" s="116">
      <c r="A165" s="233" t="inlineStr">
        <is>
          <t>Aco Elfico</t>
        </is>
      </c>
      <c r="B165" s="234" t="inlineStr">
        <is>
          <t>Guardião Menor dos Portões</t>
        </is>
      </c>
      <c r="C165" s="233" t="inlineStr">
        <is>
          <t>Elite</t>
        </is>
      </c>
      <c r="D165" s="235" t="n">
        <v>23</v>
      </c>
      <c r="E165" s="236">
        <f>ROUND(INDEX('Curva Mestra'!$G$20:$G$94,MATCH(D165,'Curva Mestra'!$A$20:$A$94,0)),0)</f>
        <v/>
      </c>
      <c r="F165" s="236">
        <f>ROUND(INDEX('Curva Mestra'!$C$20:$C$94,MATCH(D165,'Curva Mestra'!$A$20:$A$94,0))*INDEX($B$5:$B$8,MATCH(C165,$A$5:$A$8,0)),0)</f>
        <v/>
      </c>
      <c r="G165" s="236">
        <f>ROUND(INDEX('Curva Mestra'!$D$20:$D$94,MATCH(D165,'Curva Mestra'!$A$20:$A$94,0))+INDEX($C$5:$C$8,MATCH(C165,$A$5:$A$8,0)),0)</f>
        <v/>
      </c>
      <c r="H165" s="237" t="inlineStr">
        <is>
          <t>Guardião menor, protege uma entrada secundária.</t>
        </is>
      </c>
      <c r="I165" s="236" t="inlineStr">
        <is>
          <t>Barreira Fraca</t>
        </is>
      </c>
      <c r="J165" s="235" t="inlineStr">
        <is>
          <t>Ignora Defesa (moderado) — nunca sai do posto.</t>
        </is>
      </c>
      <c r="K165" s="236" t="inlineStr">
        <is>
          <t>Fragmento do Guardião dos Portões principal.</t>
        </is>
      </c>
      <c r="L165" s="238">
        <f>IF(C165="Comum",ROUND(E165*1.3,0),"—")</f>
        <v/>
      </c>
      <c r="M165" s="239">
        <f>IF(C165="Comum",ROUND(F165*1.15,0),"—")</f>
        <v/>
      </c>
      <c r="N165" s="240">
        <f>IF(C165="Comum",G165+2,"—")</f>
        <v/>
      </c>
      <c r="O165" s="239">
        <f>IF(C165="Comum",ROUND(E165*1.6,0),"—")</f>
        <v/>
      </c>
      <c r="P165" s="241">
        <f>IF(C165="Comum",ROUND(F165*1.3,0),"—")</f>
        <v/>
      </c>
      <c r="Q165" s="241">
        <f>IF(C165="Comum",G165+4,"—")</f>
        <v/>
      </c>
      <c r="R165" s="243" t="n"/>
      <c r="S165" s="241">
        <f>ROUND(3+0.6*D165+IF(C165="Comum",0,IF(C165="Elite",2,IF(C165="Boss",4,6))),0)</f>
        <v/>
      </c>
      <c r="T165" s="241" t="inlineStr">
        <is>
          <t>Ouro + Fragmento de Guardião Menor dos Portões + Cristal Ressonante da Elfa (chance baixa)</t>
        </is>
      </c>
      <c r="U165" s="241" t="inlineStr">
        <is>
          <t>Ignora Resistência Mágica</t>
        </is>
      </c>
      <c r="V165" s="161" t="inlineStr">
        <is>
          <t>Tanque</t>
        </is>
      </c>
      <c r="W165" s="161" t="inlineStr">
        <is>
          <t>Ruínas Élficas — Portão Principal</t>
        </is>
      </c>
      <c r="X165" s="242" t="n"/>
      <c r="Y165" s="242" t="n"/>
      <c r="Z165" s="242" t="n"/>
      <c r="AA165" s="242" t="n"/>
    </row>
    <row r="166" ht="15" customHeight="1" s="116">
      <c r="A166" s="233" t="inlineStr">
        <is>
          <t>Aco Elfico</t>
        </is>
      </c>
      <c r="B166" s="234" t="inlineStr">
        <is>
          <t>Guardião dos Bosques Pétreos</t>
        </is>
      </c>
      <c r="C166" s="233" t="inlineStr">
        <is>
          <t>Elite</t>
        </is>
      </c>
      <c r="D166" s="235" t="n">
        <v>24</v>
      </c>
      <c r="E166" s="236">
        <f>ROUND(INDEX('Curva Mestra'!$G$20:$G$94,MATCH(D166,'Curva Mestra'!$A$20:$A$94,0)),0)</f>
        <v/>
      </c>
      <c r="F166" s="236">
        <f>ROUND(INDEX('Curva Mestra'!$C$20:$C$94,MATCH(D166,'Curva Mestra'!$A$20:$A$94,0))*INDEX($B$5:$B$8,MATCH(C166,$A$5:$A$8,0)),0)</f>
        <v/>
      </c>
      <c r="G166" s="236">
        <f>ROUND(INDEX('Curva Mestra'!$D$20:$D$94,MATCH(D166,'Curva Mestra'!$A$20:$A$94,0))+INDEX($C$5:$C$8,MATCH(C166,$A$5:$A$8,0)),0)</f>
        <v/>
      </c>
      <c r="H166" s="237" t="inlineStr">
        <is>
          <t>Domínio Élfico-Anão dos Ecos, região de Aco Elfico.</t>
        </is>
      </c>
      <c r="I166" s="236" t="inlineStr">
        <is>
          <t>Julgamento de Raízes</t>
        </is>
      </c>
      <c r="J166" s="235" t="inlineStr">
        <is>
          <t>Imobiliza o herói por 1 turno se obtiver acerto crítico.</t>
        </is>
      </c>
      <c r="K166" s="236" t="inlineStr">
        <is>
          <t>Árvore ancestral animada pela magia protetora da dinastia élfica — hoje protege ruínas vazias com a mesma fúria de quando protegia um reino inteiro.</t>
        </is>
      </c>
      <c r="L166" s="238">
        <f>IF(C166="Comum",ROUND(E166*1.3,0),"—")</f>
        <v/>
      </c>
      <c r="M166" s="239">
        <f>IF(C166="Comum",ROUND(F166*1.15,0),"—")</f>
        <v/>
      </c>
      <c r="N166" s="240">
        <f>IF(C166="Comum",G166+2,"—")</f>
        <v/>
      </c>
      <c r="O166" s="239">
        <f>IF(C166="Comum",ROUND(E166*1.6,0),"—")</f>
        <v/>
      </c>
      <c r="P166" s="241">
        <f>IF(C166="Comum",ROUND(F166*1.3,0),"—")</f>
        <v/>
      </c>
      <c r="Q166" s="241">
        <f>IF(C166="Comum",G166+4,"—")</f>
        <v/>
      </c>
      <c r="R166" s="241" t="inlineStr">
        <is>
          <t>As Runas do Guardião</t>
        </is>
      </c>
      <c r="S166" s="241">
        <f>ROUND(INDEX('Curva Mestra'!$D$20:$D$94,MATCH(D166,'Curva Mestra'!$A$20:$A$94,0))-IF(C166="Comum",9,IF(C166="Elite",6,IF(C166="Boss",4,3))),0)</f>
        <v/>
      </c>
      <c r="T166" s="241" t="inlineStr">
        <is>
          <t>Núcleo de Guardião dos Bosques Pétreos + Ouro + Cristal Ressonante da Elfa (chance baixa)</t>
        </is>
      </c>
      <c r="U166" s="241" t="inlineStr">
        <is>
          <t>Vulnerável a Ignora Resistência Mágica — segue ordens antigas, sem vontade própria pra resistir.</t>
        </is>
      </c>
      <c r="V166" s="242" t="inlineStr">
        <is>
          <t>Controle</t>
        </is>
      </c>
      <c r="W166" s="242" t="inlineStr">
        <is>
          <t>Ruínas Élficas</t>
        </is>
      </c>
      <c r="X166" s="242" t="n"/>
      <c r="Y166" s="242" t="n"/>
      <c r="Z166" s="242" t="n"/>
      <c r="AA166" s="242" t="n"/>
    </row>
    <row r="167" ht="15" customHeight="1" s="116">
      <c r="A167" s="233" t="inlineStr">
        <is>
          <t>Aco Elfico</t>
        </is>
      </c>
      <c r="B167" s="234" t="inlineStr">
        <is>
          <t>Caçador de Conjuradores</t>
        </is>
      </c>
      <c r="C167" s="233" t="inlineStr">
        <is>
          <t>Elite</t>
        </is>
      </c>
      <c r="D167" s="235" t="n">
        <v>24</v>
      </c>
      <c r="E167" s="236">
        <f>ROUND(INDEX('Curva Mestra'!$G$20:$G$94,MATCH(D167,'Curva Mestra'!$A$20:$A$94,0)),0)</f>
        <v/>
      </c>
      <c r="F167" s="236">
        <f>ROUND(INDEX('Curva Mestra'!$C$20:$C$94,MATCH(D167,'Curva Mestra'!$A$20:$A$94,0))*INDEX($B$5:$B$8,MATCH(C167,$A$5:$A$8,0)),0)</f>
        <v/>
      </c>
      <c r="G167" s="236">
        <f>ROUND(INDEX('Curva Mestra'!$D$20:$D$94,MATCH(D167,'Curva Mestra'!$A$20:$A$94,0))+INDEX($C$5:$C$8,MATCH(C167,$A$5:$A$8,0)),0)</f>
        <v/>
      </c>
      <c r="H167" s="237" t="inlineStr">
        <is>
          <t>Domínio Élfico-Anão dos Ecos, região de Aco Elfico.</t>
        </is>
      </c>
      <c r="I167" s="236" t="inlineStr">
        <is>
          <t>Marca do Silêncio</t>
        </is>
      </c>
      <c r="J167" s="235" t="inlineStr">
        <is>
          <t>Impede o alvo de conjurar magias por 1 turno se acertar.</t>
        </is>
      </c>
      <c r="K167" s="236" t="inlineStr">
        <is>
          <t>Líder da Ordem do Silêncio Eterno na região — foi ele quem matou a família de Silas o Rastreador Noturno.</t>
        </is>
      </c>
      <c r="L167" s="238">
        <f>IF(C167="Comum",ROUND(E167*1.3,0),"—")</f>
        <v/>
      </c>
      <c r="M167" s="239">
        <f>IF(C167="Comum",ROUND(F167*1.15,0),"—")</f>
        <v/>
      </c>
      <c r="N167" s="240">
        <f>IF(C167="Comum",G167+2,"—")</f>
        <v/>
      </c>
      <c r="O167" s="239">
        <f>IF(C167="Comum",ROUND(E167*1.6,0),"—")</f>
        <v/>
      </c>
      <c r="P167" s="241">
        <f>IF(C167="Comum",ROUND(F167*1.3,0),"—")</f>
        <v/>
      </c>
      <c r="Q167" s="241">
        <f>IF(C167="Comum",G167+4,"—")</f>
        <v/>
      </c>
      <c r="R167" s="241" t="inlineStr">
        <is>
          <t>O Caçador de Conjuradores; O Luto de Silas</t>
        </is>
      </c>
      <c r="S167" s="241">
        <f>ROUND(INDEX('Curva Mestra'!$D$20:$D$94,MATCH(D167,'Curva Mestra'!$A$20:$A$94,0))-IF(C167="Comum",9,IF(C167="Elite",6,IF(C167="Boss",4,3))),0)</f>
        <v/>
      </c>
      <c r="T167" s="241" t="inlineStr">
        <is>
          <t>Fragmento de Caçador de Conjuradores + Ouro + Cristal Ressonante da Elfa (chance baixa)</t>
        </is>
      </c>
      <c r="U167" s="241" t="inlineStr">
        <is>
          <t>Sem fraqueza óbvia — precisa de Knowledge alto pra descobrir algo específico.</t>
        </is>
      </c>
      <c r="V167" s="242" t="inlineStr">
        <is>
          <t>DPS</t>
        </is>
      </c>
      <c r="W167" s="242" t="inlineStr">
        <is>
          <t>Ruínas Élficas</t>
        </is>
      </c>
      <c r="X167" s="242" t="n"/>
      <c r="Y167" s="242" t="n"/>
      <c r="Z167" s="242" t="n"/>
      <c r="AA167" s="242" t="n"/>
    </row>
    <row r="168" ht="23.25" customHeight="1" s="116">
      <c r="A168" s="233" t="inlineStr">
        <is>
          <t>Aco Elfico</t>
        </is>
      </c>
      <c r="B168" s="234" t="inlineStr">
        <is>
          <t>Vigília Élfica, a Que Não Dorme</t>
        </is>
      </c>
      <c r="C168" s="233" t="inlineStr">
        <is>
          <t>Elite</t>
        </is>
      </c>
      <c r="D168" s="235" t="n">
        <v>24</v>
      </c>
      <c r="E168" s="236">
        <f>ROUND(INDEX('Curva Mestra'!$G$20:$G$94,MATCH(D168,'Curva Mestra'!$A$20:$A$94,0)),0)</f>
        <v/>
      </c>
      <c r="F168" s="236">
        <f>ROUND(INDEX('Curva Mestra'!$C$20:$C$94,MATCH(D168,'Curva Mestra'!$A$20:$A$94,0))*INDEX($B$5:$B$8,MATCH(C168,$A$5:$A$8,0)),0)</f>
        <v/>
      </c>
      <c r="G168" s="236">
        <f>ROUND(INDEX('Curva Mestra'!$D$20:$D$94,MATCH(D168,'Curva Mestra'!$A$20:$A$94,0))+INDEX($C$5:$C$8,MATCH(C168,$A$5:$A$8,0)),0)</f>
        <v/>
      </c>
      <c r="H168" s="237" t="inlineStr">
        <is>
          <t>Rara, vista no pátio interno das ruínas.</t>
        </is>
      </c>
      <c r="I168" s="236" t="inlineStr">
        <is>
          <t>Julgamento da Lâmina Viva</t>
        </is>
      </c>
      <c r="J168" s="235" t="inlineStr">
        <is>
          <t>Ignora Defesa + Ignora Resistência Mágica.</t>
        </is>
      </c>
      <c r="K168" s="236" t="inlineStr">
        <is>
          <t>A única sentinela que nunca dormiu — viu tudo acontecer, século após século.</t>
        </is>
      </c>
      <c r="L168" s="238">
        <f>IF(C168="Comum",ROUND(E168*1.3,0),"—")</f>
        <v/>
      </c>
      <c r="M168" s="239">
        <f>IF(C168="Comum",ROUND(F168*1.15,0),"—")</f>
        <v/>
      </c>
      <c r="N168" s="240">
        <f>IF(C168="Comum",G168+2,"—")</f>
        <v/>
      </c>
      <c r="O168" s="239">
        <f>IF(C168="Comum",ROUND(E168*1.6,0),"—")</f>
        <v/>
      </c>
      <c r="P168" s="241">
        <f>IF(C168="Comum",ROUND(F168*1.3,0),"—")</f>
        <v/>
      </c>
      <c r="Q168" s="241">
        <f>IF(C168="Comum",G168+4,"—")</f>
        <v/>
      </c>
      <c r="R168" s="243" t="n"/>
      <c r="S168" s="241">
        <f>ROUND(3+0.6*D168+IF(C168="Comum",0,IF(C168="Elite",2,IF(C168="Boss",4,6))),0)</f>
        <v/>
      </c>
      <c r="T168" s="241" t="inlineStr">
        <is>
          <t>Ouro + Fragmento da Vigília Élfica + Cristal Ressonante da Elfa (chance baixa)</t>
        </is>
      </c>
      <c r="U168" s="241" t="inlineStr">
        <is>
          <t>Fragilidade</t>
        </is>
      </c>
      <c r="V168" s="161" t="inlineStr">
        <is>
          <t>Nomeado / Mini-Boss</t>
        </is>
      </c>
      <c r="W168" s="161" t="inlineStr">
        <is>
          <t>Ruínas Élficas — Pátio Interno, spawn raro (4%)</t>
        </is>
      </c>
      <c r="X168" s="161" t="inlineStr">
        <is>
          <t>A 30% de HP oferece testar o jogador com 1 pergunta sobre a Infecção — resposta certa poupa ela e dá Título.</t>
        </is>
      </c>
      <c r="Y168" s="242" t="n"/>
      <c r="Z168" s="161" t="inlineStr">
        <is>
          <t>A Vigília das Folhas de Prata a considera lenda, não sabem que ainda existe.</t>
        </is>
      </c>
      <c r="AA168" s="161" t="inlineStr">
        <is>
          <t>Fragmento da Lâmina que Nunca Dormiu (se derrotada em vez de testada) [ver Artefatos e Relíquias]</t>
        </is>
      </c>
    </row>
    <row r="169" ht="15" customHeight="1" s="116">
      <c r="A169" s="233" t="inlineStr">
        <is>
          <t>Aco Elfico</t>
        </is>
      </c>
      <c r="B169" s="234" t="inlineStr">
        <is>
          <t>Guardião dos Portões</t>
        </is>
      </c>
      <c r="C169" s="233" t="inlineStr">
        <is>
          <t>Elite</t>
        </is>
      </c>
      <c r="D169" s="235" t="n">
        <v>24</v>
      </c>
      <c r="E169" s="236">
        <f>ROUND(INDEX('Curva Mestra'!$G$20:$G$94,MATCH(D169,'Curva Mestra'!$A$20:$A$94,0)),0)</f>
        <v/>
      </c>
      <c r="F169" s="236">
        <f>ROUND(INDEX('Curva Mestra'!$C$20:$C$94,MATCH(D169,'Curva Mestra'!$A$20:$A$94,0))*INDEX($B$5:$B$8,MATCH(C169,$A$5:$A$8,0)),0)</f>
        <v/>
      </c>
      <c r="G169" s="236">
        <f>ROUND(INDEX('Curva Mestra'!$D$20:$D$94,MATCH(D169,'Curva Mestra'!$A$20:$A$94,0))+INDEX($C$5:$C$8,MATCH(C169,$A$5:$A$8,0)),0)</f>
        <v/>
      </c>
      <c r="H169" s="237" t="inlineStr">
        <is>
          <t>Nunca abandona o portão principal das ruínas.</t>
        </is>
      </c>
      <c r="I169" s="236" t="inlineStr">
        <is>
          <t>Barreira de Pedra</t>
        </is>
      </c>
      <c r="J169" s="235" t="inlineStr">
        <is>
          <t>Ignora Defesa (alto) — nunca sai do posto, só ataca quem se aproxima.</t>
        </is>
      </c>
      <c r="K169" s="236" t="inlineStr">
        <is>
          <t>Foi programado (ou encantado) pra nunca abandonar o portão principal.</t>
        </is>
      </c>
      <c r="L169" s="238">
        <f>IF(C169="Comum",ROUND(E169*1.3,0),"—")</f>
        <v/>
      </c>
      <c r="M169" s="239">
        <f>IF(C169="Comum",ROUND(F169*1.15,0),"—")</f>
        <v/>
      </c>
      <c r="N169" s="240">
        <f>IF(C169="Comum",G169+2,"—")</f>
        <v/>
      </c>
      <c r="O169" s="239">
        <f>IF(C169="Comum",ROUND(E169*1.6,0),"—")</f>
        <v/>
      </c>
      <c r="P169" s="241">
        <f>IF(C169="Comum",ROUND(F169*1.3,0),"—")</f>
        <v/>
      </c>
      <c r="Q169" s="241">
        <f>IF(C169="Comum",G169+4,"—")</f>
        <v/>
      </c>
      <c r="R169" s="243" t="n"/>
      <c r="S169" s="241">
        <f>ROUND(3+0.6*D169+IF(C169="Comum",0,IF(C169="Elite",2,IF(C169="Boss",4,6))),0)</f>
        <v/>
      </c>
      <c r="T169" s="241" t="inlineStr">
        <is>
          <t>Ouro + Fragmento de Guardião dos Portões + Cristal Ressonante da Elfa (chance baixa)</t>
        </is>
      </c>
      <c r="U169" s="241" t="inlineStr">
        <is>
          <t>Ignora Resistência Mágica</t>
        </is>
      </c>
      <c r="V169" s="161" t="inlineStr">
        <is>
          <t>Tanque</t>
        </is>
      </c>
      <c r="W169" s="161" t="inlineStr">
        <is>
          <t>Ruínas Élficas — Portão Principal</t>
        </is>
      </c>
      <c r="X169" s="242" t="n"/>
      <c r="Y169" s="161" t="inlineStr">
        <is>
          <t>Nunca persegue — fica sempre no mesmo ponto.</t>
        </is>
      </c>
      <c r="Z169" s="242" t="n"/>
      <c r="AA169" s="242" t="n"/>
    </row>
    <row r="170" ht="15" customHeight="1" s="116">
      <c r="A170" s="241" t="inlineStr">
        <is>
          <t>Aco Elfico</t>
        </is>
      </c>
      <c r="B170" s="241" t="inlineStr">
        <is>
          <t>Caçador de Conjuradores Veterano</t>
        </is>
      </c>
      <c r="C170" s="241" t="inlineStr">
        <is>
          <t>Elite</t>
        </is>
      </c>
      <c r="D170" s="241" t="n">
        <v>24</v>
      </c>
      <c r="E170" s="241">
        <f>ROUND(INDEX('Curva Mestra'!$G$20:$G$94,MATCH(D170,'Curva Mestra'!$A$20:$A$94,0)),0)</f>
        <v/>
      </c>
      <c r="F170" s="241">
        <f>ROUND(INDEX('Curva Mestra'!$C$20:$C$94,MATCH(D170,'Curva Mestra'!$A$20:$A$94,0))*INDEX($B$5:$B$8,MATCH(C170,$A$5:$A$8,0)),0)</f>
        <v/>
      </c>
      <c r="G170" s="241">
        <f>ROUND(INDEX('Curva Mestra'!$D$20:$D$94,MATCH(D170,'Curva Mestra'!$A$20:$A$94,0))+INDEX($C$5:$C$8,MATCH(C170,$A$5:$A$8,0)),0)</f>
        <v/>
      </c>
      <c r="H170" s="241" t="inlineStr">
        <is>
          <t>Caçador veterano, mais eficiente contra magos.</t>
        </is>
      </c>
      <c r="I170" s="241" t="inlineStr">
        <is>
          <t>Marca Silenciadora Forte</t>
        </is>
      </c>
      <c r="J170" s="241" t="inlineStr">
        <is>
          <t>Reduz Mana disponível em 20% por 2 turnos.</t>
        </is>
      </c>
      <c r="K170" s="241" t="inlineStr">
        <is>
          <t>Versão experiente do Caçador de Conjuradores Menor.</t>
        </is>
      </c>
      <c r="L170" s="241">
        <f>IF(C170="Comum",ROUND(E170*1.3,0),"—")</f>
        <v/>
      </c>
      <c r="M170" s="241">
        <f>IF(C170="Comum",ROUND(F170*1.15,0),"—")</f>
        <v/>
      </c>
      <c r="N170" s="241">
        <f>IF(C170="Comum",G170+2,"—")</f>
        <v/>
      </c>
      <c r="O170" s="241">
        <f>IF(C170="Comum",ROUND(E170*1.6,0),"—")</f>
        <v/>
      </c>
      <c r="P170" s="241">
        <f>IF(C170="Comum",ROUND(F170*1.3,0),"—")</f>
        <v/>
      </c>
      <c r="Q170" s="241">
        <f>IF(C170="Comum",G170+4,"—")</f>
        <v/>
      </c>
      <c r="R170" s="242" t="n"/>
      <c r="S170" s="241">
        <f>ROUND(3+0.6*D170+IF(C170="Comum",0,IF(C170="Elite",2,IF(C170="Boss",4,6))),0)</f>
        <v/>
      </c>
      <c r="T170" s="241" t="inlineStr">
        <is>
          <t>Ouro + Fragmento de Caçador Veterano + Cristal Ressonante da Elfa (chance baixa)</t>
        </is>
      </c>
      <c r="U170" s="241" t="inlineStr">
        <is>
          <t>Ignora Resistência Mágica</t>
        </is>
      </c>
      <c r="V170" s="241" t="inlineStr">
        <is>
          <t>Debuffer</t>
        </is>
      </c>
      <c r="W170" s="241" t="inlineStr">
        <is>
          <t>Bosques Pétreos</t>
        </is>
      </c>
      <c r="X170" s="243" t="n"/>
      <c r="Y170" s="243" t="n"/>
      <c r="Z170" s="243" t="n"/>
      <c r="AA170" s="243" t="n"/>
    </row>
    <row r="171" ht="15" customHeight="1" s="116">
      <c r="A171" s="241" t="inlineStr">
        <is>
          <t>Aco Elfico</t>
        </is>
      </c>
      <c r="B171" s="241" t="inlineStr">
        <is>
          <t>Espirito da Ultima Elfa</t>
        </is>
      </c>
      <c r="C171" s="241" t="inlineStr">
        <is>
          <t>Boss</t>
        </is>
      </c>
      <c r="D171" s="241" t="n">
        <v>25</v>
      </c>
      <c r="E171" s="241">
        <f>ROUND(INDEX('Curva Mestra'!$H$20:$H$94,MATCH(D171,'Curva Mestra'!$A$20:$A$94,0)),0)</f>
        <v/>
      </c>
      <c r="F171" s="241">
        <f>ROUND(INDEX('Curva Mestra'!$C$20:$C$94,MATCH(D171,'Curva Mestra'!$A$20:$A$94,0))*INDEX($B$5:$B$8,MATCH(C171,$A$5:$A$8,0)),0)</f>
        <v/>
      </c>
      <c r="G171" s="241">
        <f>ROUND(INDEX('Curva Mestra'!$D$20:$D$94,MATCH(D171,'Curva Mestra'!$A$20:$A$94,0))+INDEX($C$5:$C$8,MATCH(C171,$A$5:$A$8,0)),0)</f>
        <v/>
      </c>
      <c r="H171" s="241" t="inlineStr">
        <is>
          <t>Chefe / marco final do tier Aco Elfico</t>
        </is>
      </c>
      <c r="I171" s="241" t="inlineStr">
        <is>
          <t>Julgamento Silencioso</t>
        </is>
      </c>
      <c r="J171" s="241" t="inlineStr">
        <is>
          <t>Se atacada sem negociação prévia, ignora Resistência Mágica no primeiro golpe.</t>
        </is>
      </c>
      <c r="K171" s="241" t="inlineStr">
        <is>
          <t>A última herdeira que recusou o pacto com a Mão — sua lâmina, "A Lâmina da Elfa Sem Nome", ainda espera por alguém digno no sarcófago de jade.</t>
        </is>
      </c>
      <c r="L171" s="241">
        <f>IF(C171="Comum",ROUND(E171*1.3,0),"—")</f>
        <v/>
      </c>
      <c r="M171" s="241">
        <f>IF(C171="Comum",ROUND(F171*1.15,0),"—")</f>
        <v/>
      </c>
      <c r="N171" s="241">
        <f>IF(C171="Comum",G171+2,"—")</f>
        <v/>
      </c>
      <c r="O171" s="241">
        <f>IF(C171="Comum",ROUND(E171*1.6,0),"—")</f>
        <v/>
      </c>
      <c r="P171" s="241">
        <f>IF(C171="Comum",ROUND(F171*1.3,0),"—")</f>
        <v/>
      </c>
      <c r="Q171" s="241">
        <f>IF(C171="Comum",G171+4,"—")</f>
        <v/>
      </c>
      <c r="R171" s="161" t="inlineStr">
        <is>
          <t>A Última Elfa</t>
        </is>
      </c>
      <c r="S171" s="241">
        <f>ROUND(INDEX('Curva Mestra'!$D$20:$D$94,MATCH(D171,'Curva Mestra'!$A$20:$A$94,0))-IF(C171="Comum",9,IF(C171="Elite",6,IF(C171="Boss",4,3))),0)</f>
        <v/>
      </c>
      <c r="T171" s="241" t="inlineStr">
        <is>
          <t>Resíduo Espectral de Espirito da Ultima Elfa + Essência de Espirito da Ultima Elfa + Ouro + Cristal Ressonante da Elfa (chance baixa)</t>
        </is>
      </c>
      <c r="U171" s="241" t="inlineStr">
        <is>
          <t>Vulnerável a Prata — armas de Prata ignoram 2 de Defesa a mais nele.</t>
        </is>
      </c>
      <c r="V171" s="243" t="inlineStr">
        <is>
          <t>DPS</t>
        </is>
      </c>
      <c r="W171" s="243" t="inlineStr">
        <is>
          <t>Ruínas Élficas</t>
        </is>
      </c>
      <c r="X171" s="243" t="n"/>
      <c r="Y171" s="243" t="n"/>
      <c r="Z171" s="243" t="n"/>
      <c r="AA171" s="243" t="inlineStr">
        <is>
          <t>A Lâmina da Elfa Sem Nome</t>
        </is>
      </c>
    </row>
    <row r="172" ht="15" customHeight="1" s="116">
      <c r="A172" s="241" t="inlineStr">
        <is>
          <t>Aco Elfico</t>
        </is>
      </c>
      <c r="B172" s="241" t="inlineStr">
        <is>
          <t>O Núcleo Desgovernado</t>
        </is>
      </c>
      <c r="C172" s="241" t="inlineStr">
        <is>
          <t>Boss</t>
        </is>
      </c>
      <c r="D172" s="241" t="n">
        <v>25</v>
      </c>
      <c r="E172" s="241">
        <f>ROUND(INDEX('Curva Mestra'!$H$20:$H$94,MATCH(D172,'Curva Mestra'!$A$20:$A$94,0)),0)</f>
        <v/>
      </c>
      <c r="F172" s="241">
        <f>ROUND(INDEX('Curva Mestra'!$C$20:$C$94,MATCH(D172,'Curva Mestra'!$A$20:$A$94,0))*INDEX($B$5:$B$8,MATCH(C172,$A$5:$A$8,0)),0)</f>
        <v/>
      </c>
      <c r="G172" s="241">
        <f>ROUND(INDEX('Curva Mestra'!$D$20:$D$94,MATCH(D172,'Curva Mestra'!$A$20:$A$94,0))+INDEX($C$5:$C$8,MATCH(C172,$A$5:$A$8,0)),0)</f>
        <v/>
      </c>
      <c r="H172" s="241" t="inlineStr">
        <is>
          <t>Domínio Élfico-Anão dos Ecos, região de Aco Elfico.</t>
        </is>
      </c>
      <c r="I172" s="241" t="inlineStr">
        <is>
          <t>Descarga de Vapor</t>
        </is>
      </c>
      <c r="J172" s="241" t="inlineStr">
        <is>
          <t>Causa dano a todos os inimigos presentes a cada 2 turnos (inclusive aliados do boss). Também aplica: Ignora 1 ponto de Defesa do alvo.</t>
        </is>
      </c>
      <c r="K172" s="241" t="inlineStr">
        <is>
          <t>Máquina experimental de Thrum, o engenheiro anão renegado — ele pede ajuda em segredo pra desativá-la antes que Elysea descubra o erro.</t>
        </is>
      </c>
      <c r="L172" s="241">
        <f>IF(C172="Comum",ROUND(E172*1.3,0),"—")</f>
        <v/>
      </c>
      <c r="M172" s="241">
        <f>IF(C172="Comum",ROUND(F172*1.15,0),"—")</f>
        <v/>
      </c>
      <c r="N172" s="241">
        <f>IF(C172="Comum",G172+2,"—")</f>
        <v/>
      </c>
      <c r="O172" s="241">
        <f>IF(C172="Comum",ROUND(E172*1.6,0),"—")</f>
        <v/>
      </c>
      <c r="P172" s="241">
        <f>IF(C172="Comum",ROUND(F172*1.3,0),"—")</f>
        <v/>
      </c>
      <c r="Q172" s="241">
        <f>IF(C172="Comum",G172+4,"—")</f>
        <v/>
      </c>
      <c r="R172" s="161" t="inlineStr">
        <is>
          <t>O Núcleo Desgovernado</t>
        </is>
      </c>
      <c r="S172" s="241">
        <f>ROUND(INDEX('Curva Mestra'!$D$20:$D$94,MATCH(D172,'Curva Mestra'!$A$20:$A$94,0))-IF(C172="Comum",9,IF(C172="Elite",6,IF(C172="Boss",4,3))),0)</f>
        <v/>
      </c>
      <c r="T172" s="241" t="inlineStr">
        <is>
          <t>Núcleo de O Núcleo Desgovernado + Essência de O Núcleo Desgovernado + Ouro + Cristal Ressonante da Elfa (chance baixa)</t>
        </is>
      </c>
      <c r="U172" s="241" t="inlineStr">
        <is>
          <t>Vulnerável a Atordoamento — travas mecânicas emperram com o dobro de chance.</t>
        </is>
      </c>
      <c r="V172" s="243" t="inlineStr">
        <is>
          <t>Suporte</t>
        </is>
      </c>
      <c r="W172" s="243" t="inlineStr">
        <is>
          <t>Ruínas Élficas</t>
        </is>
      </c>
      <c r="X172" s="243" t="n"/>
      <c r="Y172" s="243" t="n"/>
      <c r="Z172" s="243" t="n"/>
      <c r="AA172" s="243" t="n"/>
    </row>
    <row r="173" ht="15" customHeight="1" s="116">
      <c r="A173" s="241" t="inlineStr">
        <is>
          <t>Mecanismo Anao</t>
        </is>
      </c>
      <c r="B173" s="241" t="inlineStr">
        <is>
          <t>Anão Sobrevivente, o Último da Oficina</t>
        </is>
      </c>
      <c r="C173" s="241" t="inlineStr">
        <is>
          <t>Comum</t>
        </is>
      </c>
      <c r="D173" s="241" t="n">
        <v>24</v>
      </c>
      <c r="E173" s="241">
        <f>ROUND(INDEX('Curva Mestra'!$F$20:$F$94,MATCH(D173,'Curva Mestra'!$A$20:$A$94,0)),0)</f>
        <v/>
      </c>
      <c r="F173" s="241">
        <f>ROUND(INDEX('Curva Mestra'!$C$20:$C$94,MATCH(D173,'Curva Mestra'!$A$20:$A$94,0))*INDEX($B$5:$B$8,MATCH(C173,$A$5:$A$8,0)),0)</f>
        <v/>
      </c>
      <c r="G173" s="241">
        <f>ROUND(INDEX('Curva Mestra'!$D$20:$D$94,MATCH(D173,'Curva Mestra'!$A$20:$A$94,0))+INDEX($C$5:$C$8,MATCH(C173,$A$5:$A$8,0)),0)</f>
        <v/>
      </c>
      <c r="H173" s="241" t="inlineStr">
        <is>
          <t>Escondido numa tubulação do salão de entrada.</t>
        </is>
      </c>
      <c r="I173" s="241" t="inlineStr">
        <is>
          <t>(não ataca)</t>
        </is>
      </c>
      <c r="J173" s="241" t="inlineStr">
        <is>
          <t>Não-hostil: se poupado, ensina uma Receita de ferramenta exclusiva.</t>
        </is>
      </c>
      <c r="K173" s="241" t="inlineStr">
        <is>
          <t>Escondeu-se numa tubulação quando o Núcleo desgovernou. Ainda está lá.</t>
        </is>
      </c>
      <c r="L173" s="241">
        <f>IF(C173="Comum",ROUND(E173*1.3,0),"—")</f>
        <v/>
      </c>
      <c r="M173" s="241">
        <f>IF(C173="Comum",ROUND(F173*1.15,0),"—")</f>
        <v/>
      </c>
      <c r="N173" s="241">
        <f>IF(C173="Comum",G173+2,"—")</f>
        <v/>
      </c>
      <c r="O173" s="241">
        <f>IF(C173="Comum",ROUND(E173*1.6,0),"—")</f>
        <v/>
      </c>
      <c r="P173" s="241">
        <f>IF(C173="Comum",ROUND(F173*1.3,0),"—")</f>
        <v/>
      </c>
      <c r="Q173" s="241">
        <f>IF(C173="Comum",G173+4,"—")</f>
        <v/>
      </c>
      <c r="R173" s="242" t="n"/>
      <c r="S173" s="241">
        <f>ROUND(3+0.6*D173+IF(C173="Comum",0,IF(C173="Elite",2,IF(C173="Boss",4,6))),0)</f>
        <v/>
      </c>
      <c r="T173" s="241" t="inlineStr">
        <is>
          <t>Ouro + Ferramenta Enferrujada do Último Anão</t>
        </is>
      </c>
      <c r="U173" s="241" t="inlineStr">
        <is>
          <t>Sem fraqueza óbvia — precisa de Knowledge alto pra descobrir algo específico.</t>
        </is>
      </c>
      <c r="V173" s="241" t="inlineStr">
        <is>
          <t>Não-hostil</t>
        </is>
      </c>
      <c r="W173" s="241" t="inlineStr">
        <is>
          <t>Câmara Mecânica Anã — Salão de Entrada</t>
        </is>
      </c>
      <c r="X173" s="243" t="n"/>
      <c r="Y173" s="241" t="inlineStr">
        <is>
          <t>Ensina uma Receita se poupado.</t>
        </is>
      </c>
      <c r="Z173" s="241" t="inlineStr">
        <is>
          <t>O Clã Martelo de Vapor pagaria bem por resgatá-lo vivo.</t>
        </is>
      </c>
      <c r="AA173" s="243" t="n"/>
    </row>
    <row r="174" ht="15" customHeight="1" s="116">
      <c r="A174" s="241" t="inlineStr">
        <is>
          <t>Mecanismo Anao</t>
        </is>
      </c>
      <c r="B174" s="241" t="inlineStr">
        <is>
          <t>Autômato de Vigia Menor</t>
        </is>
      </c>
      <c r="C174" s="241" t="inlineStr">
        <is>
          <t>Comum</t>
        </is>
      </c>
      <c r="D174" s="241" t="n">
        <v>25</v>
      </c>
      <c r="E174" s="241">
        <f>ROUND(INDEX('Curva Mestra'!$F$20:$F$94,MATCH(D174,'Curva Mestra'!$A$20:$A$94,0)),0)</f>
        <v/>
      </c>
      <c r="F174" s="241">
        <f>ROUND(INDEX('Curva Mestra'!$C$20:$C$94,MATCH(D174,'Curva Mestra'!$A$20:$A$94,0))*INDEX($B$5:$B$8,MATCH(C174,$A$5:$A$8,0)),0)</f>
        <v/>
      </c>
      <c r="G174" s="241">
        <f>ROUND(INDEX('Curva Mestra'!$D$20:$D$94,MATCH(D174,'Curva Mestra'!$A$20:$A$94,0))+INDEX($C$5:$C$8,MATCH(C174,$A$5:$A$8,0)),0)</f>
        <v/>
      </c>
      <c r="H174" s="241" t="inlineStr">
        <is>
          <t>Autômato de vigia mais antigo e desgastado.</t>
        </is>
      </c>
      <c r="I174" s="241" t="inlineStr">
        <is>
          <t>Alerta Fraco</t>
        </is>
      </c>
      <c r="J174" s="241" t="inlineStr">
        <is>
          <t>Nenhum dano — alerta fraco (chance menor de reforço).</t>
        </is>
      </c>
      <c r="K174" s="241" t="inlineStr">
        <is>
          <t>Versão mais antiga e menos eficiente do Autômato de Vigia.</t>
        </is>
      </c>
      <c r="L174" s="241">
        <f>IF(C174="Comum",ROUND(E174*1.3,0),"—")</f>
        <v/>
      </c>
      <c r="M174" s="241">
        <f>IF(C174="Comum",ROUND(F174*1.15,0),"—")</f>
        <v/>
      </c>
      <c r="N174" s="241">
        <f>IF(C174="Comum",G174+2,"—")</f>
        <v/>
      </c>
      <c r="O174" s="241">
        <f>IF(C174="Comum",ROUND(E174*1.6,0),"—")</f>
        <v/>
      </c>
      <c r="P174" s="241">
        <f>IF(C174="Comum",ROUND(F174*1.3,0),"—")</f>
        <v/>
      </c>
      <c r="Q174" s="241">
        <f>IF(C174="Comum",G174+4,"—")</f>
        <v/>
      </c>
      <c r="R174" s="242" t="n"/>
      <c r="S174" s="241">
        <f>ROUND(3+0.6*D174+IF(C174="Comum",0,IF(C174="Elite",2,IF(C174="Boss",4,6))),0)</f>
        <v/>
      </c>
      <c r="T174" s="241" t="inlineStr">
        <is>
          <t>Ouro + Engrenagem Solta de Vigia Menor</t>
        </is>
      </c>
      <c r="U174" s="241" t="inlineStr">
        <is>
          <t>Atordoamento</t>
        </is>
      </c>
      <c r="V174" s="241" t="inlineStr">
        <is>
          <t>Batedor</t>
        </is>
      </c>
      <c r="W174" s="241" t="inlineStr">
        <is>
          <t>Câmara Mecânica Anã — Salão de Entrada</t>
        </is>
      </c>
      <c r="X174" s="243" t="n"/>
      <c r="Y174" s="243" t="n"/>
      <c r="Z174" s="243" t="n"/>
      <c r="AA174" s="243" t="n"/>
    </row>
    <row r="175" ht="15" customHeight="1" s="116">
      <c r="A175" s="241" t="inlineStr">
        <is>
          <t>Mecanismo Anao</t>
        </is>
      </c>
      <c r="B175" s="241" t="inlineStr">
        <is>
          <t>Devorador de Sucata Menor</t>
        </is>
      </c>
      <c r="C175" s="241" t="inlineStr">
        <is>
          <t>Comum</t>
        </is>
      </c>
      <c r="D175" s="241" t="n">
        <v>25</v>
      </c>
      <c r="E175" s="241">
        <f>ROUND(INDEX('Curva Mestra'!$F$20:$F$94,MATCH(D175,'Curva Mestra'!$A$20:$A$94,0)),0)</f>
        <v/>
      </c>
      <c r="F175" s="241">
        <f>ROUND(INDEX('Curva Mestra'!$C$20:$C$94,MATCH(D175,'Curva Mestra'!$A$20:$A$94,0))*INDEX($B$5:$B$8,MATCH(C175,$A$5:$A$8,0)),0)</f>
        <v/>
      </c>
      <c r="G175" s="241">
        <f>ROUND(INDEX('Curva Mestra'!$D$20:$D$94,MATCH(D175,'Curva Mestra'!$A$20:$A$94,0))+INDEX($C$5:$C$8,MATCH(C175,$A$5:$A$8,0)),0)</f>
        <v/>
      </c>
      <c r="H175" s="241" t="inlineStr">
        <is>
          <t>Devorador jovem, recicla metal em menor escala.</t>
        </is>
      </c>
      <c r="I175" s="241" t="inlineStr">
        <is>
          <t>Mordida de Metal Fraca</t>
        </is>
      </c>
      <c r="J175" s="241" t="inlineStr">
        <is>
          <t>Cura 3 HP se houver cadáver mecânico no local.</t>
        </is>
      </c>
      <c r="K175" s="241" t="inlineStr">
        <is>
          <t>Variante jovem do Devorador de Sucata.</t>
        </is>
      </c>
      <c r="L175" s="241">
        <f>IF(C175="Comum",ROUND(E175*1.3,0),"—")</f>
        <v/>
      </c>
      <c r="M175" s="241">
        <f>IF(C175="Comum",ROUND(F175*1.15,0),"—")</f>
        <v/>
      </c>
      <c r="N175" s="241">
        <f>IF(C175="Comum",G175+2,"—")</f>
        <v/>
      </c>
      <c r="O175" s="241">
        <f>IF(C175="Comum",ROUND(E175*1.6,0),"—")</f>
        <v/>
      </c>
      <c r="P175" s="241">
        <f>IF(C175="Comum",ROUND(F175*1.3,0),"—")</f>
        <v/>
      </c>
      <c r="Q175" s="241">
        <f>IF(C175="Comum",G175+4,"—")</f>
        <v/>
      </c>
      <c r="R175" s="242" t="n"/>
      <c r="S175" s="241">
        <f>ROUND(3+0.6*D175+IF(C175="Comum",0,IF(C175="Elite",2,IF(C175="Boss",4,6))),0)</f>
        <v/>
      </c>
      <c r="T175" s="241" t="inlineStr">
        <is>
          <t>Ouro + Garra Reciclada de Devorador Menor</t>
        </is>
      </c>
      <c r="U175" s="241" t="inlineStr">
        <is>
          <t>Queimadura</t>
        </is>
      </c>
      <c r="V175" s="241" t="inlineStr">
        <is>
          <t>Necrófago</t>
        </is>
      </c>
      <c r="W175" s="241" t="inlineStr">
        <is>
          <t>Câmara Mecânica Anã — Salão de Entrada</t>
        </is>
      </c>
      <c r="X175" s="243" t="n"/>
      <c r="Y175" s="243" t="n"/>
      <c r="Z175" s="243" t="n"/>
      <c r="AA175" s="243" t="n"/>
    </row>
    <row r="176" ht="15" customHeight="1" s="116">
      <c r="A176" s="241" t="inlineStr">
        <is>
          <t>Mecanismo Anao</t>
        </is>
      </c>
      <c r="B176" s="241" t="inlineStr">
        <is>
          <t>Vapor Fraco Grudado</t>
        </is>
      </c>
      <c r="C176" s="241" t="inlineStr">
        <is>
          <t>Comum</t>
        </is>
      </c>
      <c r="D176" s="241" t="n">
        <v>25</v>
      </c>
      <c r="E176" s="241">
        <f>ROUND(INDEX('Curva Mestra'!$F$20:$F$94,MATCH(D176,'Curva Mestra'!$A$20:$A$94,0)),0)</f>
        <v/>
      </c>
      <c r="F176" s="241">
        <f>ROUND(INDEX('Curva Mestra'!$C$20:$C$94,MATCH(D176,'Curva Mestra'!$A$20:$A$94,0))*INDEX($B$5:$B$8,MATCH(C176,$A$5:$A$8,0)),0)</f>
        <v/>
      </c>
      <c r="G176" s="241">
        <f>ROUND(INDEX('Curva Mestra'!$D$20:$D$94,MATCH(D176,'Curva Mestra'!$A$20:$A$94,0))+INDEX($C$5:$C$8,MATCH(C176,$A$5:$A$8,0)),0)</f>
        <v/>
      </c>
      <c r="H176" s="241" t="inlineStr">
        <is>
          <t>Vapor parasita em estágio inicial.</t>
        </is>
      </c>
      <c r="I176" s="241" t="inlineStr">
        <is>
          <t>Corrosão Fraca</t>
        </is>
      </c>
      <c r="J176" s="241" t="inlineStr">
        <is>
          <t>Fragilidade fraca — só aparece grudado em Autômatos menores.</t>
        </is>
      </c>
      <c r="K176" s="241" t="inlineStr">
        <is>
          <t>Versão mais fraca do Vapor Corrosivo Grudado.</t>
        </is>
      </c>
      <c r="L176" s="241">
        <f>IF(C176="Comum",ROUND(E176*1.3,0),"—")</f>
        <v/>
      </c>
      <c r="M176" s="241">
        <f>IF(C176="Comum",ROUND(F176*1.15,0),"—")</f>
        <v/>
      </c>
      <c r="N176" s="241">
        <f>IF(C176="Comum",G176+2,"—")</f>
        <v/>
      </c>
      <c r="O176" s="241">
        <f>IF(C176="Comum",ROUND(E176*1.6,0),"—")</f>
        <v/>
      </c>
      <c r="P176" s="241">
        <f>IF(C176="Comum",ROUND(F176*1.3,0),"—")</f>
        <v/>
      </c>
      <c r="Q176" s="241">
        <f>IF(C176="Comum",G176+4,"—")</f>
        <v/>
      </c>
      <c r="R176" s="242" t="n"/>
      <c r="S176" s="241">
        <f>ROUND(3+0.6*D176+IF(C176="Comum",0,IF(C176="Elite",2,IF(C176="Boss",4,6))),0)</f>
        <v/>
      </c>
      <c r="T176" s="241" t="inlineStr">
        <is>
          <t>Ouro + Resíduo de Vapor Fraco</t>
        </is>
      </c>
      <c r="U176" s="241" t="inlineStr">
        <is>
          <t>Queimadura</t>
        </is>
      </c>
      <c r="V176" s="241" t="inlineStr">
        <is>
          <t>Parasita</t>
        </is>
      </c>
      <c r="W176" s="241" t="inlineStr">
        <is>
          <t>Câmara Mecânica Anã, só com Autômato presente</t>
        </is>
      </c>
      <c r="X176" s="243" t="n"/>
      <c r="Y176" s="243" t="n"/>
      <c r="Z176" s="243" t="n"/>
      <c r="AA176" s="243" t="n"/>
    </row>
    <row r="177" ht="15" customHeight="1" s="116">
      <c r="A177" s="241" t="inlineStr">
        <is>
          <t>Mecanismo Anao</t>
        </is>
      </c>
      <c r="B177" s="241" t="inlineStr">
        <is>
          <t>Automato Anao Quebrado</t>
        </is>
      </c>
      <c r="C177" s="241" t="inlineStr">
        <is>
          <t>Comum</t>
        </is>
      </c>
      <c r="D177" s="241" t="n">
        <v>26</v>
      </c>
      <c r="E177" s="241">
        <f>ROUND(INDEX('Curva Mestra'!$F$20:$F$94,MATCH(D177,'Curva Mestra'!$A$20:$A$94,0)),0)</f>
        <v/>
      </c>
      <c r="F177" s="241">
        <f>ROUND(INDEX('Curva Mestra'!$C$20:$C$94,MATCH(D177,'Curva Mestra'!$A$20:$A$94,0))*INDEX($B$5:$B$8,MATCH(C177,$A$5:$A$8,0)),0)</f>
        <v/>
      </c>
      <c r="G177" s="241">
        <f>ROUND(INDEX('Curva Mestra'!$D$20:$D$94,MATCH(D177,'Curva Mestra'!$A$20:$A$94,0))+INDEX($C$5:$C$8,MATCH(C177,$A$5:$A$8,0)),0)</f>
        <v/>
      </c>
      <c r="H177" s="241" t="inlineStr">
        <is>
          <t>Ronda a regiao do tier Mecanismo Anao</t>
        </is>
      </c>
      <c r="I177" s="241" t="inlineStr">
        <is>
          <t>Soco de Engrenagem</t>
        </is>
      </c>
      <c r="J177" s="241" t="inlineStr">
        <is>
          <t>Sem efeito mecânico além do dano — ataque direto.</t>
        </is>
      </c>
      <c r="K177" s="241" t="inlineStr">
        <is>
          <t>Autômato de manutenção abandonado quando a Câmara Mecânica foi lacrada às pressas — ainda tenta terminar a última tarefa que recebeu.</t>
        </is>
      </c>
      <c r="L177" s="241">
        <f>IF(C177="Comum",ROUND(E177*1.3,0),"—")</f>
        <v/>
      </c>
      <c r="M177" s="241">
        <f>IF(C177="Comum",ROUND(F177*1.15,0),"—")</f>
        <v/>
      </c>
      <c r="N177" s="241">
        <f>IF(C177="Comum",G177+2,"—")</f>
        <v/>
      </c>
      <c r="O177" s="241">
        <f>IF(C177="Comum",ROUND(E177*1.6,0),"—")</f>
        <v/>
      </c>
      <c r="P177" s="241">
        <f>IF(C177="Comum",ROUND(F177*1.3,0),"—")</f>
        <v/>
      </c>
      <c r="Q177" s="241">
        <f>IF(C177="Comum",G177+4,"—")</f>
        <v/>
      </c>
      <c r="R177" s="161" t="inlineStr">
        <is>
          <t>Peças Perdidas</t>
        </is>
      </c>
      <c r="S177" s="241">
        <f>ROUND(INDEX('Curva Mestra'!$D$20:$D$94,MATCH(D177,'Curva Mestra'!$A$20:$A$94,0))-IF(C177="Comum",9,IF(C177="Elite",6,IF(C177="Boss",4,3))),0)</f>
        <v/>
      </c>
      <c r="T177" s="241" t="inlineStr">
        <is>
          <t>Ouro + Placa Quebrada de Autômato + Núcleo de Engrenagem Ancestral (chance rara)</t>
        </is>
      </c>
      <c r="U177" s="241" t="inlineStr">
        <is>
          <t>Sem fraqueza óbvia — precisa de Knowledge alto pra descobrir algo específico.</t>
        </is>
      </c>
      <c r="V177" s="243" t="inlineStr">
        <is>
          <t>DPS</t>
        </is>
      </c>
      <c r="W177" s="243" t="inlineStr">
        <is>
          <t>Câmara Mecânica Anã</t>
        </is>
      </c>
      <c r="X177" s="243" t="n"/>
      <c r="Y177" s="243" t="n"/>
      <c r="Z177" s="243" t="n"/>
      <c r="AA177" s="243" t="n"/>
    </row>
    <row r="178" ht="15" customHeight="1" s="116">
      <c r="A178" s="241" t="inlineStr">
        <is>
          <t>Mecanismo Anao</t>
        </is>
      </c>
      <c r="B178" s="241" t="inlineStr">
        <is>
          <t>Autômato de Vigia</t>
        </is>
      </c>
      <c r="C178" s="241" t="inlineStr">
        <is>
          <t>Comum</t>
        </is>
      </c>
      <c r="D178" s="241" t="n">
        <v>26</v>
      </c>
      <c r="E178" s="241">
        <f>ROUND(INDEX('Curva Mestra'!$F$20:$F$94,MATCH(D178,'Curva Mestra'!$A$20:$A$94,0)),0)</f>
        <v/>
      </c>
      <c r="F178" s="241">
        <f>ROUND(INDEX('Curva Mestra'!$C$20:$C$94,MATCH(D178,'Curva Mestra'!$A$20:$A$94,0))*INDEX($B$5:$B$8,MATCH(C178,$A$5:$A$8,0)),0)</f>
        <v/>
      </c>
      <c r="G178" s="241">
        <f>ROUND(INDEX('Curva Mestra'!$D$20:$D$94,MATCH(D178,'Curva Mestra'!$A$20:$A$94,0))+INDEX($C$5:$C$8,MATCH(C178,$A$5:$A$8,0)),0)</f>
        <v/>
      </c>
      <c r="H178" s="241" t="inlineStr">
        <is>
          <t>Posicionado no salão de entrada da Câmara Mecânica Anã.</t>
        </is>
      </c>
      <c r="I178" s="241" t="inlineStr">
        <is>
          <t>Alerta Sonoro</t>
        </is>
      </c>
      <c r="J178" s="241" t="inlineStr">
        <is>
          <t>Nenhum dano — alerta: próximo encontro no local vem com +1 monstro.</t>
        </is>
      </c>
      <c r="K178" s="241" t="inlineStr">
        <is>
          <t>Programado só pra vigiar e avisar, nunca pra lutar de verdade.</t>
        </is>
      </c>
      <c r="L178" s="241">
        <f>IF(C178="Comum",ROUND(E178*1.3,0),"—")</f>
        <v/>
      </c>
      <c r="M178" s="241">
        <f>IF(C178="Comum",ROUND(F178*1.15,0),"—")</f>
        <v/>
      </c>
      <c r="N178" s="241">
        <f>IF(C178="Comum",G178+2,"—")</f>
        <v/>
      </c>
      <c r="O178" s="241">
        <f>IF(C178="Comum",ROUND(E178*1.6,0),"—")</f>
        <v/>
      </c>
      <c r="P178" s="241">
        <f>IF(C178="Comum",ROUND(F178*1.3,0),"—")</f>
        <v/>
      </c>
      <c r="Q178" s="241">
        <f>IF(C178="Comum",G178+4,"—")</f>
        <v/>
      </c>
      <c r="R178" s="242" t="n"/>
      <c r="S178" s="241">
        <f>ROUND(3+0.6*D178+IF(C178="Comum",0,IF(C178="Elite",2,IF(C178="Boss",4,6))),0)</f>
        <v/>
      </c>
      <c r="T178" s="241" t="inlineStr">
        <is>
          <t>Ouro + Lente de Vigia Corrompida</t>
        </is>
      </c>
      <c r="U178" s="241" t="inlineStr">
        <is>
          <t>Atordoamento</t>
        </is>
      </c>
      <c r="V178" s="241" t="inlineStr">
        <is>
          <t>Batedor</t>
        </is>
      </c>
      <c r="W178" s="241" t="inlineStr">
        <is>
          <t>Câmara Mecânica Anã — Salão de Entrada</t>
        </is>
      </c>
      <c r="X178" s="243" t="n"/>
      <c r="Y178" s="243" t="n"/>
      <c r="Z178" s="243" t="n"/>
      <c r="AA178" s="243" t="n"/>
    </row>
    <row r="179" ht="15" customHeight="1" s="116">
      <c r="A179" s="241" t="inlineStr">
        <is>
          <t>Mecanismo Anao</t>
        </is>
      </c>
      <c r="B179" s="241" t="inlineStr">
        <is>
          <t>Engenheiro Aprendiz</t>
        </is>
      </c>
      <c r="C179" s="241" t="inlineStr">
        <is>
          <t>Comum</t>
        </is>
      </c>
      <c r="D179" s="241" t="n">
        <v>26</v>
      </c>
      <c r="E179" s="241">
        <f>ROUND(INDEX('Curva Mestra'!$F$20:$F$94,MATCH(D179,'Curva Mestra'!$A$20:$A$94,0)),0)</f>
        <v/>
      </c>
      <c r="F179" s="241">
        <f>ROUND(INDEX('Curva Mestra'!$C$20:$C$94,MATCH(D179,'Curva Mestra'!$A$20:$A$94,0))*INDEX($B$5:$B$8,MATCH(C179,$A$5:$A$8,0)),0)</f>
        <v/>
      </c>
      <c r="G179" s="241">
        <f>ROUND(INDEX('Curva Mestra'!$D$20:$D$94,MATCH(D179,'Curva Mestra'!$A$20:$A$94,0))+INDEX($C$5:$C$8,MATCH(C179,$A$5:$A$8,0)),0)</f>
        <v/>
      </c>
      <c r="H179" s="241" t="inlineStr">
        <is>
          <t>Preso na oficina principal desde que o Núcleo desgovernou.</t>
        </is>
      </c>
      <c r="I179" s="241" t="inlineStr">
        <is>
          <t>Chave de Fenda</t>
        </is>
      </c>
      <c r="J179" s="241" t="inlineStr">
        <is>
          <t>Nenhum — 20% de chance de recusar lutar se abordado sem hostilidade.</t>
        </is>
      </c>
      <c r="K179" s="241" t="inlineStr">
        <is>
          <t>Aprendia o ofício quando o Núcleo desgovernou. Não teve chance de fugir.</t>
        </is>
      </c>
      <c r="L179" s="241">
        <f>IF(C179="Comum",ROUND(E179*1.3,0),"—")</f>
        <v/>
      </c>
      <c r="M179" s="241">
        <f>IF(C179="Comum",ROUND(F179*1.15,0),"—")</f>
        <v/>
      </c>
      <c r="N179" s="241">
        <f>IF(C179="Comum",G179+2,"—")</f>
        <v/>
      </c>
      <c r="O179" s="241">
        <f>IF(C179="Comum",ROUND(E179*1.6,0),"—")</f>
        <v/>
      </c>
      <c r="P179" s="241">
        <f>IF(C179="Comum",ROUND(F179*1.3,0),"—")</f>
        <v/>
      </c>
      <c r="Q179" s="241">
        <f>IF(C179="Comum",G179+4,"—")</f>
        <v/>
      </c>
      <c r="R179" s="242" t="n"/>
      <c r="S179" s="241">
        <f>ROUND(3+0.6*D179+IF(C179="Comum",0,IF(C179="Elite",2,IF(C179="Boss",4,6))),0)</f>
        <v/>
      </c>
      <c r="T179" s="241" t="inlineStr">
        <is>
          <t>Ouro + Caderno de Anotações do Aprendiz</t>
        </is>
      </c>
      <c r="U179" s="241" t="inlineStr">
        <is>
          <t>Atordoamento</t>
        </is>
      </c>
      <c r="V179" s="241" t="inlineStr">
        <is>
          <t>Não-hostil condicional</t>
        </is>
      </c>
      <c r="W179" s="241" t="inlineStr">
        <is>
          <t>Câmara Mecânica Anã — Oficina Principal</t>
        </is>
      </c>
      <c r="X179" s="243" t="n"/>
      <c r="Y179" s="241" t="inlineStr">
        <is>
          <t>Se poupado, pode consertar 1 item danificado de graça (quest).</t>
        </is>
      </c>
      <c r="Z179" s="241" t="inlineStr">
        <is>
          <t>O Clã Martelo de Vapor recompensa quem salva aprendizes.</t>
        </is>
      </c>
      <c r="AA179" s="243" t="n"/>
    </row>
    <row r="180" ht="15" customHeight="1" s="116">
      <c r="A180" s="241" t="inlineStr">
        <is>
          <t>Mecanismo Anao</t>
        </is>
      </c>
      <c r="B180" s="241" t="inlineStr">
        <is>
          <t>Devorador de Sucata</t>
        </is>
      </c>
      <c r="C180" s="241" t="inlineStr">
        <is>
          <t>Comum</t>
        </is>
      </c>
      <c r="D180" s="241" t="n">
        <v>26</v>
      </c>
      <c r="E180" s="241">
        <f>ROUND(INDEX('Curva Mestra'!$F$20:$F$94,MATCH(D180,'Curva Mestra'!$A$20:$A$94,0)),0)</f>
        <v/>
      </c>
      <c r="F180" s="241">
        <f>ROUND(INDEX('Curva Mestra'!$C$20:$C$94,MATCH(D180,'Curva Mestra'!$A$20:$A$94,0))*INDEX($B$5:$B$8,MATCH(C180,$A$5:$A$8,0)),0)</f>
        <v/>
      </c>
      <c r="G180" s="241">
        <f>ROUND(INDEX('Curva Mestra'!$D$20:$D$94,MATCH(D180,'Curva Mestra'!$A$20:$A$94,0))+INDEX($C$5:$C$8,MATCH(C180,$A$5:$A$8,0)),0)</f>
        <v/>
      </c>
      <c r="H180" s="241" t="inlineStr">
        <is>
          <t>Recicla metal no salão de entrada da câmara.</t>
        </is>
      </c>
      <c r="I180" s="241" t="inlineStr">
        <is>
          <t>Mordida de Metal</t>
        </is>
      </c>
      <c r="J180" s="241" t="inlineStr">
        <is>
          <t>Cura 5 HP se houver cadáver mecânico (autômato destruído) no local.</t>
        </is>
      </c>
      <c r="K180" s="241" t="inlineStr">
        <is>
          <t>Recicla metal de máquinas quebradas — inclusive as que ainda tinham gente dentro.</t>
        </is>
      </c>
      <c r="L180" s="241">
        <f>IF(C180="Comum",ROUND(E180*1.3,0),"—")</f>
        <v/>
      </c>
      <c r="M180" s="241">
        <f>IF(C180="Comum",ROUND(F180*1.15,0),"—")</f>
        <v/>
      </c>
      <c r="N180" s="241">
        <f>IF(C180="Comum",G180+2,"—")</f>
        <v/>
      </c>
      <c r="O180" s="241">
        <f>IF(C180="Comum",ROUND(E180*1.6,0),"—")</f>
        <v/>
      </c>
      <c r="P180" s="241">
        <f>IF(C180="Comum",ROUND(F180*1.3,0),"—")</f>
        <v/>
      </c>
      <c r="Q180" s="241">
        <f>IF(C180="Comum",G180+4,"—")</f>
        <v/>
      </c>
      <c r="R180" s="242" t="n"/>
      <c r="S180" s="241">
        <f>ROUND(3+0.6*D180+IF(C180="Comum",0,IF(C180="Elite",2,IF(C180="Boss",4,6))),0)</f>
        <v/>
      </c>
      <c r="T180" s="241" t="inlineStr">
        <is>
          <t>Ouro + Garra Reciclada de Devorador</t>
        </is>
      </c>
      <c r="U180" s="241" t="inlineStr">
        <is>
          <t>Queimadura</t>
        </is>
      </c>
      <c r="V180" s="241" t="inlineStr">
        <is>
          <t>Necrófago</t>
        </is>
      </c>
      <c r="W180" s="241" t="inlineStr">
        <is>
          <t>Câmara Mecânica Anã — Salão de Entrada</t>
        </is>
      </c>
      <c r="X180" s="243" t="n"/>
      <c r="Y180" s="243" t="n"/>
      <c r="Z180" s="243" t="n"/>
      <c r="AA180" s="243" t="n"/>
    </row>
    <row r="181" ht="15" customHeight="1" s="116">
      <c r="A181" s="241" t="inlineStr">
        <is>
          <t>Mecanismo Anao</t>
        </is>
      </c>
      <c r="B181" s="241" t="inlineStr">
        <is>
          <t>Vapor Corrosivo Grudado</t>
        </is>
      </c>
      <c r="C181" s="241" t="inlineStr">
        <is>
          <t>Comum</t>
        </is>
      </c>
      <c r="D181" s="241" t="n">
        <v>26</v>
      </c>
      <c r="E181" s="241">
        <f>ROUND(INDEX('Curva Mestra'!$F$20:$F$94,MATCH(D181,'Curva Mestra'!$A$20:$A$94,0)),0)</f>
        <v/>
      </c>
      <c r="F181" s="241">
        <f>ROUND(INDEX('Curva Mestra'!$C$20:$C$94,MATCH(D181,'Curva Mestra'!$A$20:$A$94,0))*INDEX($B$5:$B$8,MATCH(C181,$A$5:$A$8,0)),0)</f>
        <v/>
      </c>
      <c r="G181" s="241">
        <f>ROUND(INDEX('Curva Mestra'!$D$20:$D$94,MATCH(D181,'Curva Mestra'!$A$20:$A$94,0))+INDEX($C$5:$C$8,MATCH(C181,$A$5:$A$8,0)),0)</f>
        <v/>
      </c>
      <c r="H181" s="241" t="inlineStr">
        <is>
          <t>Gruda-se aos Autômatos da câmara mecânica.</t>
        </is>
      </c>
      <c r="I181" s="241" t="inlineStr">
        <is>
          <t>Corrosão Contínua</t>
        </is>
      </c>
      <c r="J181" s="241" t="inlineStr">
        <is>
          <t>Fragilidade — só aparece grudado em Autômatos.</t>
        </is>
      </c>
      <c r="K181" s="241" t="inlineStr">
        <is>
          <t>Vapor da fornalha que criou vida própria, parasita nos autômatos.</t>
        </is>
      </c>
      <c r="L181" s="241">
        <f>IF(C181="Comum",ROUND(E181*1.3,0),"—")</f>
        <v/>
      </c>
      <c r="M181" s="241">
        <f>IF(C181="Comum",ROUND(F181*1.15,0),"—")</f>
        <v/>
      </c>
      <c r="N181" s="241">
        <f>IF(C181="Comum",G181+2,"—")</f>
        <v/>
      </c>
      <c r="O181" s="241">
        <f>IF(C181="Comum",ROUND(E181*1.6,0),"—")</f>
        <v/>
      </c>
      <c r="P181" s="241">
        <f>IF(C181="Comum",ROUND(F181*1.3,0),"—")</f>
        <v/>
      </c>
      <c r="Q181" s="241">
        <f>IF(C181="Comum",G181+4,"—")</f>
        <v/>
      </c>
      <c r="R181" s="242" t="n"/>
      <c r="S181" s="241">
        <f>ROUND(3+0.6*D181+IF(C181="Comum",0,IF(C181="Elite",2,IF(C181="Boss",4,6))),0)</f>
        <v/>
      </c>
      <c r="T181" s="241" t="inlineStr">
        <is>
          <t>Ouro + Resíduo de Vapor Corrosivo</t>
        </is>
      </c>
      <c r="U181" s="241" t="inlineStr">
        <is>
          <t>Queimadura</t>
        </is>
      </c>
      <c r="V181" s="241" t="inlineStr">
        <is>
          <t>Parasita</t>
        </is>
      </c>
      <c r="W181" s="241" t="inlineStr">
        <is>
          <t>Câmara Mecânica Anã, só com Autômato presente</t>
        </is>
      </c>
      <c r="X181" s="243" t="n"/>
      <c r="Y181" s="243" t="n"/>
      <c r="Z181" s="243" t="n"/>
      <c r="AA181" s="243" t="n"/>
    </row>
    <row r="182" ht="15" customHeight="1" s="116">
      <c r="A182" s="241" t="inlineStr">
        <is>
          <t>Mecanismo Anao</t>
        </is>
      </c>
      <c r="B182" s="241" t="inlineStr">
        <is>
          <t>Pistão Menor</t>
        </is>
      </c>
      <c r="C182" s="241" t="inlineStr">
        <is>
          <t>Comum</t>
        </is>
      </c>
      <c r="D182" s="241" t="n">
        <v>26</v>
      </c>
      <c r="E182" s="241">
        <f>ROUND(INDEX('Curva Mestra'!$F$20:$F$94,MATCH(D182,'Curva Mestra'!$A$20:$A$94,0)),0)</f>
        <v/>
      </c>
      <c r="F182" s="241">
        <f>ROUND(INDEX('Curva Mestra'!$C$20:$C$94,MATCH(D182,'Curva Mestra'!$A$20:$A$94,0))*INDEX($B$5:$B$8,MATCH(C182,$A$5:$A$8,0)),0)</f>
        <v/>
      </c>
      <c r="G182" s="241">
        <f>ROUND(INDEX('Curva Mestra'!$D$20:$D$94,MATCH(D182,'Curva Mestra'!$A$20:$A$94,0))+INDEX($C$5:$C$8,MATCH(C182,$A$5:$A$8,0)),0)</f>
        <v/>
      </c>
      <c r="H182" s="241" t="inlineStr">
        <is>
          <t>Parte da linha de montagem do corredor de vapor.</t>
        </is>
      </c>
      <c r="I182" s="241" t="inlineStr">
        <is>
          <t>Golpe de Pressão Fraca</t>
        </is>
      </c>
      <c r="J182" s="241" t="inlineStr">
        <is>
          <t>Nenhum efeito adicional — mais fraco que o Pistão Enfurecido.</t>
        </is>
      </c>
      <c r="K182" s="241" t="inlineStr">
        <is>
          <t>Peça pequena da mesma linha de montagem, também corrompida.</t>
        </is>
      </c>
      <c r="L182" s="241">
        <f>IF(C182="Comum",ROUND(E182*1.3,0),"—")</f>
        <v/>
      </c>
      <c r="M182" s="241">
        <f>IF(C182="Comum",ROUND(F182*1.15,0),"—")</f>
        <v/>
      </c>
      <c r="N182" s="241">
        <f>IF(C182="Comum",G182+2,"—")</f>
        <v/>
      </c>
      <c r="O182" s="241">
        <f>IF(C182="Comum",ROUND(E182*1.6,0),"—")</f>
        <v/>
      </c>
      <c r="P182" s="241">
        <f>IF(C182="Comum",ROUND(F182*1.3,0),"—")</f>
        <v/>
      </c>
      <c r="Q182" s="241">
        <f>IF(C182="Comum",G182+4,"—")</f>
        <v/>
      </c>
      <c r="R182" s="243" t="n"/>
      <c r="S182" s="241">
        <f>ROUND(3+0.6*D182+IF(C182="Comum",0,IF(C182="Elite",2,IF(C182="Boss",4,6))),0)</f>
        <v/>
      </c>
      <c r="T182" s="241" t="inlineStr">
        <is>
          <t>Ouro + Haste de Pistão Menor</t>
        </is>
      </c>
      <c r="U182" s="241" t="inlineStr">
        <is>
          <t>Ignora Defesa</t>
        </is>
      </c>
      <c r="V182" s="161" t="inlineStr">
        <is>
          <t>DPS</t>
        </is>
      </c>
      <c r="W182" s="161" t="inlineStr">
        <is>
          <t>Câmara Mecânica Anã — Corredor de Vapor</t>
        </is>
      </c>
      <c r="X182" s="242" t="n"/>
      <c r="Y182" s="242" t="n"/>
      <c r="Z182" s="242" t="n"/>
      <c r="AA182" s="242" t="n"/>
    </row>
    <row r="183" ht="15" customHeight="1" s="116">
      <c r="A183" s="241" t="inlineStr">
        <is>
          <t>Mecanismo Anao</t>
        </is>
      </c>
      <c r="B183" s="241" t="inlineStr">
        <is>
          <t>Engenheiro Cansado</t>
        </is>
      </c>
      <c r="C183" s="241" t="inlineStr">
        <is>
          <t>Comum</t>
        </is>
      </c>
      <c r="D183" s="241" t="n">
        <v>26</v>
      </c>
      <c r="E183" s="241">
        <f>ROUND(INDEX('Curva Mestra'!$F$20:$F$94,MATCH(D183,'Curva Mestra'!$A$20:$A$94,0)),0)</f>
        <v/>
      </c>
      <c r="F183" s="241">
        <f>ROUND(INDEX('Curva Mestra'!$C$20:$C$94,MATCH(D183,'Curva Mestra'!$A$20:$A$94,0))*INDEX($B$5:$B$8,MATCH(C183,$A$5:$A$8,0)),0)</f>
        <v/>
      </c>
      <c r="G183" s="241">
        <f>ROUND(INDEX('Curva Mestra'!$D$20:$D$94,MATCH(D183,'Curva Mestra'!$A$20:$A$94,0))+INDEX($C$5:$C$8,MATCH(C183,$A$5:$A$8,0)),0)</f>
        <v/>
      </c>
      <c r="H183" s="241" t="inlineStr">
        <is>
          <t>Engenheiro exausto pelo trabalho forçado.</t>
        </is>
      </c>
      <c r="I183" s="241" t="inlineStr">
        <is>
          <t>Golpe de Chave Inglesa</t>
        </is>
      </c>
      <c r="J183" s="241" t="inlineStr">
        <is>
          <t>Nenhum efeito adicional.</t>
        </is>
      </c>
      <c r="K183" s="241" t="inlineStr">
        <is>
          <t>Trabalha na câmara há anos, cansado demais pra fugir ou lutar direito.</t>
        </is>
      </c>
      <c r="L183" s="241">
        <f>IF(C183="Comum",ROUND(E183*1.3,0),"—")</f>
        <v/>
      </c>
      <c r="M183" s="241">
        <f>IF(C183="Comum",ROUND(F183*1.15,0),"—")</f>
        <v/>
      </c>
      <c r="N183" s="241">
        <f>IF(C183="Comum",G183+2,"—")</f>
        <v/>
      </c>
      <c r="O183" s="241">
        <f>IF(C183="Comum",ROUND(E183*1.6,0),"—")</f>
        <v/>
      </c>
      <c r="P183" s="241">
        <f>IF(C183="Comum",ROUND(F183*1.3,0),"—")</f>
        <v/>
      </c>
      <c r="Q183" s="241">
        <f>IF(C183="Comum",G183+4,"—")</f>
        <v/>
      </c>
      <c r="R183" s="243" t="n"/>
      <c r="S183" s="241">
        <f>ROUND(3+0.6*D183+IF(C183="Comum",0,IF(C183="Elite",2,IF(C183="Boss",4,6))),0)</f>
        <v/>
      </c>
      <c r="T183" s="241" t="inlineStr">
        <is>
          <t>Ouro + Luva Gasta de Engenheiro Cansado</t>
        </is>
      </c>
      <c r="U183" s="241" t="inlineStr">
        <is>
          <t>Atordoamento</t>
        </is>
      </c>
      <c r="V183" s="161" t="inlineStr">
        <is>
          <t>DPS fraco</t>
        </is>
      </c>
      <c r="W183" s="161" t="inlineStr">
        <is>
          <t>Câmara Mecânica Anã — Oficina Principal</t>
        </is>
      </c>
      <c r="X183" s="242" t="n"/>
      <c r="Y183" s="242" t="n"/>
      <c r="Z183" s="242" t="n"/>
      <c r="AA183" s="242" t="n"/>
    </row>
    <row r="184" ht="15" customHeight="1" s="116">
      <c r="A184" s="241" t="inlineStr">
        <is>
          <t>Mecanismo Anao</t>
        </is>
      </c>
      <c r="B184" s="241" t="inlineStr">
        <is>
          <t>Válvula Menor</t>
        </is>
      </c>
      <c r="C184" s="241" t="inlineStr">
        <is>
          <t>Comum</t>
        </is>
      </c>
      <c r="D184" s="241" t="n">
        <v>26</v>
      </c>
      <c r="E184" s="241">
        <f>ROUND(INDEX('Curva Mestra'!$F$20:$F$94,MATCH(D184,'Curva Mestra'!$A$20:$A$94,0)),0)</f>
        <v/>
      </c>
      <c r="F184" s="241">
        <f>ROUND(INDEX('Curva Mestra'!$C$20:$C$94,MATCH(D184,'Curva Mestra'!$A$20:$A$94,0))*INDEX($B$5:$B$8,MATCH(C184,$A$5:$A$8,0)),0)</f>
        <v/>
      </c>
      <c r="G184" s="241">
        <f>ROUND(INDEX('Curva Mestra'!$D$20:$D$94,MATCH(D184,'Curva Mestra'!$A$20:$A$94,0))+INDEX($C$5:$C$8,MATCH(C184,$A$5:$A$8,0)),0)</f>
        <v/>
      </c>
      <c r="H184" s="241" t="inlineStr">
        <is>
          <t>Válvula de segurança menor.</t>
        </is>
      </c>
      <c r="I184" s="241" t="inlineStr">
        <is>
          <t>(não ataca até detonar)</t>
        </is>
      </c>
      <c r="J184" s="241" t="inlineStr">
        <is>
          <t>Ao ser atingida, Queimadura fraca em área.</t>
        </is>
      </c>
      <c r="K184" s="241" t="inlineStr">
        <is>
          <t>Versão menor da Válvula Explosiva, menos perigosa.</t>
        </is>
      </c>
      <c r="L184" s="241">
        <f>IF(C184="Comum",ROUND(E184*1.3,0),"—")</f>
        <v/>
      </c>
      <c r="M184" s="241">
        <f>IF(C184="Comum",ROUND(F184*1.15,0),"—")</f>
        <v/>
      </c>
      <c r="N184" s="241">
        <f>IF(C184="Comum",G184+2,"—")</f>
        <v/>
      </c>
      <c r="O184" s="241">
        <f>IF(C184="Comum",ROUND(E184*1.6,0),"—")</f>
        <v/>
      </c>
      <c r="P184" s="241">
        <f>IF(C184="Comum",ROUND(F184*1.3,0),"—")</f>
        <v/>
      </c>
      <c r="Q184" s="241">
        <f>IF(C184="Comum",G184+4,"—")</f>
        <v/>
      </c>
      <c r="R184" s="243" t="n"/>
      <c r="S184" s="241">
        <f>ROUND(3+0.6*D184+IF(C184="Comum",0,IF(C184="Elite",2,IF(C184="Boss",4,6))),0)</f>
        <v/>
      </c>
      <c r="T184" s="241" t="inlineStr">
        <is>
          <t>Ouro + Válvula Menor Presa</t>
        </is>
      </c>
      <c r="U184" s="241" t="inlineStr">
        <is>
          <t>Ignora Defesa</t>
        </is>
      </c>
      <c r="V184" s="161" t="inlineStr">
        <is>
          <t>Explosivo</t>
        </is>
      </c>
      <c r="W184" s="161" t="inlineStr">
        <is>
          <t>Câmara Mecânica Anã — Corredor de Vapor</t>
        </is>
      </c>
      <c r="X184" s="242" t="n"/>
      <c r="Y184" s="242" t="n"/>
      <c r="Z184" s="242" t="n"/>
      <c r="AA184" s="242" t="n"/>
    </row>
    <row r="185" ht="15" customHeight="1" s="116">
      <c r="A185" s="241" t="inlineStr">
        <is>
          <t>Mecanismo Anao</t>
        </is>
      </c>
      <c r="B185" s="241" t="inlineStr">
        <is>
          <t>Trilho Menor</t>
        </is>
      </c>
      <c r="C185" s="241" t="inlineStr">
        <is>
          <t>Comum</t>
        </is>
      </c>
      <c r="D185" s="241" t="n">
        <v>26</v>
      </c>
      <c r="E185" s="241">
        <f>ROUND(INDEX('Curva Mestra'!$F$20:$F$94,MATCH(D185,'Curva Mestra'!$A$20:$A$94,0)),0)</f>
        <v/>
      </c>
      <c r="F185" s="241">
        <f>ROUND(INDEX('Curva Mestra'!$C$20:$C$94,MATCH(D185,'Curva Mestra'!$A$20:$A$94,0))*INDEX($B$5:$B$8,MATCH(C185,$A$5:$A$8,0)),0)</f>
        <v/>
      </c>
      <c r="G185" s="241">
        <f>ROUND(INDEX('Curva Mestra'!$D$20:$D$94,MATCH(D185,'Curva Mestra'!$A$20:$A$94,0))+INDEX($C$5:$C$8,MATCH(C185,$A$5:$A$8,0)),0)</f>
        <v/>
      </c>
      <c r="H185" s="241" t="inlineStr">
        <is>
          <t>Vagão pequeno corrompido.</t>
        </is>
      </c>
      <c r="I185" s="241" t="inlineStr">
        <is>
          <t>Investida Fraca sobre Trilhos</t>
        </is>
      </c>
      <c r="J185" s="241" t="inlineStr">
        <is>
          <t>Nenhum efeito adicional.</t>
        </is>
      </c>
      <c r="K185" s="241" t="inlineStr">
        <is>
          <t>Vagão de mineração menor, mais fácil de evitar.</t>
        </is>
      </c>
      <c r="L185" s="241">
        <f>IF(C185="Comum",ROUND(E185*1.3,0),"—")</f>
        <v/>
      </c>
      <c r="M185" s="241">
        <f>IF(C185="Comum",ROUND(F185*1.15,0),"—")</f>
        <v/>
      </c>
      <c r="N185" s="241">
        <f>IF(C185="Comum",G185+2,"—")</f>
        <v/>
      </c>
      <c r="O185" s="241">
        <f>IF(C185="Comum",ROUND(E185*1.6,0),"—")</f>
        <v/>
      </c>
      <c r="P185" s="241">
        <f>IF(C185="Comum",ROUND(F185*1.3,0),"—")</f>
        <v/>
      </c>
      <c r="Q185" s="241">
        <f>IF(C185="Comum",G185+4,"—")</f>
        <v/>
      </c>
      <c r="R185" s="242" t="n"/>
      <c r="S185" s="241">
        <f>ROUND(3+0.6*D185+IF(C185="Comum",0,IF(C185="Elite",2,IF(C185="Boss",4,6))),0)</f>
        <v/>
      </c>
      <c r="T185" s="241" t="inlineStr">
        <is>
          <t>Ouro + Roda de Trilho Menor</t>
        </is>
      </c>
      <c r="U185" s="241" t="inlineStr">
        <is>
          <t>Fragilidade</t>
        </is>
      </c>
      <c r="V185" s="241" t="inlineStr">
        <is>
          <t>DPS</t>
        </is>
      </c>
      <c r="W185" s="241" t="inlineStr">
        <is>
          <t>Câmara Mecânica Anã — Corredor de Vapor</t>
        </is>
      </c>
      <c r="X185" s="243" t="n"/>
      <c r="Y185" s="243" t="n"/>
      <c r="Z185" s="243" t="n"/>
      <c r="AA185" s="243" t="n"/>
    </row>
    <row r="186" ht="15" customHeight="1" s="116">
      <c r="A186" s="241" t="inlineStr">
        <is>
          <t>Mecanismo Anao</t>
        </is>
      </c>
      <c r="B186" s="241" t="inlineStr">
        <is>
          <t>Autômato de Limpeza</t>
        </is>
      </c>
      <c r="C186" s="241" t="inlineStr">
        <is>
          <t>Comum</t>
        </is>
      </c>
      <c r="D186" s="241" t="n">
        <v>26</v>
      </c>
      <c r="E186" s="241">
        <f>ROUND(INDEX('Curva Mestra'!$F$20:$F$94,MATCH(D186,'Curva Mestra'!$A$20:$A$94,0)),0)</f>
        <v/>
      </c>
      <c r="F186" s="241">
        <f>ROUND(INDEX('Curva Mestra'!$C$20:$C$94,MATCH(D186,'Curva Mestra'!$A$20:$A$94,0))*INDEX($B$5:$B$8,MATCH(C186,$A$5:$A$8,0)),0)</f>
        <v/>
      </c>
      <c r="G186" s="241">
        <f>ROUND(INDEX('Curva Mestra'!$D$20:$D$94,MATCH(D186,'Curva Mestra'!$A$20:$A$94,0))+INDEX($C$5:$C$8,MATCH(C186,$A$5:$A$8,0)),0)</f>
        <v/>
      </c>
      <c r="H186" s="241" t="inlineStr">
        <is>
          <t>Autômato de limpeza corrompido.</t>
        </is>
      </c>
      <c r="I186" s="241" t="inlineStr">
        <is>
          <t>Escova de Metal</t>
        </is>
      </c>
      <c r="J186" s="241" t="inlineStr">
        <is>
          <t>Fragilidade fraca (arranha o equipamento).</t>
        </is>
      </c>
      <c r="K186" s="241" t="inlineStr">
        <is>
          <t>Programado só pra limpar, luta de forma desajeitada.</t>
        </is>
      </c>
      <c r="L186" s="241">
        <f>IF(C186="Comum",ROUND(E186*1.3,0),"—")</f>
        <v/>
      </c>
      <c r="M186" s="241">
        <f>IF(C186="Comum",ROUND(F186*1.15,0),"—")</f>
        <v/>
      </c>
      <c r="N186" s="241">
        <f>IF(C186="Comum",G186+2,"—")</f>
        <v/>
      </c>
      <c r="O186" s="241">
        <f>IF(C186="Comum",ROUND(E186*1.6,0),"—")</f>
        <v/>
      </c>
      <c r="P186" s="241">
        <f>IF(C186="Comum",ROUND(F186*1.3,0),"—")</f>
        <v/>
      </c>
      <c r="Q186" s="241">
        <f>IF(C186="Comum",G186+4,"—")</f>
        <v/>
      </c>
      <c r="R186" s="242" t="n"/>
      <c r="S186" s="241">
        <f>ROUND(3+0.6*D186+IF(C186="Comum",0,IF(C186="Elite",2,IF(C186="Boss",4,6))),0)</f>
        <v/>
      </c>
      <c r="T186" s="241" t="inlineStr">
        <is>
          <t>Ouro + Escova Mecânica de Limpeza</t>
        </is>
      </c>
      <c r="U186" s="241" t="inlineStr">
        <is>
          <t>Atordoamento</t>
        </is>
      </c>
      <c r="V186" s="241" t="inlineStr">
        <is>
          <t>DPS fraco</t>
        </is>
      </c>
      <c r="W186" s="241" t="inlineStr">
        <is>
          <t>Câmara Mecânica Anã — Oficina Principal</t>
        </is>
      </c>
      <c r="X186" s="243" t="n"/>
      <c r="Y186" s="243" t="n"/>
      <c r="Z186" s="243" t="n"/>
      <c r="AA186" s="243" t="n"/>
    </row>
    <row r="187" ht="15" customHeight="1" s="116">
      <c r="A187" s="241" t="inlineStr">
        <is>
          <t>Mecanismo Anao</t>
        </is>
      </c>
      <c r="B187" s="241" t="inlineStr">
        <is>
          <t>Rato Mecânico Comum</t>
        </is>
      </c>
      <c r="C187" s="241" t="inlineStr">
        <is>
          <t>Comum</t>
        </is>
      </c>
      <c r="D187" s="241" t="n">
        <v>26</v>
      </c>
      <c r="E187" s="241">
        <f>ROUND(INDEX('Curva Mestra'!$F$20:$F$94,MATCH(D187,'Curva Mestra'!$A$20:$A$94,0)),0)</f>
        <v/>
      </c>
      <c r="F187" s="241">
        <f>ROUND(INDEX('Curva Mestra'!$C$20:$C$94,MATCH(D187,'Curva Mestra'!$A$20:$A$94,0))*INDEX($B$5:$B$8,MATCH(C187,$A$5:$A$8,0)),0)</f>
        <v/>
      </c>
      <c r="G187" s="241">
        <f>ROUND(INDEX('Curva Mestra'!$D$20:$D$94,MATCH(D187,'Curva Mestra'!$A$20:$A$94,0))+INDEX($C$5:$C$8,MATCH(C187,$A$5:$A$8,0)),0)</f>
        <v/>
      </c>
      <c r="H187" s="241" t="inlineStr">
        <is>
          <t>Autômato de limpeza comum, não tão raro quanto o Fugidio.</t>
        </is>
      </c>
      <c r="I187" s="241" t="inlineStr">
        <is>
          <t>Mordida de Engrenagem</t>
        </is>
      </c>
      <c r="J187" s="241" t="inlineStr">
        <is>
          <t>Nenhum efeito adicional — mais fraco que o Rato Fugidio.</t>
        </is>
      </c>
      <c r="K187" s="241" t="inlineStr">
        <is>
          <t>Autômato pequeno de limpeza, versão mais comum e menos rara.</t>
        </is>
      </c>
      <c r="L187" s="241">
        <f>IF(C187="Comum",ROUND(E187*1.3,0),"—")</f>
        <v/>
      </c>
      <c r="M187" s="241">
        <f>IF(C187="Comum",ROUND(F187*1.15,0),"—")</f>
        <v/>
      </c>
      <c r="N187" s="241">
        <f>IF(C187="Comum",G187+2,"—")</f>
        <v/>
      </c>
      <c r="O187" s="241">
        <f>IF(C187="Comum",ROUND(E187*1.6,0),"—")</f>
        <v/>
      </c>
      <c r="P187" s="241">
        <f>IF(C187="Comum",ROUND(F187*1.3,0),"—")</f>
        <v/>
      </c>
      <c r="Q187" s="241">
        <f>IF(C187="Comum",G187+4,"—")</f>
        <v/>
      </c>
      <c r="R187" s="242" t="n"/>
      <c r="S187" s="241">
        <f>ROUND(3+0.6*D187+IF(C187="Comum",0,IF(C187="Elite",2,IF(C187="Boss",4,6))),0)</f>
        <v/>
      </c>
      <c r="T187" s="241" t="inlineStr">
        <is>
          <t>Ouro + Engrenagem de Rato Mecânico</t>
        </is>
      </c>
      <c r="U187" s="241" t="inlineStr">
        <is>
          <t>Atordoamento</t>
        </is>
      </c>
      <c r="V187" s="241" t="inlineStr">
        <is>
          <t>DPS fraco</t>
        </is>
      </c>
      <c r="W187" s="241" t="inlineStr">
        <is>
          <t>Câmara Mecânica Anã — Salão de Entrada</t>
        </is>
      </c>
      <c r="X187" s="243" t="n"/>
      <c r="Y187" s="243" t="n"/>
      <c r="Z187" s="243" t="n"/>
      <c r="AA187" s="243" t="n"/>
    </row>
    <row r="188" ht="15" customHeight="1" s="116">
      <c r="A188" s="241" t="inlineStr">
        <is>
          <t>Mecanismo Anao</t>
        </is>
      </c>
      <c r="B188" s="241" t="inlineStr">
        <is>
          <t>Engenheiro Anao Renegado</t>
        </is>
      </c>
      <c r="C188" s="241" t="inlineStr">
        <is>
          <t>Comum</t>
        </is>
      </c>
      <c r="D188" s="241" t="n">
        <v>27</v>
      </c>
      <c r="E188" s="241">
        <f>ROUND(INDEX('Curva Mestra'!$F$20:$F$94,MATCH(D188,'Curva Mestra'!$A$20:$A$94,0)),0)</f>
        <v/>
      </c>
      <c r="F188" s="241">
        <f>ROUND(INDEX('Curva Mestra'!$C$20:$C$94,MATCH(D188,'Curva Mestra'!$A$20:$A$94,0))*INDEX($B$5:$B$8,MATCH(C188,$A$5:$A$8,0)),0)</f>
        <v/>
      </c>
      <c r="G188" s="241">
        <f>ROUND(INDEX('Curva Mestra'!$D$20:$D$94,MATCH(D188,'Curva Mestra'!$A$20:$A$94,0))+INDEX($C$5:$C$8,MATCH(C188,$A$5:$A$8,0)),0)</f>
        <v/>
      </c>
      <c r="H188" s="241" t="inlineStr">
        <is>
          <t>Ronda a regiao do tier Mecanismo Anao</t>
        </is>
      </c>
      <c r="I188" s="241" t="inlineStr">
        <is>
          <t>Explosivo Improvisado</t>
        </is>
      </c>
      <c r="J188" s="241" t="inlineStr">
        <is>
          <t>Sem efeito mecânico além do dano — ataque direto.</t>
        </is>
      </c>
      <c r="K188" s="241" t="inlineStr">
        <is>
          <t>Seguiu as ideias de Thrum longe demais — acredita que fundir carne e engrenagem é o próximo passo, não um erro.</t>
        </is>
      </c>
      <c r="L188" s="241">
        <f>IF(C188="Comum",ROUND(E188*1.3,0),"—")</f>
        <v/>
      </c>
      <c r="M188" s="241">
        <f>IF(C188="Comum",ROUND(F188*1.15,0),"—")</f>
        <v/>
      </c>
      <c r="N188" s="241">
        <f>IF(C188="Comum",G188+2,"—")</f>
        <v/>
      </c>
      <c r="O188" s="241">
        <f>IF(C188="Comum",ROUND(E188*1.6,0),"—")</f>
        <v/>
      </c>
      <c r="P188" s="241">
        <f>IF(C188="Comum",ROUND(F188*1.3,0),"—")</f>
        <v/>
      </c>
      <c r="Q188" s="241">
        <f>IF(C188="Comum",G188+4,"—")</f>
        <v/>
      </c>
      <c r="R188" s="161" t="inlineStr">
        <is>
          <t>O Que Restou de Thrum</t>
        </is>
      </c>
      <c r="S188" s="241">
        <f>ROUND(INDEX('Curva Mestra'!$D$20:$D$94,MATCH(D188,'Curva Mestra'!$A$20:$A$94,0))-IF(C188="Comum",9,IF(C188="Elite",6,IF(C188="Boss",4,3))),0)</f>
        <v/>
      </c>
      <c r="T188" s="241" t="inlineStr">
        <is>
          <t>Ouro + Manifesto do Renegado + Núcleo de Engrenagem Ancestral (chance rara)</t>
        </is>
      </c>
      <c r="U188" s="241" t="inlineStr">
        <is>
          <t>Vulnerável a Atordoamento — travas mecânicas emperram com o dobro de chance.</t>
        </is>
      </c>
      <c r="V188" s="243" t="inlineStr">
        <is>
          <t>DPS</t>
        </is>
      </c>
      <c r="W188" s="243" t="inlineStr">
        <is>
          <t>Câmara Mecânica Anã</t>
        </is>
      </c>
      <c r="X188" s="243" t="n"/>
      <c r="Y188" s="243" t="n"/>
      <c r="Z188" s="243" t="n"/>
      <c r="AA188" s="243" t="n"/>
    </row>
    <row r="189" ht="15" customHeight="1" s="116">
      <c r="A189" s="241" t="inlineStr">
        <is>
          <t>Mecanismo Anao</t>
        </is>
      </c>
      <c r="B189" s="241" t="inlineStr">
        <is>
          <t>Válvula Explosiva</t>
        </is>
      </c>
      <c r="C189" s="241" t="inlineStr">
        <is>
          <t>Comum</t>
        </is>
      </c>
      <c r="D189" s="241" t="n">
        <v>27</v>
      </c>
      <c r="E189" s="241">
        <f>ROUND(INDEX('Curva Mestra'!$F$20:$F$94,MATCH(D189,'Curva Mestra'!$A$20:$A$94,0)),0)</f>
        <v/>
      </c>
      <c r="F189" s="241">
        <f>ROUND(INDEX('Curva Mestra'!$C$20:$C$94,MATCH(D189,'Curva Mestra'!$A$20:$A$94,0))*INDEX($B$5:$B$8,MATCH(C189,$A$5:$A$8,0)),0)</f>
        <v/>
      </c>
      <c r="G189" s="241">
        <f>ROUND(INDEX('Curva Mestra'!$D$20:$D$94,MATCH(D189,'Curva Mestra'!$A$20:$A$94,0))+INDEX($C$5:$C$8,MATCH(C189,$A$5:$A$8,0)),0)</f>
        <v/>
      </c>
      <c r="H189" s="241" t="inlineStr">
        <is>
          <t>Instalada no corredor de vapor da câmara mecânica.</t>
        </is>
      </c>
      <c r="I189" s="241" t="inlineStr">
        <is>
          <t>(não ataca até detonar)</t>
        </is>
      </c>
      <c r="J189" s="241" t="inlineStr">
        <is>
          <t>Ao ser atingida, Queimadura em área (2 dano, 2 turnos).</t>
        </is>
      </c>
      <c r="K189" s="241" t="inlineStr">
        <is>
          <t>Peça de segurança que virou arma depois que alguém a religou errado.</t>
        </is>
      </c>
      <c r="L189" s="241">
        <f>IF(C189="Comum",ROUND(E189*1.3,0),"—")</f>
        <v/>
      </c>
      <c r="M189" s="241">
        <f>IF(C189="Comum",ROUND(F189*1.15,0),"—")</f>
        <v/>
      </c>
      <c r="N189" s="241">
        <f>IF(C189="Comum",G189+2,"—")</f>
        <v/>
      </c>
      <c r="O189" s="241">
        <f>IF(C189="Comum",ROUND(E189*1.6,0),"—")</f>
        <v/>
      </c>
      <c r="P189" s="241">
        <f>IF(C189="Comum",ROUND(F189*1.3,0),"—")</f>
        <v/>
      </c>
      <c r="Q189" s="241">
        <f>IF(C189="Comum",G189+4,"—")</f>
        <v/>
      </c>
      <c r="R189" s="242" t="n"/>
      <c r="S189" s="241">
        <f>ROUND(3+0.6*D189+IF(C189="Comum",0,IF(C189="Elite",2,IF(C189="Boss",4,6))),0)</f>
        <v/>
      </c>
      <c r="T189" s="241" t="inlineStr">
        <is>
          <t>Ouro + Válvula Explosiva Instável</t>
        </is>
      </c>
      <c r="U189" s="241" t="inlineStr">
        <is>
          <t>Ignora Defesa</t>
        </is>
      </c>
      <c r="V189" s="241" t="inlineStr">
        <is>
          <t>Explosivo</t>
        </is>
      </c>
      <c r="W189" s="241" t="inlineStr">
        <is>
          <t>Câmara Mecânica Anã — Corredor de Vapor</t>
        </is>
      </c>
      <c r="X189" s="243" t="n"/>
      <c r="Y189" s="243" t="n"/>
      <c r="Z189" s="243" t="n"/>
      <c r="AA189" s="243" t="n"/>
    </row>
    <row r="190" ht="15" customHeight="1" s="116">
      <c r="A190" s="241" t="inlineStr">
        <is>
          <t>Mecanismo Anao</t>
        </is>
      </c>
      <c r="B190" s="241" t="inlineStr">
        <is>
          <t>Trilho Vivo</t>
        </is>
      </c>
      <c r="C190" s="241" t="inlineStr">
        <is>
          <t>Comum</t>
        </is>
      </c>
      <c r="D190" s="241" t="n">
        <v>27</v>
      </c>
      <c r="E190" s="241">
        <f>ROUND(INDEX('Curva Mestra'!$F$20:$F$94,MATCH(D190,'Curva Mestra'!$A$20:$A$94,0)),0)</f>
        <v/>
      </c>
      <c r="F190" s="241">
        <f>ROUND(INDEX('Curva Mestra'!$C$20:$C$94,MATCH(D190,'Curva Mestra'!$A$20:$A$94,0))*INDEX($B$5:$B$8,MATCH(C190,$A$5:$A$8,0)),0)</f>
        <v/>
      </c>
      <c r="G190" s="241">
        <f>ROUND(INDEX('Curva Mestra'!$D$20:$D$94,MATCH(D190,'Curva Mestra'!$A$20:$A$94,0))+INDEX($C$5:$C$8,MATCH(C190,$A$5:$A$8,0)),0)</f>
        <v/>
      </c>
      <c r="H190" s="241" t="inlineStr">
        <is>
          <t>Corre pelos trilhos do corredor de vapor.</t>
        </is>
      </c>
      <c r="I190" s="241" t="inlineStr">
        <is>
          <t>Investida sobre Trilhos</t>
        </is>
      </c>
      <c r="J190" s="241" t="inlineStr">
        <is>
          <t>Ignora Defesa (usa velocidade dos trilhos).</t>
        </is>
      </c>
      <c r="K190" s="241" t="inlineStr">
        <is>
          <t>Vagão de mineração que a Infecção fez correr sozinho, sem parar.</t>
        </is>
      </c>
      <c r="L190" s="241">
        <f>IF(C190="Comum",ROUND(E190*1.3,0),"—")</f>
        <v/>
      </c>
      <c r="M190" s="241">
        <f>IF(C190="Comum",ROUND(F190*1.15,0),"—")</f>
        <v/>
      </c>
      <c r="N190" s="241">
        <f>IF(C190="Comum",G190+2,"—")</f>
        <v/>
      </c>
      <c r="O190" s="241">
        <f>IF(C190="Comum",ROUND(E190*1.6,0),"—")</f>
        <v/>
      </c>
      <c r="P190" s="241">
        <f>IF(C190="Comum",ROUND(F190*1.3,0),"—")</f>
        <v/>
      </c>
      <c r="Q190" s="241">
        <f>IF(C190="Comum",G190+4,"—")</f>
        <v/>
      </c>
      <c r="R190" s="243" t="n"/>
      <c r="S190" s="241">
        <f>ROUND(3+0.6*D190+IF(C190="Comum",0,IF(C190="Elite",2,IF(C190="Boss",4,6))),0)</f>
        <v/>
      </c>
      <c r="T190" s="241" t="inlineStr">
        <is>
          <t>Ouro + Trilho de Metal Vivo</t>
        </is>
      </c>
      <c r="U190" s="241" t="inlineStr">
        <is>
          <t>Fragilidade</t>
        </is>
      </c>
      <c r="V190" s="161" t="inlineStr">
        <is>
          <t>Assassino</t>
        </is>
      </c>
      <c r="W190" s="161" t="inlineStr">
        <is>
          <t>Câmara Mecânica Anã — Corredor de Vapor</t>
        </is>
      </c>
      <c r="X190" s="242" t="n"/>
      <c r="Y190" s="161" t="inlineStr">
        <is>
          <t>Só ataca quem está no caminho dos trilhos.</t>
        </is>
      </c>
      <c r="Z190" s="242" t="n"/>
      <c r="AA190" s="242" t="n"/>
    </row>
    <row r="191" ht="15" customHeight="1" s="116">
      <c r="A191" s="241" t="inlineStr">
        <is>
          <t>Mecanismo Anao</t>
        </is>
      </c>
      <c r="B191" s="241" t="inlineStr">
        <is>
          <t>Autômato Só Só Se Ativa à Noite</t>
        </is>
      </c>
      <c r="C191" s="241" t="inlineStr">
        <is>
          <t>Comum</t>
        </is>
      </c>
      <c r="D191" s="241" t="n">
        <v>27</v>
      </c>
      <c r="E191" s="241">
        <f>ROUND(INDEX('Curva Mestra'!$F$20:$F$94,MATCH(D191,'Curva Mestra'!$A$20:$A$94,0)),0)</f>
        <v/>
      </c>
      <c r="F191" s="241">
        <f>ROUND(INDEX('Curva Mestra'!$C$20:$C$94,MATCH(D191,'Curva Mestra'!$A$20:$A$94,0))*INDEX($B$5:$B$8,MATCH(C191,$A$5:$A$8,0)),0)</f>
        <v/>
      </c>
      <c r="G191" s="241">
        <f>ROUND(INDEX('Curva Mestra'!$D$20:$D$94,MATCH(D191,'Curva Mestra'!$A$20:$A$94,0))+INDEX($C$5:$C$8,MATCH(C191,$A$5:$A$8,0)),0)</f>
        <v/>
      </c>
      <c r="H191" s="241" t="inlineStr">
        <is>
          <t>Ativo apenas durante o turno noturno da câmara.</t>
        </is>
      </c>
      <c r="I191" s="241" t="inlineStr">
        <is>
          <t>Golpe no Escuro</t>
        </is>
      </c>
      <c r="J191" s="241" t="inlineStr">
        <is>
          <t>Atordoamento — só ativo quando a Fornalha está em baixa (à noite).</t>
        </is>
      </c>
      <c r="K191" s="241" t="inlineStr">
        <is>
          <t>Foi programado pra vigiar só durante o turno noturno dos operários.</t>
        </is>
      </c>
      <c r="L191" s="241">
        <f>IF(C191="Comum",ROUND(E191*1.3,0),"—")</f>
        <v/>
      </c>
      <c r="M191" s="241">
        <f>IF(C191="Comum",ROUND(F191*1.15,0),"—")</f>
        <v/>
      </c>
      <c r="N191" s="241">
        <f>IF(C191="Comum",G191+2,"—")</f>
        <v/>
      </c>
      <c r="O191" s="241">
        <f>IF(C191="Comum",ROUND(E191*1.6,0),"—")</f>
        <v/>
      </c>
      <c r="P191" s="241">
        <f>IF(C191="Comum",ROUND(F191*1.3,0),"—")</f>
        <v/>
      </c>
      <c r="Q191" s="241">
        <f>IF(C191="Comum",G191+4,"—")</f>
        <v/>
      </c>
      <c r="R191" s="243" t="n"/>
      <c r="S191" s="241">
        <f>ROUND(3+0.6*D191+IF(C191="Comum",0,IF(C191="Elite",2,IF(C191="Boss",4,6))),0)</f>
        <v/>
      </c>
      <c r="T191" s="241" t="inlineStr">
        <is>
          <t>Ouro + Bobina Noturna de Autômato</t>
        </is>
      </c>
      <c r="U191" s="241" t="inlineStr">
        <is>
          <t>Ignora Resistência Mágica</t>
        </is>
      </c>
      <c r="V191" s="161" t="inlineStr">
        <is>
          <t>Condicional</t>
        </is>
      </c>
      <c r="W191" s="161" t="inlineStr">
        <is>
          <t>Câmara Mecânica Anã, só à noite</t>
        </is>
      </c>
      <c r="X191" s="242" t="n"/>
      <c r="Y191" s="242" t="n"/>
      <c r="Z191" s="242" t="n"/>
      <c r="AA191" s="242" t="n"/>
    </row>
    <row r="192" ht="15" customHeight="1" s="116">
      <c r="A192" s="241" t="inlineStr">
        <is>
          <t>Mecanismo Anao</t>
        </is>
      </c>
      <c r="B192" s="241" t="inlineStr">
        <is>
          <t>Anão Parcialmente Fundido</t>
        </is>
      </c>
      <c r="C192" s="241" t="inlineStr">
        <is>
          <t>Comum</t>
        </is>
      </c>
      <c r="D192" s="241" t="n">
        <v>27</v>
      </c>
      <c r="E192" s="241">
        <f>ROUND(INDEX('Curva Mestra'!$F$20:$F$94,MATCH(D192,'Curva Mestra'!$A$20:$A$94,0)),0)</f>
        <v/>
      </c>
      <c r="F192" s="241">
        <f>ROUND(INDEX('Curva Mestra'!$C$20:$C$94,MATCH(D192,'Curva Mestra'!$A$20:$A$94,0))*INDEX($B$5:$B$8,MATCH(C192,$A$5:$A$8,0)),0)</f>
        <v/>
      </c>
      <c r="G192" s="241">
        <f>ROUND(INDEX('Curva Mestra'!$D$20:$D$94,MATCH(D192,'Curva Mestra'!$A$20:$A$94,0))+INDEX($C$5:$C$8,MATCH(C192,$A$5:$A$8,0)),0)</f>
        <v/>
      </c>
      <c r="H192" s="241" t="inlineStr">
        <is>
          <t>Anão em processo de fusão com a máquina.</t>
        </is>
      </c>
      <c r="I192" s="241" t="inlineStr">
        <is>
          <t>Punho de Metal Parcial</t>
        </is>
      </c>
      <c r="J192" s="241" t="inlineStr">
        <is>
          <t>Nenhum efeito adicional.</t>
        </is>
      </c>
      <c r="K192" s="241" t="inlineStr">
        <is>
          <t>Início do processo que criou o Anão Fundido ao Metal — ainda reversível, talvez.</t>
        </is>
      </c>
      <c r="L192" s="241">
        <f>IF(C192="Comum",ROUND(E192*1.3,0),"—")</f>
        <v/>
      </c>
      <c r="M192" s="241">
        <f>IF(C192="Comum",ROUND(F192*1.15,0),"—")</f>
        <v/>
      </c>
      <c r="N192" s="241">
        <f>IF(C192="Comum",G192+2,"—")</f>
        <v/>
      </c>
      <c r="O192" s="241">
        <f>IF(C192="Comum",ROUND(E192*1.6,0),"—")</f>
        <v/>
      </c>
      <c r="P192" s="241">
        <f>IF(C192="Comum",ROUND(F192*1.3,0),"—")</f>
        <v/>
      </c>
      <c r="Q192" s="241">
        <f>IF(C192="Comum",G192+4,"—")</f>
        <v/>
      </c>
      <c r="R192" s="243" t="n"/>
      <c r="S192" s="241">
        <f>ROUND(3+0.6*D192+IF(C192="Comum",0,IF(C192="Elite",2,IF(C192="Boss",4,6))),0)</f>
        <v/>
      </c>
      <c r="T192" s="241" t="inlineStr">
        <is>
          <t>Ouro + Placa Fundida Parcial</t>
        </is>
      </c>
      <c r="U192" s="241" t="inlineStr">
        <is>
          <t>Ignora Resistência Mágica</t>
        </is>
      </c>
      <c r="V192" s="161" t="inlineStr">
        <is>
          <t>DPS</t>
        </is>
      </c>
      <c r="W192" s="161" t="inlineStr">
        <is>
          <t>Câmara Mecânica Anã — Corredor de Vapor</t>
        </is>
      </c>
      <c r="X192" s="242" t="n"/>
      <c r="Y192" s="242" t="n"/>
      <c r="Z192" s="242" t="n"/>
      <c r="AA192" s="242" t="n"/>
    </row>
    <row r="193" ht="15" customHeight="1" s="116">
      <c r="A193" s="241" t="inlineStr">
        <is>
          <t>Mecanismo Anao</t>
        </is>
      </c>
      <c r="B193" s="241" t="inlineStr">
        <is>
          <t>Pistão Instável</t>
        </is>
      </c>
      <c r="C193" s="241" t="inlineStr">
        <is>
          <t>Comum</t>
        </is>
      </c>
      <c r="D193" s="241" t="n">
        <v>27</v>
      </c>
      <c r="E193" s="241">
        <f>ROUND(INDEX('Curva Mestra'!$F$20:$F$94,MATCH(D193,'Curva Mestra'!$A$20:$A$94,0)),0)</f>
        <v/>
      </c>
      <c r="F193" s="241">
        <f>ROUND(INDEX('Curva Mestra'!$C$20:$C$94,MATCH(D193,'Curva Mestra'!$A$20:$A$94,0))*INDEX($B$5:$B$8,MATCH(C193,$A$5:$A$8,0)),0)</f>
        <v/>
      </c>
      <c r="G193" s="241">
        <f>ROUND(INDEX('Curva Mestra'!$D$20:$D$94,MATCH(D193,'Curva Mestra'!$A$20:$A$94,0))+INDEX($C$5:$C$8,MATCH(C193,$A$5:$A$8,0)),0)</f>
        <v/>
      </c>
      <c r="H193" s="241" t="inlineStr">
        <is>
          <t>Pistão com defeito de fabricação.</t>
        </is>
      </c>
      <c r="I193" s="241" t="inlineStr">
        <is>
          <t>Golpe de Pressão Instável</t>
        </is>
      </c>
      <c r="J193" s="241" t="inlineStr">
        <is>
          <t>+15% de chance de acerto abaixo de 50% HP (pressão acumulada).</t>
        </is>
      </c>
      <c r="K193" s="241" t="inlineStr">
        <is>
          <t>Peça da linha de montagem com pressão mal calibrada.</t>
        </is>
      </c>
      <c r="L193" s="241">
        <f>IF(C193="Comum",ROUND(E193*1.3,0),"—")</f>
        <v/>
      </c>
      <c r="M193" s="241">
        <f>IF(C193="Comum",ROUND(F193*1.15,0),"—")</f>
        <v/>
      </c>
      <c r="N193" s="241">
        <f>IF(C193="Comum",G193+2,"—")</f>
        <v/>
      </c>
      <c r="O193" s="241">
        <f>IF(C193="Comum",ROUND(E193*1.6,0),"—")</f>
        <v/>
      </c>
      <c r="P193" s="241">
        <f>IF(C193="Comum",ROUND(F193*1.3,0),"—")</f>
        <v/>
      </c>
      <c r="Q193" s="241">
        <f>IF(C193="Comum",G193+4,"—")</f>
        <v/>
      </c>
      <c r="R193" s="243" t="n"/>
      <c r="S193" s="241">
        <f>ROUND(3+0.6*D193+IF(C193="Comum",0,IF(C193="Elite",2,IF(C193="Boss",4,6))),0)</f>
        <v/>
      </c>
      <c r="T193" s="241" t="inlineStr">
        <is>
          <t>Ouro + Haste de Pistão Instável</t>
        </is>
      </c>
      <c r="U193" s="241" t="inlineStr">
        <is>
          <t>Ignora Defesa</t>
        </is>
      </c>
      <c r="V193" s="161" t="inlineStr">
        <is>
          <t>DPS</t>
        </is>
      </c>
      <c r="W193" s="161" t="inlineStr">
        <is>
          <t>Câmara Mecânica Anã — Corredor de Vapor</t>
        </is>
      </c>
      <c r="X193" s="242" t="n"/>
      <c r="Y193" s="242" t="n"/>
      <c r="Z193" s="242" t="n"/>
      <c r="AA193" s="242" t="n"/>
    </row>
    <row r="194" ht="15" customHeight="1" s="116">
      <c r="A194" s="241" t="inlineStr">
        <is>
          <t>Mecanismo Anao</t>
        </is>
      </c>
      <c r="B194" s="241" t="inlineStr">
        <is>
          <t>Pistão Enfurecido</t>
        </is>
      </c>
      <c r="C194" s="241" t="inlineStr">
        <is>
          <t>Comum</t>
        </is>
      </c>
      <c r="D194" s="241" t="n">
        <v>28</v>
      </c>
      <c r="E194" s="241">
        <f>ROUND(INDEX('Curva Mestra'!$F$20:$F$94,MATCH(D194,'Curva Mestra'!$A$20:$A$94,0)),0)</f>
        <v/>
      </c>
      <c r="F194" s="241">
        <f>ROUND(INDEX('Curva Mestra'!$C$20:$C$94,MATCH(D194,'Curva Mestra'!$A$20:$A$94,0))*INDEX($B$5:$B$8,MATCH(C194,$A$5:$A$8,0)),0)</f>
        <v/>
      </c>
      <c r="G194" s="241">
        <f>ROUND(INDEX('Curva Mestra'!$D$20:$D$94,MATCH(D194,'Curva Mestra'!$A$20:$A$94,0))+INDEX($C$5:$C$8,MATCH(C194,$A$5:$A$8,0)),0)</f>
        <v/>
      </c>
      <c r="H194" s="241" t="inlineStr">
        <is>
          <t>Câmara Mecânica Anã, Clã Martelo de Vapor, região de Mecanismo Anao.</t>
        </is>
      </c>
      <c r="I194" s="241" t="inlineStr">
        <is>
          <t>Golpe de Pressão</t>
        </is>
      </c>
      <c r="J194" s="241" t="inlineStr">
        <is>
          <t>Empurra o alvo 1m ao acertar.</t>
        </is>
      </c>
      <c r="K194" s="241" t="inlineStr">
        <is>
          <t>Peça de máquina que se soltou e passou a atacar tudo que se move — não tem malícia, só um sistema de segurança corrompido.</t>
        </is>
      </c>
      <c r="L194" s="241">
        <f>IF(C194="Comum",ROUND(E194*1.3,0),"—")</f>
        <v/>
      </c>
      <c r="M194" s="241">
        <f>IF(C194="Comum",ROUND(F194*1.15,0),"—")</f>
        <v/>
      </c>
      <c r="N194" s="241">
        <f>IF(C194="Comum",G194+2,"—")</f>
        <v/>
      </c>
      <c r="O194" s="241">
        <f>IF(C194="Comum",ROUND(E194*1.6,0),"—")</f>
        <v/>
      </c>
      <c r="P194" s="241">
        <f>IF(C194="Comum",ROUND(F194*1.3,0),"—")</f>
        <v/>
      </c>
      <c r="Q194" s="241">
        <f>IF(C194="Comum",G194+4,"—")</f>
        <v/>
      </c>
      <c r="R194" s="241" t="inlineStr">
        <is>
          <t>Peças Perdidas</t>
        </is>
      </c>
      <c r="S194" s="241">
        <f>ROUND(INDEX('Curva Mestra'!$D$20:$D$94,MATCH(D194,'Curva Mestra'!$A$20:$A$94,0))-IF(C194="Comum",9,IF(C194="Elite",6,IF(C194="Boss",4,3))),0)</f>
        <v/>
      </c>
      <c r="T194" s="241" t="inlineStr">
        <is>
          <t>Ouro + Mola Enfurecida + Núcleo de Engrenagem Ancestral (chance rara)</t>
        </is>
      </c>
      <c r="U194" s="241" t="inlineStr">
        <is>
          <t>Vulnerável a Atordoamento — travas mecânicas emperram com o dobro de chance.</t>
        </is>
      </c>
      <c r="V194" s="242" t="inlineStr">
        <is>
          <t>DPS</t>
        </is>
      </c>
      <c r="W194" s="242" t="inlineStr">
        <is>
          <t>Câmara Mecânica Anã</t>
        </is>
      </c>
      <c r="X194" s="242" t="n"/>
      <c r="Y194" s="242" t="n"/>
      <c r="Z194" s="242" t="n"/>
      <c r="AA194" s="242" t="n"/>
    </row>
    <row r="195" ht="15" customHeight="1" s="116">
      <c r="A195" s="241" t="inlineStr">
        <is>
          <t>Mecanismo Anao</t>
        </is>
      </c>
      <c r="B195" s="241" t="inlineStr">
        <is>
          <t>Engenheiro Sabotador</t>
        </is>
      </c>
      <c r="C195" s="241" t="inlineStr">
        <is>
          <t>Comum</t>
        </is>
      </c>
      <c r="D195" s="241" t="n">
        <v>28</v>
      </c>
      <c r="E195" s="241">
        <f>ROUND(INDEX('Curva Mestra'!$F$20:$F$94,MATCH(D195,'Curva Mestra'!$A$20:$A$94,0)),0)</f>
        <v/>
      </c>
      <c r="F195" s="241">
        <f>ROUND(INDEX('Curva Mestra'!$C$20:$C$94,MATCH(D195,'Curva Mestra'!$A$20:$A$94,0))*INDEX($B$5:$B$8,MATCH(C195,$A$5:$A$8,0)),0)</f>
        <v/>
      </c>
      <c r="G195" s="241">
        <f>ROUND(INDEX('Curva Mestra'!$D$20:$D$94,MATCH(D195,'Curva Mestra'!$A$20:$A$94,0))+INDEX($C$5:$C$8,MATCH(C195,$A$5:$A$8,0)),0)</f>
        <v/>
      </c>
      <c r="H195" s="241" t="inlineStr">
        <is>
          <t>Circula pela oficina principal, sabotando o que encontra.</t>
        </is>
      </c>
      <c r="I195" s="241" t="inlineStr">
        <is>
          <t>Corte de Cabos</t>
        </is>
      </c>
      <c r="J195" s="241" t="inlineStr">
        <is>
          <t>Fragilidade (equipamento) + tenta desarmar armadilhas do local antes de fugir.</t>
        </is>
      </c>
      <c r="K195" s="241" t="inlineStr">
        <is>
          <t>Decidiu que se o Núcleo vai cair, ele acelera o processo.</t>
        </is>
      </c>
      <c r="L195" s="241">
        <f>IF(C195="Comum",ROUND(E195*1.3,0),"—")</f>
        <v/>
      </c>
      <c r="M195" s="241">
        <f>IF(C195="Comum",ROUND(F195*1.15,0),"—")</f>
        <v/>
      </c>
      <c r="N195" s="241">
        <f>IF(C195="Comum",G195+2,"—")</f>
        <v/>
      </c>
      <c r="O195" s="241">
        <f>IF(C195="Comum",ROUND(E195*1.6,0),"—")</f>
        <v/>
      </c>
      <c r="P195" s="241">
        <f>IF(C195="Comum",ROUND(F195*1.3,0),"—")</f>
        <v/>
      </c>
      <c r="Q195" s="241">
        <f>IF(C195="Comum",G195+4,"—")</f>
        <v/>
      </c>
      <c r="R195" s="243" t="n"/>
      <c r="S195" s="241">
        <f>ROUND(3+0.6*D195+IF(C195="Comum",0,IF(C195="Elite",2,IF(C195="Boss",4,6))),0)</f>
        <v/>
      </c>
      <c r="T195" s="241" t="inlineStr">
        <is>
          <t>Ouro + Kit de Sabotagem Improvisado</t>
        </is>
      </c>
      <c r="U195" s="241" t="inlineStr">
        <is>
          <t>Lentidão</t>
        </is>
      </c>
      <c r="V195" s="161" t="inlineStr">
        <is>
          <t>Ladrão/Sabotador</t>
        </is>
      </c>
      <c r="W195" s="161" t="inlineStr">
        <is>
          <t>Câmara Mecânica Anã — Oficina Principal</t>
        </is>
      </c>
      <c r="X195" s="242" t="n"/>
      <c r="Y195" s="242" t="n"/>
      <c r="Z195" s="242" t="n"/>
      <c r="AA195" s="242" t="n"/>
    </row>
    <row r="196" ht="15" customHeight="1" s="116">
      <c r="A196" s="241" t="inlineStr">
        <is>
          <t>Mecanismo Anao</t>
        </is>
      </c>
      <c r="B196" s="241" t="inlineStr">
        <is>
          <t>Anão Fundido Menor</t>
        </is>
      </c>
      <c r="C196" s="241" t="inlineStr">
        <is>
          <t>Comum</t>
        </is>
      </c>
      <c r="D196" s="241" t="n">
        <v>28</v>
      </c>
      <c r="E196" s="241">
        <f>ROUND(INDEX('Curva Mestra'!$F$20:$F$94,MATCH(D196,'Curva Mestra'!$A$20:$A$94,0)),0)</f>
        <v/>
      </c>
      <c r="F196" s="241">
        <f>ROUND(INDEX('Curva Mestra'!$C$20:$C$94,MATCH(D196,'Curva Mestra'!$A$20:$A$94,0))*INDEX($B$5:$B$8,MATCH(C196,$A$5:$A$8,0)),0)</f>
        <v/>
      </c>
      <c r="G196" s="241">
        <f>ROUND(INDEX('Curva Mestra'!$D$20:$D$94,MATCH(D196,'Curva Mestra'!$A$20:$A$94,0))+INDEX($C$5:$C$8,MATCH(C196,$A$5:$A$8,0)),0)</f>
        <v/>
      </c>
      <c r="H196" s="241" t="inlineStr">
        <is>
          <t>Estágio inicial da fusão anã-metal.</t>
        </is>
      </c>
      <c r="I196" s="241" t="inlineStr">
        <is>
          <t>Punho de Ferro Parcial</t>
        </is>
      </c>
      <c r="J196" s="241" t="inlineStr">
        <is>
          <t>Ignora Resistência Mágica (leve).</t>
        </is>
      </c>
      <c r="K196" s="241" t="inlineStr">
        <is>
          <t>Fusão parcial, ainda não completou o processo do Anão Fundido ao Metal.</t>
        </is>
      </c>
      <c r="L196" s="241">
        <f>IF(C196="Comum",ROUND(E196*1.3,0),"—")</f>
        <v/>
      </c>
      <c r="M196" s="241">
        <f>IF(C196="Comum",ROUND(F196*1.15,0),"—")</f>
        <v/>
      </c>
      <c r="N196" s="241">
        <f>IF(C196="Comum",G196+2,"—")</f>
        <v/>
      </c>
      <c r="O196" s="241">
        <f>IF(C196="Comum",ROUND(E196*1.6,0),"—")</f>
        <v/>
      </c>
      <c r="P196" s="241">
        <f>IF(C196="Comum",ROUND(F196*1.3,0),"—")</f>
        <v/>
      </c>
      <c r="Q196" s="241">
        <f>IF(C196="Comum",G196+4,"—")</f>
        <v/>
      </c>
      <c r="R196" s="243" t="n"/>
      <c r="S196" s="241">
        <f>ROUND(3+0.6*D196+IF(C196="Comum",0,IF(C196="Elite",2,IF(C196="Boss",4,6))),0)</f>
        <v/>
      </c>
      <c r="T196" s="241" t="inlineStr">
        <is>
          <t>Ouro + Placa de Fusão Menor</t>
        </is>
      </c>
      <c r="U196" s="241" t="inlineStr">
        <is>
          <t>Ignora Resistência Mágica</t>
        </is>
      </c>
      <c r="V196" s="161" t="inlineStr">
        <is>
          <t>Tanque</t>
        </is>
      </c>
      <c r="W196" s="161" t="inlineStr">
        <is>
          <t>Câmara Mecânica Anã — Corredor de Vapor</t>
        </is>
      </c>
      <c r="X196" s="242" t="n"/>
      <c r="Y196" s="242" t="n"/>
      <c r="Z196" s="242" t="n"/>
      <c r="AA196" s="242" t="n"/>
    </row>
    <row r="197" ht="15" customHeight="1" s="116">
      <c r="A197" s="241" t="inlineStr">
        <is>
          <t>Mecanismo Anao</t>
        </is>
      </c>
      <c r="B197" s="241" t="inlineStr">
        <is>
          <t>Anão Possuído pelo Vapor</t>
        </is>
      </c>
      <c r="C197" s="241" t="inlineStr">
        <is>
          <t>Comum</t>
        </is>
      </c>
      <c r="D197" s="241" t="n">
        <v>29</v>
      </c>
      <c r="E197" s="241">
        <f>ROUND(INDEX('Curva Mestra'!$F$20:$F$94,MATCH(D197,'Curva Mestra'!$A$20:$A$94,0)),0)</f>
        <v/>
      </c>
      <c r="F197" s="241">
        <f>ROUND(INDEX('Curva Mestra'!$C$20:$C$94,MATCH(D197,'Curva Mestra'!$A$20:$A$94,0))*INDEX($B$5:$B$8,MATCH(C197,$A$5:$A$8,0)),0)</f>
        <v/>
      </c>
      <c r="G197" s="241">
        <f>ROUND(INDEX('Curva Mestra'!$D$20:$D$94,MATCH(D197,'Curva Mestra'!$A$20:$A$94,0))+INDEX($C$5:$C$8,MATCH(C197,$A$5:$A$8,0)),0)</f>
        <v/>
      </c>
      <c r="H197" s="241" t="inlineStr">
        <is>
          <t>Câmara Mecânica Anã, Clã Martelo de Vapor, região de Mecanismo Anao.</t>
        </is>
      </c>
      <c r="I197" s="241" t="inlineStr">
        <is>
          <t>Tosse Corrosiva</t>
        </is>
      </c>
      <c r="J197" s="241" t="inlineStr">
        <is>
          <t>Reduz a Defesa do alvo em 1 até o fim do combate.</t>
        </is>
      </c>
      <c r="K197" s="241" t="inlineStr">
        <is>
          <t>Trabalhador que respirou vapor de fenda contaminado por tempo demais — ainda tenta "voltar pro turno", mesmo sem fábrica pra voltar.</t>
        </is>
      </c>
      <c r="L197" s="241">
        <f>IF(C197="Comum",ROUND(E197*1.3,0),"—")</f>
        <v/>
      </c>
      <c r="M197" s="241">
        <f>IF(C197="Comum",ROUND(F197*1.15,0),"—")</f>
        <v/>
      </c>
      <c r="N197" s="241">
        <f>IF(C197="Comum",G197+2,"—")</f>
        <v/>
      </c>
      <c r="O197" s="241">
        <f>IF(C197="Comum",ROUND(E197*1.6,0),"—")</f>
        <v/>
      </c>
      <c r="P197" s="241">
        <f>IF(C197="Comum",ROUND(F197*1.3,0),"—")</f>
        <v/>
      </c>
      <c r="Q197" s="241">
        <f>IF(C197="Comum",G197+4,"—")</f>
        <v/>
      </c>
      <c r="R197" s="241" t="inlineStr">
        <is>
          <t>Vapor Envenenado</t>
        </is>
      </c>
      <c r="S197" s="241">
        <f>ROUND(INDEX('Curva Mestra'!$D$20:$D$94,MATCH(D197,'Curva Mestra'!$A$20:$A$94,0))-IF(C197="Comum",9,IF(C197="Elite",6,IF(C197="Boss",4,3))),0)</f>
        <v/>
      </c>
      <c r="T197" s="241" t="inlineStr">
        <is>
          <t>Ouro + Máscara Possuída pelo Vapor + Núcleo de Engrenagem Ancestral (chance rara)</t>
        </is>
      </c>
      <c r="U197" s="241" t="inlineStr">
        <is>
          <t>Vulnerável a Atordoamento — travas mecânicas emperram com o dobro de chance.</t>
        </is>
      </c>
      <c r="V197" s="242" t="inlineStr">
        <is>
          <t>DPS</t>
        </is>
      </c>
      <c r="W197" s="242" t="inlineStr">
        <is>
          <t>Câmara Mecânica Anã</t>
        </is>
      </c>
      <c r="X197" s="242" t="n"/>
      <c r="Y197" s="242" t="n"/>
      <c r="Z197" s="242" t="n"/>
      <c r="AA197" s="242" t="n"/>
    </row>
    <row r="198" ht="15" customHeight="1" s="116">
      <c r="A198" s="241" t="inlineStr">
        <is>
          <t>Mecanismo Anao</t>
        </is>
      </c>
      <c r="B198" s="241" t="inlineStr">
        <is>
          <t>Maquina de Guerra Ana</t>
        </is>
      </c>
      <c r="C198" s="241" t="inlineStr">
        <is>
          <t>Elite</t>
        </is>
      </c>
      <c r="D198" s="241" t="n">
        <v>27</v>
      </c>
      <c r="E198" s="241">
        <f>ROUND(INDEX('Curva Mestra'!$G$20:$G$94,MATCH(D198,'Curva Mestra'!$A$20:$A$94,0)),0)</f>
        <v/>
      </c>
      <c r="F198" s="241">
        <f>ROUND(INDEX('Curva Mestra'!$C$20:$C$94,MATCH(D198,'Curva Mestra'!$A$20:$A$94,0))*INDEX($B$5:$B$8,MATCH(C198,$A$5:$A$8,0)),0)</f>
        <v/>
      </c>
      <c r="G198" s="241">
        <f>ROUND(INDEX('Curva Mestra'!$D$20:$D$94,MATCH(D198,'Curva Mestra'!$A$20:$A$94,0))+INDEX($C$5:$C$8,MATCH(C198,$A$5:$A$8,0)),0)</f>
        <v/>
      </c>
      <c r="H198" s="241" t="inlineStr">
        <is>
          <t>Encontro dificil dentro do tier Mecanismo Anao</t>
        </is>
      </c>
      <c r="I198" s="241" t="inlineStr">
        <is>
          <t>Investida Blindada</t>
        </is>
      </c>
      <c r="J198" s="241" t="inlineStr">
        <is>
          <t>20% de chance de Atordoar o alvo (perde a próxima ação) ao acertar.</t>
        </is>
      </c>
      <c r="K198" s="241" t="inlineStr">
        <is>
          <t>Construída pro Clã Martelo de Vapor se defender de saques — ninguém programou ela pra parar quando não há mais nada a defender.</t>
        </is>
      </c>
      <c r="L198" s="241">
        <f>IF(C198="Comum",ROUND(E198*1.3,0),"—")</f>
        <v/>
      </c>
      <c r="M198" s="241">
        <f>IF(C198="Comum",ROUND(F198*1.15,0),"—")</f>
        <v/>
      </c>
      <c r="N198" s="241">
        <f>IF(C198="Comum",G198+2,"—")</f>
        <v/>
      </c>
      <c r="O198" s="241">
        <f>IF(C198="Comum",ROUND(E198*1.6,0),"—")</f>
        <v/>
      </c>
      <c r="P198" s="241">
        <f>IF(C198="Comum",ROUND(F198*1.3,0),"—")</f>
        <v/>
      </c>
      <c r="Q198" s="241">
        <f>IF(C198="Comum",G198+4,"—")</f>
        <v/>
      </c>
      <c r="R198" s="241" t="inlineStr">
        <is>
          <t>Engrenagem Contra Engrenagem</t>
        </is>
      </c>
      <c r="S198" s="241">
        <f>ROUND(INDEX('Curva Mestra'!$D$20:$D$94,MATCH(D198,'Curva Mestra'!$A$20:$A$94,0))-IF(C198="Comum",9,IF(C198="Elite",6,IF(C198="Boss",4,3))),0)</f>
        <v/>
      </c>
      <c r="T198" s="241" t="inlineStr">
        <is>
          <t>Engrenagem de Maquina de Guerra Ana + Ouro + Núcleo de Engrenagem Ancestral (chance baixa)</t>
        </is>
      </c>
      <c r="U198" s="241" t="inlineStr">
        <is>
          <t>Vulnerável a Atordoamento — travas mecânicas emperram com o dobro de chance.</t>
        </is>
      </c>
      <c r="V198" s="242" t="inlineStr">
        <is>
          <t>Controle</t>
        </is>
      </c>
      <c r="W198" s="242" t="inlineStr">
        <is>
          <t>Câmara Mecânica Anã</t>
        </is>
      </c>
      <c r="X198" s="242" t="n"/>
      <c r="Y198" s="242" t="n"/>
      <c r="Z198" s="242" t="n"/>
      <c r="AA198" s="242" t="n"/>
    </row>
    <row r="199" ht="15" customHeight="1" s="116">
      <c r="A199" s="241" t="inlineStr">
        <is>
          <t>Mecanismo Anao</t>
        </is>
      </c>
      <c r="B199" s="241" t="inlineStr">
        <is>
          <t>Caixa de Ferramentas Viva</t>
        </is>
      </c>
      <c r="C199" s="241" t="inlineStr">
        <is>
          <t>Elite</t>
        </is>
      </c>
      <c r="D199" s="241" t="n">
        <v>27</v>
      </c>
      <c r="E199" s="241">
        <f>ROUND(INDEX('Curva Mestra'!$G$20:$G$94,MATCH(D199,'Curva Mestra'!$A$20:$A$94,0)),0)</f>
        <v/>
      </c>
      <c r="F199" s="241">
        <f>ROUND(INDEX('Curva Mestra'!$C$20:$C$94,MATCH(D199,'Curva Mestra'!$A$20:$A$94,0))*INDEX($B$5:$B$8,MATCH(C199,$A$5:$A$8,0)),0)</f>
        <v/>
      </c>
      <c r="G199" s="241">
        <f>ROUND(INDEX('Curva Mestra'!$D$20:$D$94,MATCH(D199,'Curva Mestra'!$A$20:$A$94,0))+INDEX($C$5:$C$8,MATCH(C199,$A$5:$A$8,0)),0)</f>
        <v/>
      </c>
      <c r="H199" s="241" t="inlineStr">
        <is>
          <t>Disfarçada entre as ferramentas da oficina principal.</t>
        </is>
      </c>
      <c r="I199" s="241" t="inlineStr">
        <is>
          <t>Mordida de Ferramentas</t>
        </is>
      </c>
      <c r="J199" s="241" t="inlineStr">
        <is>
          <t>Ignora Defesa + jogador perde 1 turno de surpresa.</t>
        </is>
      </c>
      <c r="K199" s="241" t="inlineStr">
        <is>
          <t>Anões deixam caixas-armadilha pra pegar quem rouba peças sem permissão.</t>
        </is>
      </c>
      <c r="L199" s="241">
        <f>IF(C199="Comum",ROUND(E199*1.3,0),"—")</f>
        <v/>
      </c>
      <c r="M199" s="241">
        <f>IF(C199="Comum",ROUND(F199*1.15,0),"—")</f>
        <v/>
      </c>
      <c r="N199" s="241">
        <f>IF(C199="Comum",G199+2,"—")</f>
        <v/>
      </c>
      <c r="O199" s="241">
        <f>IF(C199="Comum",ROUND(E199*1.6,0),"—")</f>
        <v/>
      </c>
      <c r="P199" s="241">
        <f>IF(C199="Comum",ROUND(F199*1.3,0),"—")</f>
        <v/>
      </c>
      <c r="Q199" s="241">
        <f>IF(C199="Comum",G199+4,"—")</f>
        <v/>
      </c>
      <c r="R199" s="243" t="n"/>
      <c r="S199" s="241">
        <f>ROUND(3+0.6*D199+IF(C199="Comum",0,IF(C199="Elite",2,IF(C199="Boss",4,6))),0)</f>
        <v/>
      </c>
      <c r="T199" s="241" t="inlineStr">
        <is>
          <t>Ouro + Latão de Fornalha Subterrânea (chance alta, x2) + Fragmento de Fechadura da Caixa</t>
        </is>
      </c>
      <c r="U199" s="241" t="inlineStr">
        <is>
          <t>Atordoamento</t>
        </is>
      </c>
      <c r="V199" s="161" t="inlineStr">
        <is>
          <t>Mímico</t>
        </is>
      </c>
      <c r="W199" s="161" t="inlineStr">
        <is>
          <t>Câmara Mecânica Anã — Oficina Principal, 5% ao interagir</t>
        </is>
      </c>
      <c r="X199" s="242" t="n"/>
      <c r="Y199" s="242" t="n"/>
      <c r="Z199" s="161" t="inlineStr">
        <is>
          <t>O Clã Martelo de Vapor as planta de propósito.</t>
        </is>
      </c>
      <c r="AA199" s="161" t="inlineStr">
        <is>
          <t>Latão de Fornalha Subterrânea x2 (falso — some ao ser revelado, sem uso real)</t>
        </is>
      </c>
    </row>
    <row r="200" ht="15" customHeight="1" s="116">
      <c r="A200" s="241" t="inlineStr">
        <is>
          <t>Mecanismo Anao</t>
        </is>
      </c>
      <c r="B200" s="241" t="inlineStr">
        <is>
          <t>Rato Mecânico Fugidio</t>
        </is>
      </c>
      <c r="C200" s="241" t="inlineStr">
        <is>
          <t>Elite</t>
        </is>
      </c>
      <c r="D200" s="241" t="n">
        <v>27</v>
      </c>
      <c r="E200" s="241">
        <f>ROUND(INDEX('Curva Mestra'!$G$20:$G$94,MATCH(D200,'Curva Mestra'!$A$20:$A$94,0)),0)</f>
        <v/>
      </c>
      <c r="F200" s="241">
        <f>ROUND(INDEX('Curva Mestra'!$C$20:$C$94,MATCH(D200,'Curva Mestra'!$A$20:$A$94,0))*INDEX($B$5:$B$8,MATCH(C200,$A$5:$A$8,0)),0)</f>
        <v/>
      </c>
      <c r="G200" s="241">
        <f>ROUND(INDEX('Curva Mestra'!$D$20:$D$94,MATCH(D200,'Curva Mestra'!$A$20:$A$94,0))+INDEX($C$5:$C$8,MATCH(C200,$A$5:$A$8,0)),0)</f>
        <v/>
      </c>
      <c r="H200" s="241" t="inlineStr">
        <is>
          <t>Raro, visto limpando e fugindo pela câmara mecânica.</t>
        </is>
      </c>
      <c r="I200" s="241" t="inlineStr">
        <is>
          <t>Fuga a Vapor</t>
        </is>
      </c>
      <c r="J200" s="241" t="inlineStr">
        <is>
          <t>Não causa dano — foge no turno 3.</t>
        </is>
      </c>
      <c r="K200" s="241" t="inlineStr">
        <is>
          <t>Pequeno autômato de limpeza que aprendeu a fugir de quem tenta desmontá-lo.</t>
        </is>
      </c>
      <c r="L200" s="241">
        <f>IF(C200="Comum",ROUND(E200*1.3,0),"—")</f>
        <v/>
      </c>
      <c r="M200" s="241">
        <f>IF(C200="Comum",ROUND(F200*1.15,0),"—")</f>
        <v/>
      </c>
      <c r="N200" s="241">
        <f>IF(C200="Comum",G200+2,"—")</f>
        <v/>
      </c>
      <c r="O200" s="241">
        <f>IF(C200="Comum",ROUND(E200*1.6,0),"—")</f>
        <v/>
      </c>
      <c r="P200" s="241">
        <f>IF(C200="Comum",ROUND(F200*1.3,0),"—")</f>
        <v/>
      </c>
      <c r="Q200" s="241">
        <f>IF(C200="Comum",G200+4,"—")</f>
        <v/>
      </c>
      <c r="R200" s="243" t="n"/>
      <c r="S200" s="241">
        <f>ROUND(3+0.6*D200+IF(C200="Comum",0,IF(C200="Elite",2,IF(C200="Boss",4,6))),0)</f>
        <v/>
      </c>
      <c r="T200" s="241" t="inlineStr">
        <is>
          <t>Ouro + Peça Rara de Rato Fugidio</t>
        </is>
      </c>
      <c r="U200" s="241" t="inlineStr">
        <is>
          <t>Lentidão</t>
        </is>
      </c>
      <c r="V200" s="161" t="inlineStr">
        <is>
          <t>Superloot/Evasivo</t>
        </is>
      </c>
      <c r="W200" s="161" t="inlineStr">
        <is>
          <t>Câmara Mecânica Anã, spawn raro (2%)</t>
        </is>
      </c>
      <c r="X200" s="242" t="n"/>
      <c r="Y200" s="242" t="n"/>
      <c r="Z200" s="242" t="n"/>
      <c r="AA200" s="161" t="inlineStr">
        <is>
          <t>Obsidiana Incandescente (material de Tier 7)</t>
        </is>
      </c>
    </row>
    <row r="201" ht="15" customHeight="1" s="116">
      <c r="A201" s="241" t="inlineStr">
        <is>
          <t>Mecanismo Anao</t>
        </is>
      </c>
      <c r="B201" s="241" t="inlineStr">
        <is>
          <t>Guardião do Puzzle Central</t>
        </is>
      </c>
      <c r="C201" s="241" t="inlineStr">
        <is>
          <t>Elite</t>
        </is>
      </c>
      <c r="D201" s="241" t="n">
        <v>28</v>
      </c>
      <c r="E201" s="241">
        <f>ROUND(INDEX('Curva Mestra'!$G$20:$G$94,MATCH(D201,'Curva Mestra'!$A$20:$A$94,0)),0)</f>
        <v/>
      </c>
      <c r="F201" s="241">
        <f>ROUND(INDEX('Curva Mestra'!$C$20:$C$94,MATCH(D201,'Curva Mestra'!$A$20:$A$94,0))*INDEX($B$5:$B$8,MATCH(C201,$A$5:$A$8,0)),0)</f>
        <v/>
      </c>
      <c r="G201" s="241">
        <f>ROUND(INDEX('Curva Mestra'!$D$20:$D$94,MATCH(D201,'Curva Mestra'!$A$20:$A$94,0))+INDEX($C$5:$C$8,MATCH(C201,$A$5:$A$8,0)),0)</f>
        <v/>
      </c>
      <c r="H201" s="241" t="inlineStr">
        <is>
          <t>Câmara Mecânica Anã, Clã Martelo de Vapor, região de Mecanismo Anao.</t>
        </is>
      </c>
      <c r="I201" s="241" t="inlineStr">
        <is>
          <t>Trava de Segurança</t>
        </is>
      </c>
      <c r="J201" s="241" t="inlineStr">
        <is>
          <t>Ao ser atingido, tem 30% de chance de imobilizar o próprio atacante por 1 turno (mecanismo de defesa automático).</t>
        </is>
      </c>
      <c r="K201" s="241" t="inlineStr">
        <is>
          <t>Protege o Puzzle do Pêndulo Central onde o artefato "O Relógio de Engrenagens Vivas" está guardado — segue a última ordem que recebeu, há gerações.</t>
        </is>
      </c>
      <c r="L201" s="241">
        <f>IF(C201="Comum",ROUND(E201*1.3,0),"—")</f>
        <v/>
      </c>
      <c r="M201" s="241">
        <f>IF(C201="Comum",ROUND(F201*1.15,0),"—")</f>
        <v/>
      </c>
      <c r="N201" s="241">
        <f>IF(C201="Comum",G201+2,"—")</f>
        <v/>
      </c>
      <c r="O201" s="241">
        <f>IF(C201="Comum",ROUND(E201*1.6,0),"—")</f>
        <v/>
      </c>
      <c r="P201" s="241">
        <f>IF(C201="Comum",ROUND(F201*1.3,0),"—")</f>
        <v/>
      </c>
      <c r="Q201" s="241">
        <f>IF(C201="Comum",G201+4,"—")</f>
        <v/>
      </c>
      <c r="R201" s="241" t="inlineStr">
        <is>
          <t>O Relógio de Engrenagens Vivas</t>
        </is>
      </c>
      <c r="S201" s="241">
        <f>ROUND(INDEX('Curva Mestra'!$D$20:$D$94,MATCH(D201,'Curva Mestra'!$A$20:$A$94,0))-IF(C201="Comum",9,IF(C201="Elite",6,IF(C201="Boss",4,3))),0)</f>
        <v/>
      </c>
      <c r="T201" s="241" t="inlineStr">
        <is>
          <t>Núcleo de Guardião do Puzzle Central + Ouro + Núcleo de Engrenagem Ancestral (chance baixa)</t>
        </is>
      </c>
      <c r="U201" s="241" t="inlineStr">
        <is>
          <t>Vulnerável a Ignora Resistência Mágica — segue ordens antigas, sem vontade própria pra resistir.</t>
        </is>
      </c>
      <c r="V201" s="242" t="inlineStr">
        <is>
          <t>Controle</t>
        </is>
      </c>
      <c r="W201" s="242" t="inlineStr">
        <is>
          <t>Câmara Mecânica Anã</t>
        </is>
      </c>
      <c r="X201" s="242" t="n"/>
      <c r="Y201" s="242" t="n"/>
      <c r="Z201" s="242" t="n"/>
      <c r="AA201" s="242" t="n"/>
    </row>
    <row r="202" ht="15" customHeight="1" s="116">
      <c r="A202" s="241" t="inlineStr">
        <is>
          <t>Mecanismo Anao</t>
        </is>
      </c>
      <c r="B202" s="241" t="inlineStr">
        <is>
          <t>Autômato Reconstruído</t>
        </is>
      </c>
      <c r="C202" s="241" t="inlineStr">
        <is>
          <t>Elite</t>
        </is>
      </c>
      <c r="D202" s="241" t="n">
        <v>28</v>
      </c>
      <c r="E202" s="241">
        <f>ROUND(INDEX('Curva Mestra'!$G$20:$G$94,MATCH(D202,'Curva Mestra'!$A$20:$A$94,0)),0)</f>
        <v/>
      </c>
      <c r="F202" s="241">
        <f>ROUND(INDEX('Curva Mestra'!$C$20:$C$94,MATCH(D202,'Curva Mestra'!$A$20:$A$94,0))*INDEX($B$5:$B$8,MATCH(C202,$A$5:$A$8,0)),0)</f>
        <v/>
      </c>
      <c r="G202" s="241">
        <f>ROUND(INDEX('Curva Mestra'!$D$20:$D$94,MATCH(D202,'Curva Mestra'!$A$20:$A$94,0))+INDEX($C$5:$C$8,MATCH(C202,$A$5:$A$8,0)),0)</f>
        <v/>
      </c>
      <c r="H202" s="241" t="inlineStr">
        <is>
          <t>Remontado às pressas na oficina principal da câmara.</t>
        </is>
      </c>
      <c r="I202" s="241" t="inlineStr">
        <is>
          <t>Golpe de Sucata Reforçada</t>
        </is>
      </c>
      <c r="J202" s="241" t="inlineStr">
        <is>
          <t>Nenhum efeito adicional — muito resistente.</t>
        </is>
      </c>
      <c r="K202" s="241" t="inlineStr">
        <is>
          <t>Remontado às pressas com peças de outros autômatos quebrados.</t>
        </is>
      </c>
      <c r="L202" s="241">
        <f>IF(C202="Comum",ROUND(E202*1.3,0),"—")</f>
        <v/>
      </c>
      <c r="M202" s="241">
        <f>IF(C202="Comum",ROUND(F202*1.15,0),"—")</f>
        <v/>
      </c>
      <c r="N202" s="241">
        <f>IF(C202="Comum",G202+2,"—")</f>
        <v/>
      </c>
      <c r="O202" s="241">
        <f>IF(C202="Comum",ROUND(E202*1.6,0),"—")</f>
        <v/>
      </c>
      <c r="P202" s="241">
        <f>IF(C202="Comum",ROUND(F202*1.3,0),"—")</f>
        <v/>
      </c>
      <c r="Q202" s="241">
        <f>IF(C202="Comum",G202+4,"—")</f>
        <v/>
      </c>
      <c r="R202" s="243" t="n"/>
      <c r="S202" s="241">
        <f>ROUND(3+0.6*D202+IF(C202="Comum",0,IF(C202="Elite",2,IF(C202="Boss",4,6))),0)</f>
        <v/>
      </c>
      <c r="T202" s="241" t="inlineStr">
        <is>
          <t>Ouro + Fragmento de Autômato Reconstruído + Núcleo de Engrenagem Ancestral (chance baixa)</t>
        </is>
      </c>
      <c r="U202" s="241" t="inlineStr">
        <is>
          <t>Ignora Resistência Mágica</t>
        </is>
      </c>
      <c r="V202" s="161" t="inlineStr">
        <is>
          <t>Tanque</t>
        </is>
      </c>
      <c r="W202" s="161" t="inlineStr">
        <is>
          <t>Câmara Mecânica Anã — Oficina Principal</t>
        </is>
      </c>
      <c r="X202" s="242" t="n"/>
      <c r="Y202" s="242" t="n"/>
      <c r="Z202" s="242" t="n"/>
      <c r="AA202" s="242" t="n"/>
    </row>
    <row r="203" ht="15" customHeight="1" s="116">
      <c r="A203" s="241" t="inlineStr">
        <is>
          <t>Mecanismo Anao</t>
        </is>
      </c>
      <c r="B203" s="241" t="inlineStr">
        <is>
          <t>Engenheiro Fantasma</t>
        </is>
      </c>
      <c r="C203" s="241" t="inlineStr">
        <is>
          <t>Elite</t>
        </is>
      </c>
      <c r="D203" s="241" t="n">
        <v>29</v>
      </c>
      <c r="E203" s="241">
        <f>ROUND(INDEX('Curva Mestra'!$G$20:$G$94,MATCH(D203,'Curva Mestra'!$A$20:$A$94,0)),0)</f>
        <v/>
      </c>
      <c r="F203" s="241">
        <f>ROUND(INDEX('Curva Mestra'!$C$20:$C$94,MATCH(D203,'Curva Mestra'!$A$20:$A$94,0))*INDEX($B$5:$B$8,MATCH(C203,$A$5:$A$8,0)),0)</f>
        <v/>
      </c>
      <c r="G203" s="241">
        <f>ROUND(INDEX('Curva Mestra'!$D$20:$D$94,MATCH(D203,'Curva Mestra'!$A$20:$A$94,0))+INDEX($C$5:$C$8,MATCH(C203,$A$5:$A$8,0)),0)</f>
        <v/>
      </c>
      <c r="H203" s="241" t="inlineStr">
        <is>
          <t>Câmara Mecânica Anã, Clã Martelo de Vapor, região de Mecanismo Anao.</t>
        </is>
      </c>
      <c r="I203" s="241" t="inlineStr">
        <is>
          <t>Última Instrução</t>
        </is>
      </c>
      <c r="J203" s="241" t="inlineStr">
        <is>
          <t>Cura 10 HP de uma máquina aliada (inclusive constructos) por turno.</t>
        </is>
      </c>
      <c r="K203" s="241" t="inlineStr">
        <is>
          <t>Morreu tentando consertar o Núcleo antes que ele girasse fora de controle — ainda não aceitou que o projeto não pode mais ser salvo.</t>
        </is>
      </c>
      <c r="L203" s="241">
        <f>IF(C203="Comum",ROUND(E203*1.3,0),"—")</f>
        <v/>
      </c>
      <c r="M203" s="241">
        <f>IF(C203="Comum",ROUND(F203*1.15,0),"—")</f>
        <v/>
      </c>
      <c r="N203" s="241">
        <f>IF(C203="Comum",G203+2,"—")</f>
        <v/>
      </c>
      <c r="O203" s="241">
        <f>IF(C203="Comum",ROUND(E203*1.6,0),"—")</f>
        <v/>
      </c>
      <c r="P203" s="241">
        <f>IF(C203="Comum",ROUND(F203*1.3,0),"—")</f>
        <v/>
      </c>
      <c r="Q203" s="241">
        <f>IF(C203="Comum",G203+4,"—")</f>
        <v/>
      </c>
      <c r="R203" s="241" t="inlineStr">
        <is>
          <t>O Fiel Que Não Desistiu</t>
        </is>
      </c>
      <c r="S203" s="241">
        <f>ROUND(INDEX('Curva Mestra'!$D$20:$D$94,MATCH(D203,'Curva Mestra'!$A$20:$A$94,0))-IF(C203="Comum",9,IF(C203="Elite",6,IF(C203="Boss",4,3))),0)</f>
        <v/>
      </c>
      <c r="T203" s="241" t="inlineStr">
        <is>
          <t>Resíduo Espectral de Engenheiro Fantasma + Ouro + Núcleo de Engrenagem Ancestral (chance baixa)</t>
        </is>
      </c>
      <c r="U203" s="241" t="inlineStr">
        <is>
          <t>Vulnerável a Prata — armas de Prata ignoram 2 de Defesa a mais nele.</t>
        </is>
      </c>
      <c r="V203" s="242" t="inlineStr">
        <is>
          <t>Suporte</t>
        </is>
      </c>
      <c r="W203" s="242" t="inlineStr">
        <is>
          <t>Câmara Mecânica Anã</t>
        </is>
      </c>
      <c r="X203" s="242" t="n"/>
      <c r="Y203" s="242" t="n"/>
      <c r="Z203" s="242" t="n"/>
      <c r="AA203" s="242" t="n"/>
    </row>
    <row r="204" ht="15" customHeight="1" s="116">
      <c r="A204" s="241" t="inlineStr">
        <is>
          <t>Mecanismo Anao</t>
        </is>
      </c>
      <c r="B204" s="241" t="inlineStr">
        <is>
          <t>Anão Fundido ao Metal</t>
        </is>
      </c>
      <c r="C204" s="241" t="inlineStr">
        <is>
          <t>Elite</t>
        </is>
      </c>
      <c r="D204" s="241" t="n">
        <v>29</v>
      </c>
      <c r="E204" s="241">
        <f>ROUND(INDEX('Curva Mestra'!$G$20:$G$94,MATCH(D204,'Curva Mestra'!$A$20:$A$94,0)),0)</f>
        <v/>
      </c>
      <c r="F204" s="241">
        <f>ROUND(INDEX('Curva Mestra'!$C$20:$C$94,MATCH(D204,'Curva Mestra'!$A$20:$A$94,0))*INDEX($B$5:$B$8,MATCH(C204,$A$5:$A$8,0)),0)</f>
        <v/>
      </c>
      <c r="G204" s="241">
        <f>ROUND(INDEX('Curva Mestra'!$D$20:$D$94,MATCH(D204,'Curva Mestra'!$A$20:$A$94,0))+INDEX($C$5:$C$8,MATCH(C204,$A$5:$A$8,0)),0)</f>
        <v/>
      </c>
      <c r="H204" s="241" t="inlineStr">
        <is>
          <t>Preso ao maquinário do corredor de vapor.</t>
        </is>
      </c>
      <c r="I204" s="241" t="inlineStr">
        <is>
          <t>Punho de Ferro Fundido</t>
        </is>
      </c>
      <c r="J204" s="241" t="inlineStr">
        <is>
          <t>Ignora Resistência Mágica.</t>
        </is>
      </c>
      <c r="K204" s="241" t="inlineStr">
        <is>
          <t>O vapor corrompido fundiu o corpo dele com a própria máquina que operava.</t>
        </is>
      </c>
      <c r="L204" s="241">
        <f>IF(C204="Comum",ROUND(E204*1.3,0),"—")</f>
        <v/>
      </c>
      <c r="M204" s="241">
        <f>IF(C204="Comum",ROUND(F204*1.15,0),"—")</f>
        <v/>
      </c>
      <c r="N204" s="241">
        <f>IF(C204="Comum",G204+2,"—")</f>
        <v/>
      </c>
      <c r="O204" s="241">
        <f>IF(C204="Comum",ROUND(E204*1.6,0),"—")</f>
        <v/>
      </c>
      <c r="P204" s="241">
        <f>IF(C204="Comum",ROUND(F204*1.3,0),"—")</f>
        <v/>
      </c>
      <c r="Q204" s="241">
        <f>IF(C204="Comum",G204+4,"—")</f>
        <v/>
      </c>
      <c r="R204" s="243" t="n"/>
      <c r="S204" s="241">
        <f>ROUND(3+0.6*D204+IF(C204="Comum",0,IF(C204="Elite",2,IF(C204="Boss",4,6))),0)</f>
        <v/>
      </c>
      <c r="T204" s="241" t="inlineStr">
        <is>
          <t>Ouro + Fragmento de Anão Fundido ao Metal + Núcleo de Engrenagem Ancestral (chance baixa)</t>
        </is>
      </c>
      <c r="U204" s="241" t="inlineStr">
        <is>
          <t>Ignora Resistência Mágica</t>
        </is>
      </c>
      <c r="V204" s="161" t="inlineStr">
        <is>
          <t>Tanque</t>
        </is>
      </c>
      <c r="W204" s="161" t="inlineStr">
        <is>
          <t>Câmara Mecânica Anã — Corredor de Vapor</t>
        </is>
      </c>
      <c r="X204" s="161" t="inlineStr">
        <is>
          <t>A 40% de HP libera vapor: Queimadura em área 1x.</t>
        </is>
      </c>
      <c r="Y204" s="242" t="n"/>
      <c r="Z204" s="242" t="n"/>
      <c r="AA204" s="242" t="n"/>
    </row>
    <row r="205" ht="15" customHeight="1" s="116">
      <c r="A205" s="241" t="inlineStr">
        <is>
          <t>Mecanismo Anao</t>
        </is>
      </c>
      <c r="B205" s="241" t="inlineStr">
        <is>
          <t>Grondar, o Engenheiro-Chefe Caído</t>
        </is>
      </c>
      <c r="C205" s="241" t="inlineStr">
        <is>
          <t>Elite</t>
        </is>
      </c>
      <c r="D205" s="241" t="n">
        <v>29</v>
      </c>
      <c r="E205" s="241">
        <f>ROUND(INDEX('Curva Mestra'!$G$20:$G$94,MATCH(D205,'Curva Mestra'!$A$20:$A$94,0)),0)</f>
        <v/>
      </c>
      <c r="F205" s="241">
        <f>ROUND(INDEX('Curva Mestra'!$C$20:$C$94,MATCH(D205,'Curva Mestra'!$A$20:$A$94,0))*INDEX($B$5:$B$8,MATCH(C205,$A$5:$A$8,0)),0)</f>
        <v/>
      </c>
      <c r="G205" s="241">
        <f>ROUND(INDEX('Curva Mestra'!$D$20:$D$94,MATCH(D205,'Curva Mestra'!$A$20:$A$94,0))+INDEX($C$5:$C$8,MATCH(C205,$A$5:$A$8,0)),0)</f>
        <v/>
      </c>
      <c r="H205" s="241" t="inlineStr">
        <is>
          <t>Raramente visto na oficina principal, sempre trabalhando.</t>
        </is>
      </c>
      <c r="I205" s="241" t="inlineStr">
        <is>
          <t>Último Projeto</t>
        </is>
      </c>
      <c r="J205" s="241" t="inlineStr">
        <is>
          <t>Ignora Defesa + invoca 1 Autômato de Vigia ao chegar a 50% HP.</t>
        </is>
      </c>
      <c r="K205" s="241" t="inlineStr">
        <is>
          <t>Foi ele quem ligou o Núcleo pela última vez. Não teve tempo de desligar antes de virar isso.</t>
        </is>
      </c>
      <c r="L205" s="241">
        <f>IF(C205="Comum",ROUND(E205*1.3,0),"—")</f>
        <v/>
      </c>
      <c r="M205" s="241">
        <f>IF(C205="Comum",ROUND(F205*1.15,0),"—")</f>
        <v/>
      </c>
      <c r="N205" s="241">
        <f>IF(C205="Comum",G205+2,"—")</f>
        <v/>
      </c>
      <c r="O205" s="241">
        <f>IF(C205="Comum",ROUND(E205*1.6,0),"—")</f>
        <v/>
      </c>
      <c r="P205" s="241">
        <f>IF(C205="Comum",ROUND(F205*1.3,0),"—")</f>
        <v/>
      </c>
      <c r="Q205" s="241">
        <f>IF(C205="Comum",G205+4,"—")</f>
        <v/>
      </c>
      <c r="R205" s="243" t="n"/>
      <c r="S205" s="241">
        <f>ROUND(3+0.6*D205+IF(C205="Comum",0,IF(C205="Elite",2,IF(C205="Boss",4,6))),0)</f>
        <v/>
      </c>
      <c r="T205" s="241" t="inlineStr">
        <is>
          <t>Ouro + Fragmento de Grondar + Núcleo de Engrenagem Ancestral (chance baixa)</t>
        </is>
      </c>
      <c r="U205" s="241" t="inlineStr">
        <is>
          <t>Ignora Resistência Mágica</t>
        </is>
      </c>
      <c r="V205" s="161" t="inlineStr">
        <is>
          <t>Nomeado / Mini-Boss</t>
        </is>
      </c>
      <c r="W205" s="161" t="inlineStr">
        <is>
          <t>Câmara Mecânica Anã — Oficina Principal, spawn raro (4%)</t>
        </is>
      </c>
      <c r="X205" s="161" t="inlineStr">
        <is>
          <t>Ao chegar a 30% HP, tenta se autodesligar — se o jogador deixar, ele "morre em paz" e dá Título; se atacado antes, dropa Loot Único.</t>
        </is>
      </c>
      <c r="Y205" s="242" t="n"/>
      <c r="Z205" s="161" t="inlineStr">
        <is>
          <t>O Clã Martelo de Vapor o considera o maior fracasso da história deles.</t>
        </is>
      </c>
      <c r="AA205" s="161" t="inlineStr">
        <is>
          <t>Chave-Mestra de Grondar (se derrotado antes de se autodesligar) [ver Artefatos e Relíquias]</t>
        </is>
      </c>
    </row>
    <row r="206" ht="15" customHeight="1" s="116">
      <c r="A206" s="241" t="inlineStr">
        <is>
          <t>Mecanismo Anao</t>
        </is>
      </c>
      <c r="B206" s="241" t="inlineStr">
        <is>
          <t>Engenheiro Sabotador Veterano</t>
        </is>
      </c>
      <c r="C206" s="241" t="inlineStr">
        <is>
          <t>Elite</t>
        </is>
      </c>
      <c r="D206" s="241" t="n">
        <v>29</v>
      </c>
      <c r="E206" s="241">
        <f>ROUND(INDEX('Curva Mestra'!$G$20:$G$94,MATCH(D206,'Curva Mestra'!$A$20:$A$94,0)),0)</f>
        <v/>
      </c>
      <c r="F206" s="241">
        <f>ROUND(INDEX('Curva Mestra'!$C$20:$C$94,MATCH(D206,'Curva Mestra'!$A$20:$A$94,0))*INDEX($B$5:$B$8,MATCH(C206,$A$5:$A$8,0)),0)</f>
        <v/>
      </c>
      <c r="G206" s="241">
        <f>ROUND(INDEX('Curva Mestra'!$D$20:$D$94,MATCH(D206,'Curva Mestra'!$A$20:$A$94,0))+INDEX($C$5:$C$8,MATCH(C206,$A$5:$A$8,0)),0)</f>
        <v/>
      </c>
      <c r="H206" s="241" t="inlineStr">
        <is>
          <t>Sabotador veterano, mais eficiente e perigoso.</t>
        </is>
      </c>
      <c r="I206" s="241" t="inlineStr">
        <is>
          <t>Corte de Cabos Preciso</t>
        </is>
      </c>
      <c r="J206" s="241" t="inlineStr">
        <is>
          <t>Fragilidade forte (equipamento) + desarma armadilhas rapidamente.</t>
        </is>
      </c>
      <c r="K206" s="241" t="inlineStr">
        <is>
          <t>Versão mais experiente do Engenheiro Sabotador.</t>
        </is>
      </c>
      <c r="L206" s="241">
        <f>IF(C206="Comum",ROUND(E206*1.3,0),"—")</f>
        <v/>
      </c>
      <c r="M206" s="241">
        <f>IF(C206="Comum",ROUND(F206*1.15,0),"—")</f>
        <v/>
      </c>
      <c r="N206" s="241">
        <f>IF(C206="Comum",G206+2,"—")</f>
        <v/>
      </c>
      <c r="O206" s="241">
        <f>IF(C206="Comum",ROUND(E206*1.6,0),"—")</f>
        <v/>
      </c>
      <c r="P206" s="241">
        <f>IF(C206="Comum",ROUND(F206*1.3,0),"—")</f>
        <v/>
      </c>
      <c r="Q206" s="241">
        <f>IF(C206="Comum",G206+4,"—")</f>
        <v/>
      </c>
      <c r="R206" s="243" t="n"/>
      <c r="S206" s="241">
        <f>ROUND(3+0.6*D206+IF(C206="Comum",0,IF(C206="Elite",2,IF(C206="Boss",4,6))),0)</f>
        <v/>
      </c>
      <c r="T206" s="241" t="inlineStr">
        <is>
          <t>Ouro + Fragmento de Sabotador Veterano + Núcleo de Engrenagem Ancestral (chance baixa)</t>
        </is>
      </c>
      <c r="U206" s="241" t="inlineStr">
        <is>
          <t>Lentidão</t>
        </is>
      </c>
      <c r="V206" s="161" t="inlineStr">
        <is>
          <t>Ladrão/Sabotador</t>
        </is>
      </c>
      <c r="W206" s="161" t="inlineStr">
        <is>
          <t>Câmara Mecânica Anã — Oficina Principal</t>
        </is>
      </c>
      <c r="X206" s="242" t="n"/>
      <c r="Y206" s="242" t="n"/>
      <c r="Z206" s="242" t="n"/>
      <c r="AA206" s="242" t="n"/>
    </row>
    <row r="207" ht="15" customHeight="1" s="116">
      <c r="A207" s="241" t="inlineStr">
        <is>
          <t>Mecanismo Anao</t>
        </is>
      </c>
      <c r="B207" s="241" t="inlineStr">
        <is>
          <t>O Colosso a Vapor Desgovernado</t>
        </is>
      </c>
      <c r="C207" s="241" t="inlineStr">
        <is>
          <t>Boss</t>
        </is>
      </c>
      <c r="D207" s="241" t="n">
        <v>29</v>
      </c>
      <c r="E207" s="241">
        <f>ROUND(INDEX('Curva Mestra'!$H$20:$H$94,MATCH(D207,'Curva Mestra'!$A$20:$A$94,0)),0)</f>
        <v/>
      </c>
      <c r="F207" s="241">
        <f>ROUND(INDEX('Curva Mestra'!$C$20:$C$94,MATCH(D207,'Curva Mestra'!$A$20:$A$94,0))*INDEX($B$5:$B$8,MATCH(C207,$A$5:$A$8,0)),0)</f>
        <v/>
      </c>
      <c r="G207" s="241">
        <f>ROUND(INDEX('Curva Mestra'!$D$20:$D$94,MATCH(D207,'Curva Mestra'!$A$20:$A$94,0))+INDEX($C$5:$C$8,MATCH(C207,$A$5:$A$8,0)),0)</f>
        <v/>
      </c>
      <c r="H207" s="241" t="inlineStr">
        <is>
          <t>Câmara Mecânica Anã, Clã Martelo de Vapor, região de Mecanismo Anao.</t>
        </is>
      </c>
      <c r="I207" s="241" t="inlineStr">
        <is>
          <t>Descarga de Alta Pressão</t>
        </is>
      </c>
      <c r="J207" s="241" t="inlineStr">
        <is>
          <t>Causa dano a todos os inimigos presentes a cada 3 turnos. Também aplica: Ignora 1 ponto de Defesa do alvo.</t>
        </is>
      </c>
      <c r="K207" s="241" t="inlineStr">
        <is>
          <t>Máquina de mineração colossal que nunca foi desligada — o Clã Martelo de Vapor a abandonou quando ela ficou grande demais pra controlar.</t>
        </is>
      </c>
      <c r="L207" s="241">
        <f>IF(C207="Comum",ROUND(E207*1.3,0),"—")</f>
        <v/>
      </c>
      <c r="M207" s="241">
        <f>IF(C207="Comum",ROUND(F207*1.15,0),"—")</f>
        <v/>
      </c>
      <c r="N207" s="241">
        <f>IF(C207="Comum",G207+2,"—")</f>
        <v/>
      </c>
      <c r="O207" s="241">
        <f>IF(C207="Comum",ROUND(E207*1.6,0),"—")</f>
        <v/>
      </c>
      <c r="P207" s="241">
        <f>IF(C207="Comum",ROUND(F207*1.3,0),"—")</f>
        <v/>
      </c>
      <c r="Q207" s="241">
        <f>IF(C207="Comum",G207+4,"—")</f>
        <v/>
      </c>
      <c r="R207" s="241" t="inlineStr">
        <is>
          <t>A Fúria do Colosso Desgovernado</t>
        </is>
      </c>
      <c r="S207" s="241">
        <f>ROUND(INDEX('Curva Mestra'!$D$20:$D$94,MATCH(D207,'Curva Mestra'!$A$20:$A$94,0))-IF(C207="Comum",9,IF(C207="Elite",6,IF(C207="Boss",4,3))),0)</f>
        <v/>
      </c>
      <c r="T207" s="241" t="inlineStr">
        <is>
          <t>Núcleo de O Colosso a Vapor Desgovernado + Essência de O Colosso a Vapor Desgovernado + Ouro + Núcleo de Engrenagem Ancestral (chance baixa)</t>
        </is>
      </c>
      <c r="U207" s="241" t="inlineStr">
        <is>
          <t>Vulnerável a Atordoamento — travas mecânicas emperram com o dobro de chance.</t>
        </is>
      </c>
      <c r="V207" s="242" t="inlineStr">
        <is>
          <t>DPS</t>
        </is>
      </c>
      <c r="W207" s="242" t="inlineStr">
        <is>
          <t>Câmara Mecânica Anã</t>
        </is>
      </c>
      <c r="X207" s="242" t="n"/>
      <c r="Y207" s="242" t="n"/>
      <c r="Z207" s="242" t="n"/>
      <c r="AA207" s="242" t="n"/>
    </row>
    <row r="208" ht="15" customHeight="1" s="116">
      <c r="A208" s="241" t="inlineStr">
        <is>
          <t>Mecanismo Anao</t>
        </is>
      </c>
      <c r="B208" s="241" t="inlineStr">
        <is>
          <t>Nucleo Mecanico Ancestral</t>
        </is>
      </c>
      <c r="C208" s="241" t="inlineStr">
        <is>
          <t>Boss</t>
        </is>
      </c>
      <c r="D208" s="241" t="n">
        <v>30</v>
      </c>
      <c r="E208" s="241">
        <f>ROUND(INDEX('Curva Mestra'!$H$20:$H$94,MATCH(D208,'Curva Mestra'!$A$20:$A$94,0)),0)</f>
        <v/>
      </c>
      <c r="F208" s="241">
        <f>ROUND(INDEX('Curva Mestra'!$C$20:$C$94,MATCH(D208,'Curva Mestra'!$A$20:$A$94,0))*INDEX($B$5:$B$8,MATCH(C208,$A$5:$A$8,0)),0)</f>
        <v/>
      </c>
      <c r="G208" s="241">
        <f>ROUND(INDEX('Curva Mestra'!$D$20:$D$94,MATCH(D208,'Curva Mestra'!$A$20:$A$94,0))+INDEX($C$5:$C$8,MATCH(C208,$A$5:$A$8,0)),0)</f>
        <v/>
      </c>
      <c r="H208" s="241" t="inlineStr">
        <is>
          <t>Chefe / marco final do tier Mecanismo Anao</t>
        </is>
      </c>
      <c r="I208" s="241" t="inlineStr">
        <is>
          <t>Pulso de Energia</t>
        </is>
      </c>
      <c r="J208" s="241" t="inlineStr">
        <is>
          <t>20% de chance de Atordoar o alvo (perde a próxima ação) ao acertar.</t>
        </is>
      </c>
      <c r="K208" s="241" t="inlineStr">
        <is>
          <t>Engrenagem forjada com liga perdida, gira sozinha sem fonte de energia aparente — os anões pararam de tentar entender e só tentam controlar.</t>
        </is>
      </c>
      <c r="L208" s="241">
        <f>IF(C208="Comum",ROUND(E208*1.3,0),"—")</f>
        <v/>
      </c>
      <c r="M208" s="241">
        <f>IF(C208="Comum",ROUND(F208*1.15,0),"—")</f>
        <v/>
      </c>
      <c r="N208" s="241">
        <f>IF(C208="Comum",G208+2,"—")</f>
        <v/>
      </c>
      <c r="O208" s="241">
        <f>IF(C208="Comum",ROUND(E208*1.6,0),"—")</f>
        <v/>
      </c>
      <c r="P208" s="241">
        <f>IF(C208="Comum",ROUND(F208*1.3,0),"—")</f>
        <v/>
      </c>
      <c r="Q208" s="241">
        <f>IF(C208="Comum",G208+4,"—")</f>
        <v/>
      </c>
      <c r="R208" s="241" t="inlineStr">
        <is>
          <t>O Núcleo Silencioso</t>
        </is>
      </c>
      <c r="S208" s="241">
        <f>ROUND(INDEX('Curva Mestra'!$D$20:$D$94,MATCH(D208,'Curva Mestra'!$A$20:$A$94,0))-IF(C208="Comum",9,IF(C208="Elite",6,IF(C208="Boss",4,3))),0)</f>
        <v/>
      </c>
      <c r="T208" s="241" t="inlineStr">
        <is>
          <t>Núcleo de Nucleo Mecanico Ancestral + Essência de Nucleo Mecanico Ancestral + Ouro + Núcleo de Engrenagem Ancestral (chance baixa)</t>
        </is>
      </c>
      <c r="U208" s="241" t="inlineStr">
        <is>
          <t>Vulnerável a Atordoamento — travas mecânicas emperram com o dobro de chance.</t>
        </is>
      </c>
      <c r="V208" s="242" t="inlineStr">
        <is>
          <t>Controle</t>
        </is>
      </c>
      <c r="W208" s="242" t="inlineStr">
        <is>
          <t>Câmara Mecânica Anã</t>
        </is>
      </c>
      <c r="X208" s="242" t="n"/>
      <c r="Y208" s="242" t="n"/>
      <c r="Z208" s="242" t="n"/>
      <c r="AA208" s="242" t="n"/>
    </row>
    <row r="209" ht="15" customHeight="1" s="116">
      <c r="A209" s="241" t="inlineStr">
        <is>
          <t>Vidro Vulcanico</t>
        </is>
      </c>
      <c r="B209" s="241" t="inlineStr">
        <is>
          <t>Peregrino da Fenda, o Que Só Observa</t>
        </is>
      </c>
      <c r="C209" s="241" t="inlineStr">
        <is>
          <t>Comum</t>
        </is>
      </c>
      <c r="D209" s="241" t="n">
        <v>28</v>
      </c>
      <c r="E209" s="241">
        <f>ROUND(INDEX('Curva Mestra'!$F$20:$F$94,MATCH(D209,'Curva Mestra'!$A$20:$A$94,0)),0)</f>
        <v/>
      </c>
      <c r="F209" s="241">
        <f>ROUND(INDEX('Curva Mestra'!$C$20:$C$94,MATCH(D209,'Curva Mestra'!$A$20:$A$94,0))*INDEX($B$5:$B$8,MATCH(C209,$A$5:$A$8,0)),0)</f>
        <v/>
      </c>
      <c r="G209" s="241">
        <f>ROUND(INDEX('Curva Mestra'!$D$20:$D$94,MATCH(D209,'Curva Mestra'!$A$20:$A$94,0))+INDEX($C$5:$C$8,MATCH(C209,$A$5:$A$8,0)),0)</f>
        <v/>
      </c>
      <c r="H209" s="241" t="inlineStr">
        <is>
          <t>Observa a fenda das bordas, sem se aproximar.</t>
        </is>
      </c>
      <c r="I209" s="241" t="inlineStr">
        <is>
          <t>(não ataca)</t>
        </is>
      </c>
      <c r="J209" s="241" t="inlineStr">
        <is>
          <t>Não-hostil: se poupado, revela a localização de um Local Secreto.</t>
        </is>
      </c>
      <c r="K209" s="241" t="inlineStr">
        <is>
          <t>Veio ver a fenda de perto antes de decidir se junta ao culto ou foge.</t>
        </is>
      </c>
      <c r="L209" s="241">
        <f>IF(C209="Comum",ROUND(E209*1.3,0),"—")</f>
        <v/>
      </c>
      <c r="M209" s="241">
        <f>IF(C209="Comum",ROUND(F209*1.15,0),"—")</f>
        <v/>
      </c>
      <c r="N209" s="241">
        <f>IF(C209="Comum",G209+2,"—")</f>
        <v/>
      </c>
      <c r="O209" s="241">
        <f>IF(C209="Comum",ROUND(E209*1.6,0),"—")</f>
        <v/>
      </c>
      <c r="P209" s="241">
        <f>IF(C209="Comum",ROUND(F209*1.3,0),"—")</f>
        <v/>
      </c>
      <c r="Q209" s="241">
        <f>IF(C209="Comum",G209+4,"—")</f>
        <v/>
      </c>
      <c r="R209" s="243" t="n"/>
      <c r="S209" s="241">
        <f>ROUND(3+0.6*D209+IF(C209="Comum",0,IF(C209="Elite",2,IF(C209="Boss",4,6))),0)</f>
        <v/>
      </c>
      <c r="T209" s="241" t="inlineStr">
        <is>
          <t>Ouro + Caderno do Peregrino da Fenda</t>
        </is>
      </c>
      <c r="U209" s="241" t="inlineStr">
        <is>
          <t>Sem fraqueza óbvia — precisa de Knowledge alto pra descobrir algo específico.</t>
        </is>
      </c>
      <c r="V209" s="161" t="inlineStr">
        <is>
          <t>Não-hostil</t>
        </is>
      </c>
      <c r="W209" s="161" t="inlineStr">
        <is>
          <t>Fenda Vulcânica Ativa — Bordas</t>
        </is>
      </c>
      <c r="X209" s="242" t="n"/>
      <c r="Y209" s="161" t="inlineStr">
        <is>
          <t>Revela um Local Secreto se poupado.</t>
        </is>
      </c>
      <c r="Z209" s="242" t="n"/>
      <c r="AA209" s="242" t="n"/>
    </row>
    <row r="210" ht="15" customHeight="1" s="116">
      <c r="A210" s="241" t="inlineStr">
        <is>
          <t>Vidro Vulcanico</t>
        </is>
      </c>
      <c r="B210" s="241" t="inlineStr">
        <is>
          <t>Urubu das Cinzas Jovem</t>
        </is>
      </c>
      <c r="C210" s="241" t="inlineStr">
        <is>
          <t>Comum</t>
        </is>
      </c>
      <c r="D210" s="241" t="n">
        <v>28</v>
      </c>
      <c r="E210" s="241">
        <f>ROUND(INDEX('Curva Mestra'!$F$20:$F$94,MATCH(D210,'Curva Mestra'!$A$20:$A$94,0)),0)</f>
        <v/>
      </c>
      <c r="F210" s="241">
        <f>ROUND(INDEX('Curva Mestra'!$C$20:$C$94,MATCH(D210,'Curva Mestra'!$A$20:$A$94,0))*INDEX($B$5:$B$8,MATCH(C210,$A$5:$A$8,0)),0)</f>
        <v/>
      </c>
      <c r="G210" s="241">
        <f>ROUND(INDEX('Curva Mestra'!$D$20:$D$94,MATCH(D210,'Curva Mestra'!$A$20:$A$94,0))+INDEX($C$5:$C$8,MATCH(C210,$A$5:$A$8,0)),0)</f>
        <v/>
      </c>
      <c r="H210" s="241" t="inlineStr">
        <is>
          <t>Urubu jovem, ainda aprendendo a esperar.</t>
        </is>
      </c>
      <c r="I210" s="241" t="inlineStr">
        <is>
          <t>Bicada Fraca</t>
        </is>
      </c>
      <c r="J210" s="241" t="inlineStr">
        <is>
          <t>Cura 3 HP se houver cadáver no local.</t>
        </is>
      </c>
      <c r="K210" s="241" t="inlineStr">
        <is>
          <t>Filhote do Urubu das Cinzas.</t>
        </is>
      </c>
      <c r="L210" s="241">
        <f>IF(C210="Comum",ROUND(E210*1.3,0),"—")</f>
        <v/>
      </c>
      <c r="M210" s="241">
        <f>IF(C210="Comum",ROUND(F210*1.15,0),"—")</f>
        <v/>
      </c>
      <c r="N210" s="241">
        <f>IF(C210="Comum",G210+2,"—")</f>
        <v/>
      </c>
      <c r="O210" s="241">
        <f>IF(C210="Comum",ROUND(E210*1.6,0),"—")</f>
        <v/>
      </c>
      <c r="P210" s="241">
        <f>IF(C210="Comum",ROUND(F210*1.3,0),"—")</f>
        <v/>
      </c>
      <c r="Q210" s="241">
        <f>IF(C210="Comum",G210+4,"—")</f>
        <v/>
      </c>
      <c r="R210" s="243" t="n"/>
      <c r="S210" s="241">
        <f>ROUND(3+0.6*D210+IF(C210="Comum",0,IF(C210="Elite",2,IF(C210="Boss",4,6))),0)</f>
        <v/>
      </c>
      <c r="T210" s="241" t="inlineStr">
        <is>
          <t>Ouro + Pena de Urubu das Cinzas Jovem</t>
        </is>
      </c>
      <c r="U210" s="241" t="inlineStr">
        <is>
          <t>Ignora Resistência Mágica</t>
        </is>
      </c>
      <c r="V210" s="161" t="inlineStr">
        <is>
          <t>Necrófago</t>
        </is>
      </c>
      <c r="W210" s="161" t="inlineStr">
        <is>
          <t>Fenda Vulcânica Ativa, após combate vencido</t>
        </is>
      </c>
      <c r="X210" s="242" t="n"/>
      <c r="Y210" s="242" t="n"/>
      <c r="Z210" s="242" t="n"/>
      <c r="AA210" s="242" t="n"/>
    </row>
    <row r="211" ht="15" customHeight="1" s="116">
      <c r="A211" s="241" t="inlineStr">
        <is>
          <t>Vidro Vulcanico</t>
        </is>
      </c>
      <c r="B211" s="241" t="inlineStr">
        <is>
          <t>Salamandra Recém-Nascida</t>
        </is>
      </c>
      <c r="C211" s="241" t="inlineStr">
        <is>
          <t>Comum</t>
        </is>
      </c>
      <c r="D211" s="241" t="n">
        <v>29</v>
      </c>
      <c r="E211" s="241">
        <f>ROUND(INDEX('Curva Mestra'!$F$20:$F$94,MATCH(D211,'Curva Mestra'!$A$20:$A$94,0)),0)</f>
        <v/>
      </c>
      <c r="F211" s="241">
        <f>ROUND(INDEX('Curva Mestra'!$C$20:$C$94,MATCH(D211,'Curva Mestra'!$A$20:$A$94,0))*INDEX($B$5:$B$8,MATCH(C211,$A$5:$A$8,0)),0)</f>
        <v/>
      </c>
      <c r="G211" s="241">
        <f>ROUND(INDEX('Curva Mestra'!$D$20:$D$94,MATCH(D211,'Curva Mestra'!$A$20:$A$94,0))+INDEX($C$5:$C$8,MATCH(C211,$A$5:$A$8,0)),0)</f>
        <v/>
      </c>
      <c r="H211" s="241" t="inlineStr">
        <is>
          <t>Salamandra recém-eclodida.</t>
        </is>
      </c>
      <c r="I211" s="241" t="inlineStr">
        <is>
          <t>Mordida Morna</t>
        </is>
      </c>
      <c r="J211" s="241" t="inlineStr">
        <is>
          <t>Nenhum efeito adicional — mais fraca que a Jovem.</t>
        </is>
      </c>
      <c r="K211" s="241" t="inlineStr">
        <is>
          <t>Acabou de nascer nas bordas mais frias da fenda.</t>
        </is>
      </c>
      <c r="L211" s="241">
        <f>IF(C211="Comum",ROUND(E211*1.3,0),"—")</f>
        <v/>
      </c>
      <c r="M211" s="241">
        <f>IF(C211="Comum",ROUND(F211*1.15,0),"—")</f>
        <v/>
      </c>
      <c r="N211" s="241">
        <f>IF(C211="Comum",G211+2,"—")</f>
        <v/>
      </c>
      <c r="O211" s="241">
        <f>IF(C211="Comum",ROUND(E211*1.6,0),"—")</f>
        <v/>
      </c>
      <c r="P211" s="241">
        <f>IF(C211="Comum",ROUND(F211*1.3,0),"—")</f>
        <v/>
      </c>
      <c r="Q211" s="241">
        <f>IF(C211="Comum",G211+4,"—")</f>
        <v/>
      </c>
      <c r="R211" s="243" t="n"/>
      <c r="S211" s="241">
        <f>ROUND(3+0.6*D211+IF(C211="Comum",0,IF(C211="Elite",2,IF(C211="Boss",4,6))),0)</f>
        <v/>
      </c>
      <c r="T211" s="241" t="inlineStr">
        <is>
          <t>Ouro + Escama Fina de Salamandra Recém-Nascida</t>
        </is>
      </c>
      <c r="U211" s="241" t="inlineStr">
        <is>
          <t>Ignora Resistência Mágica</t>
        </is>
      </c>
      <c r="V211" s="161" t="inlineStr">
        <is>
          <t>DPS fraco</t>
        </is>
      </c>
      <c r="W211" s="161" t="inlineStr">
        <is>
          <t>Fenda Vulcânica Ativa — Bordas</t>
        </is>
      </c>
      <c r="X211" s="242" t="n"/>
      <c r="Y211" s="242" t="n"/>
      <c r="Z211" s="242" t="n"/>
      <c r="AA211" s="242" t="n"/>
    </row>
    <row r="212" ht="15" customHeight="1" s="116">
      <c r="A212" s="241" t="inlineStr">
        <is>
          <t>Vidro Vulcanico</t>
        </is>
      </c>
      <c r="B212" s="241" t="inlineStr">
        <is>
          <t>Zelote Recém-Convertido Jovem</t>
        </is>
      </c>
      <c r="C212" s="241" t="inlineStr">
        <is>
          <t>Comum</t>
        </is>
      </c>
      <c r="D212" s="241" t="n">
        <v>29</v>
      </c>
      <c r="E212" s="241">
        <f>ROUND(INDEX('Curva Mestra'!$F$20:$F$94,MATCH(D212,'Curva Mestra'!$A$20:$A$94,0)),0)</f>
        <v/>
      </c>
      <c r="F212" s="241">
        <f>ROUND(INDEX('Curva Mestra'!$C$20:$C$94,MATCH(D212,'Curva Mestra'!$A$20:$A$94,0))*INDEX($B$5:$B$8,MATCH(C212,$A$5:$A$8,0)),0)</f>
        <v/>
      </c>
      <c r="G212" s="241">
        <f>ROUND(INDEX('Curva Mestra'!$D$20:$D$94,MATCH(D212,'Curva Mestra'!$A$20:$A$94,0))+INDEX($C$5:$C$8,MATCH(C212,$A$5:$A$8,0)),0)</f>
        <v/>
      </c>
      <c r="H212" s="241" t="inlineStr">
        <is>
          <t>O membro mais novo do culto da Coroação Vazia.</t>
        </is>
      </c>
      <c r="I212" s="241" t="inlineStr">
        <is>
          <t>Golpe da Fé Recente</t>
        </is>
      </c>
      <c r="J212" s="241" t="inlineStr">
        <is>
          <t>Nenhum — 20% de chance de hesitar se abordado sem hostilidade.</t>
        </is>
      </c>
      <c r="K212" s="241" t="inlineStr">
        <is>
          <t>Ainda mais recente no culto que o Zelote Recém-Convertido original.</t>
        </is>
      </c>
      <c r="L212" s="241">
        <f>IF(C212="Comum",ROUND(E212*1.3,0),"—")</f>
        <v/>
      </c>
      <c r="M212" s="241">
        <f>IF(C212="Comum",ROUND(F212*1.15,0),"—")</f>
        <v/>
      </c>
      <c r="N212" s="241">
        <f>IF(C212="Comum",G212+2,"—")</f>
        <v/>
      </c>
      <c r="O212" s="241">
        <f>IF(C212="Comum",ROUND(E212*1.6,0),"—")</f>
        <v/>
      </c>
      <c r="P212" s="241">
        <f>IF(C212="Comum",ROUND(F212*1.3,0),"—")</f>
        <v/>
      </c>
      <c r="Q212" s="241">
        <f>IF(C212="Comum",G212+4,"—")</f>
        <v/>
      </c>
      <c r="R212" s="243" t="n"/>
      <c r="S212" s="241">
        <f>ROUND(3+0.6*D212+IF(C212="Comum",0,IF(C212="Elite",2,IF(C212="Boss",4,6))),0)</f>
        <v/>
      </c>
      <c r="T212" s="241" t="inlineStr">
        <is>
          <t>Ouro + Manto Novo de Zelote Jovem</t>
        </is>
      </c>
      <c r="U212" s="241" t="inlineStr">
        <is>
          <t>Atordoamento</t>
        </is>
      </c>
      <c r="V212" s="161" t="inlineStr">
        <is>
          <t>Não-hostil condicional</t>
        </is>
      </c>
      <c r="W212" s="161" t="inlineStr">
        <is>
          <t>Fenda Vulcânica Ativa — Templo da Coroação</t>
        </is>
      </c>
      <c r="X212" s="242" t="n"/>
      <c r="Y212" s="161" t="inlineStr">
        <is>
          <t>Se abordado em paz, pode desertar (quest).</t>
        </is>
      </c>
      <c r="Z212" s="242" t="n"/>
      <c r="AA212" s="242" t="n"/>
    </row>
    <row r="213" ht="15" customHeight="1" s="116">
      <c r="A213" s="241" t="inlineStr">
        <is>
          <t>Vidro Vulcanico</t>
        </is>
      </c>
      <c r="B213" s="241" t="inlineStr">
        <is>
          <t>Salamandra Jovem</t>
        </is>
      </c>
      <c r="C213" s="241" t="inlineStr">
        <is>
          <t>Comum</t>
        </is>
      </c>
      <c r="D213" s="241" t="n">
        <v>30</v>
      </c>
      <c r="E213" s="241">
        <f>ROUND(INDEX('Curva Mestra'!$F$20:$F$94,MATCH(D213,'Curva Mestra'!$A$20:$A$94,0)),0)</f>
        <v/>
      </c>
      <c r="F213" s="241">
        <f>ROUND(INDEX('Curva Mestra'!$C$20:$C$94,MATCH(D213,'Curva Mestra'!$A$20:$A$94,0))*INDEX($B$5:$B$8,MATCH(C213,$A$5:$A$8,0)),0)</f>
        <v/>
      </c>
      <c r="G213" s="241">
        <f>ROUND(INDEX('Curva Mestra'!$D$20:$D$94,MATCH(D213,'Curva Mestra'!$A$20:$A$94,0))+INDEX($C$5:$C$8,MATCH(C213,$A$5:$A$8,0)),0)</f>
        <v/>
      </c>
      <c r="H213" s="241" t="inlineStr">
        <is>
          <t>Nasce nas bordas da Fenda Vulcânica Ativa.</t>
        </is>
      </c>
      <c r="I213" s="241" t="inlineStr">
        <is>
          <t>Mordida Quente</t>
        </is>
      </c>
      <c r="J213" s="241" t="inlineStr">
        <is>
          <t>Nenhum efeito adicional — mais fraca que a Salamandra de Vidro.</t>
        </is>
      </c>
      <c r="K213" s="241" t="inlineStr">
        <is>
          <t>Recém-nascida na lava fria das bordas da fenda.</t>
        </is>
      </c>
      <c r="L213" s="241">
        <f>IF(C213="Comum",ROUND(E213*1.3,0),"—")</f>
        <v/>
      </c>
      <c r="M213" s="241">
        <f>IF(C213="Comum",ROUND(F213*1.15,0),"—")</f>
        <v/>
      </c>
      <c r="N213" s="241">
        <f>IF(C213="Comum",G213+2,"—")</f>
        <v/>
      </c>
      <c r="O213" s="241">
        <f>IF(C213="Comum",ROUND(E213*1.6,0),"—")</f>
        <v/>
      </c>
      <c r="P213" s="241">
        <f>IF(C213="Comum",ROUND(F213*1.3,0),"—")</f>
        <v/>
      </c>
      <c r="Q213" s="241">
        <f>IF(C213="Comum",G213+4,"—")</f>
        <v/>
      </c>
      <c r="R213" s="243" t="n"/>
      <c r="S213" s="241">
        <f>ROUND(3+0.6*D213+IF(C213="Comum",0,IF(C213="Elite",2,IF(C213="Boss",4,6))),0)</f>
        <v/>
      </c>
      <c r="T213" s="241" t="inlineStr">
        <is>
          <t>Ouro + Escama de Salamandra Jovem</t>
        </is>
      </c>
      <c r="U213" s="241" t="inlineStr">
        <is>
          <t>Ignora Resistência Mágica</t>
        </is>
      </c>
      <c r="V213" s="161" t="inlineStr">
        <is>
          <t>DPS fraco</t>
        </is>
      </c>
      <c r="W213" s="161" t="inlineStr">
        <is>
          <t>Fenda Vulcânica Ativa — Bordas</t>
        </is>
      </c>
      <c r="X213" s="242" t="n"/>
      <c r="Y213" s="242" t="n"/>
      <c r="Z213" s="242" t="n"/>
      <c r="AA213" s="242" t="n"/>
    </row>
    <row r="214" ht="15" customHeight="1" s="116">
      <c r="A214" s="241" t="inlineStr">
        <is>
          <t>Vidro Vulcanico</t>
        </is>
      </c>
      <c r="B214" s="241" t="inlineStr">
        <is>
          <t>Urubu das Cinzas</t>
        </is>
      </c>
      <c r="C214" s="241" t="inlineStr">
        <is>
          <t>Comum</t>
        </is>
      </c>
      <c r="D214" s="241" t="n">
        <v>30</v>
      </c>
      <c r="E214" s="241">
        <f>ROUND(INDEX('Curva Mestra'!$F$20:$F$94,MATCH(D214,'Curva Mestra'!$A$20:$A$94,0)),0)</f>
        <v/>
      </c>
      <c r="F214" s="241">
        <f>ROUND(INDEX('Curva Mestra'!$C$20:$C$94,MATCH(D214,'Curva Mestra'!$A$20:$A$94,0))*INDEX($B$5:$B$8,MATCH(C214,$A$5:$A$8,0)),0)</f>
        <v/>
      </c>
      <c r="G214" s="241">
        <f>ROUND(INDEX('Curva Mestra'!$D$20:$D$94,MATCH(D214,'Curva Mestra'!$A$20:$A$94,0))+INDEX($C$5:$C$8,MATCH(C214,$A$5:$A$8,0)),0)</f>
        <v/>
      </c>
      <c r="H214" s="241" t="inlineStr">
        <is>
          <t>Sobrevoa qualquer área da fenda após um combate.</t>
        </is>
      </c>
      <c r="I214" s="241" t="inlineStr">
        <is>
          <t>Bicada Quente</t>
        </is>
      </c>
      <c r="J214" s="241" t="inlineStr">
        <is>
          <t>Cura 5 HP se houver cadáver no local.</t>
        </is>
      </c>
      <c r="K214" s="241" t="inlineStr">
        <is>
          <t>Come o que a lava não consome — sempre sobra alguma coisa.</t>
        </is>
      </c>
      <c r="L214" s="241">
        <f>IF(C214="Comum",ROUND(E214*1.3,0),"—")</f>
        <v/>
      </c>
      <c r="M214" s="241">
        <f>IF(C214="Comum",ROUND(F214*1.15,0),"—")</f>
        <v/>
      </c>
      <c r="N214" s="241">
        <f>IF(C214="Comum",G214+2,"—")</f>
        <v/>
      </c>
      <c r="O214" s="241">
        <f>IF(C214="Comum",ROUND(E214*1.6,0),"—")</f>
        <v/>
      </c>
      <c r="P214" s="241">
        <f>IF(C214="Comum",ROUND(F214*1.3,0),"—")</f>
        <v/>
      </c>
      <c r="Q214" s="241">
        <f>IF(C214="Comum",G214+4,"—")</f>
        <v/>
      </c>
      <c r="R214" s="243" t="n"/>
      <c r="S214" s="241">
        <f>ROUND(3+0.6*D214+IF(C214="Comum",0,IF(C214="Elite",2,IF(C214="Boss",4,6))),0)</f>
        <v/>
      </c>
      <c r="T214" s="241" t="inlineStr">
        <is>
          <t>Ouro + Pena Cinzenta de Urubu</t>
        </is>
      </c>
      <c r="U214" s="241" t="inlineStr">
        <is>
          <t>Ignora Resistência Mágica</t>
        </is>
      </c>
      <c r="V214" s="161" t="inlineStr">
        <is>
          <t>Necrófago</t>
        </is>
      </c>
      <c r="W214" s="161" t="inlineStr">
        <is>
          <t>Fenda Vulcânica Ativa, qualquer área após combate vencido</t>
        </is>
      </c>
      <c r="X214" s="242" t="n"/>
      <c r="Y214" s="242" t="n"/>
      <c r="Z214" s="242" t="n"/>
      <c r="AA214" s="242" t="n"/>
    </row>
    <row r="215" ht="15" customHeight="1" s="116">
      <c r="A215" s="241" t="inlineStr">
        <is>
          <t>Vidro Vulcanico</t>
        </is>
      </c>
      <c r="B215" s="241" t="inlineStr">
        <is>
          <t>Elemental Menor de Cinzas</t>
        </is>
      </c>
      <c r="C215" s="241" t="inlineStr">
        <is>
          <t>Comum</t>
        </is>
      </c>
      <c r="D215" s="241" t="n">
        <v>30</v>
      </c>
      <c r="E215" s="241">
        <f>ROUND(INDEX('Curva Mestra'!$F$20:$F$94,MATCH(D215,'Curva Mestra'!$A$20:$A$94,0)),0)</f>
        <v/>
      </c>
      <c r="F215" s="241">
        <f>ROUND(INDEX('Curva Mestra'!$C$20:$C$94,MATCH(D215,'Curva Mestra'!$A$20:$A$94,0))*INDEX($B$5:$B$8,MATCH(C215,$A$5:$A$8,0)),0)</f>
        <v/>
      </c>
      <c r="G215" s="241">
        <f>ROUND(INDEX('Curva Mestra'!$D$20:$D$94,MATCH(D215,'Curva Mestra'!$A$20:$A$94,0))+INDEX($C$5:$C$8,MATCH(C215,$A$5:$A$8,0)),0)</f>
        <v/>
      </c>
      <c r="H215" s="241" t="inlineStr">
        <is>
          <t>Formado de forma instável na câmara de magma.</t>
        </is>
      </c>
      <c r="I215" s="241" t="inlineStr">
        <is>
          <t>Sopro Fraco</t>
        </is>
      </c>
      <c r="J215" s="241" t="inlineStr">
        <is>
          <t>Nenhum efeito adicional.</t>
        </is>
      </c>
      <c r="K215" s="241" t="inlineStr">
        <is>
          <t>Fragmento instável, nem sempre se forma direito.</t>
        </is>
      </c>
      <c r="L215" s="241">
        <f>IF(C215="Comum",ROUND(E215*1.3,0),"—")</f>
        <v/>
      </c>
      <c r="M215" s="241">
        <f>IF(C215="Comum",ROUND(F215*1.15,0),"—")</f>
        <v/>
      </c>
      <c r="N215" s="241">
        <f>IF(C215="Comum",G215+2,"—")</f>
        <v/>
      </c>
      <c r="O215" s="241">
        <f>IF(C215="Comum",ROUND(E215*1.6,0),"—")</f>
        <v/>
      </c>
      <c r="P215" s="241">
        <f>IF(C215="Comum",ROUND(F215*1.3,0),"—")</f>
        <v/>
      </c>
      <c r="Q215" s="241">
        <f>IF(C215="Comum",G215+4,"—")</f>
        <v/>
      </c>
      <c r="R215" s="243" t="n"/>
      <c r="S215" s="241">
        <f>ROUND(3+0.6*D215+IF(C215="Comum",0,IF(C215="Elite",2,IF(C215="Boss",4,6))),0)</f>
        <v/>
      </c>
      <c r="T215" s="241" t="inlineStr">
        <is>
          <t>Ouro + Punhado de Cinzas Instáveis</t>
        </is>
      </c>
      <c r="U215" s="241" t="inlineStr">
        <is>
          <t>Ignora Resistência Mágica</t>
        </is>
      </c>
      <c r="V215" s="161" t="inlineStr">
        <is>
          <t>DPS</t>
        </is>
      </c>
      <c r="W215" s="161" t="inlineStr">
        <is>
          <t>Fenda Vulcânica Ativa — Câmara de Magma</t>
        </is>
      </c>
      <c r="X215" s="242" t="n"/>
      <c r="Y215" s="242" t="n"/>
      <c r="Z215" s="242" t="n"/>
      <c r="AA215" s="242" t="n"/>
    </row>
    <row r="216" ht="15" customHeight="1" s="116">
      <c r="A216" s="241" t="inlineStr">
        <is>
          <t>Vidro Vulcanico</t>
        </is>
      </c>
      <c r="B216" s="241" t="inlineStr">
        <is>
          <t>Lagartixa de Obsidiana Jovem</t>
        </is>
      </c>
      <c r="C216" s="241" t="inlineStr">
        <is>
          <t>Comum</t>
        </is>
      </c>
      <c r="D216" s="241" t="n">
        <v>30</v>
      </c>
      <c r="E216" s="241">
        <f>ROUND(INDEX('Curva Mestra'!$F$20:$F$94,MATCH(D216,'Curva Mestra'!$A$20:$A$94,0)),0)</f>
        <v/>
      </c>
      <c r="F216" s="241">
        <f>ROUND(INDEX('Curva Mestra'!$C$20:$C$94,MATCH(D216,'Curva Mestra'!$A$20:$A$94,0))*INDEX($B$5:$B$8,MATCH(C216,$A$5:$A$8,0)),0)</f>
        <v/>
      </c>
      <c r="G216" s="241">
        <f>ROUND(INDEX('Curva Mestra'!$D$20:$D$94,MATCH(D216,'Curva Mestra'!$A$20:$A$94,0))+INDEX($C$5:$C$8,MATCH(C216,$A$5:$A$8,0)),0)</f>
        <v/>
      </c>
      <c r="H216" s="241" t="inlineStr">
        <is>
          <t>Lagartixa jovem das bordas vulcânicas.</t>
        </is>
      </c>
      <c r="I216" s="241" t="inlineStr">
        <is>
          <t>Investida Fraca</t>
        </is>
      </c>
      <c r="J216" s="241" t="inlineStr">
        <is>
          <t>Nenhum efeito adicional.</t>
        </is>
      </c>
      <c r="K216" s="241" t="inlineStr">
        <is>
          <t>Filhote da Lagartixa de Obsidiana, ainda aprendendo a correr sobre o vidro.</t>
        </is>
      </c>
      <c r="L216" s="241">
        <f>IF(C216="Comum",ROUND(E216*1.3,0),"—")</f>
        <v/>
      </c>
      <c r="M216" s="241">
        <f>IF(C216="Comum",ROUND(F216*1.15,0),"—")</f>
        <v/>
      </c>
      <c r="N216" s="241">
        <f>IF(C216="Comum",G216+2,"—")</f>
        <v/>
      </c>
      <c r="O216" s="241">
        <f>IF(C216="Comum",ROUND(E216*1.6,0),"—")</f>
        <v/>
      </c>
      <c r="P216" s="241">
        <f>IF(C216="Comum",ROUND(F216*1.3,0),"—")</f>
        <v/>
      </c>
      <c r="Q216" s="241">
        <f>IF(C216="Comum",G216+4,"—")</f>
        <v/>
      </c>
      <c r="R216" s="243" t="n"/>
      <c r="S216" s="241">
        <f>ROUND(3+0.6*D216+IF(C216="Comum",0,IF(C216="Elite",2,IF(C216="Boss",4,6))),0)</f>
        <v/>
      </c>
      <c r="T216" s="241" t="inlineStr">
        <is>
          <t>Ouro + Cauda de Lagartixa Jovem</t>
        </is>
      </c>
      <c r="U216" s="241" t="inlineStr">
        <is>
          <t>Fragilidade</t>
        </is>
      </c>
      <c r="V216" s="161" t="inlineStr">
        <is>
          <t>Batedor</t>
        </is>
      </c>
      <c r="W216" s="161" t="inlineStr">
        <is>
          <t>Fenda Vulcânica Ativa — Bordas</t>
        </is>
      </c>
      <c r="X216" s="242" t="n"/>
      <c r="Y216" s="242" t="n"/>
      <c r="Z216" s="242" t="n"/>
      <c r="AA216" s="242" t="n"/>
    </row>
    <row r="217" ht="15" customHeight="1" s="116">
      <c r="A217" s="241" t="inlineStr">
        <is>
          <t>Vidro Vulcanico</t>
        </is>
      </c>
      <c r="B217" s="241" t="inlineStr">
        <is>
          <t>Larva de Magma Solitária</t>
        </is>
      </c>
      <c r="C217" s="241" t="inlineStr">
        <is>
          <t>Comum</t>
        </is>
      </c>
      <c r="D217" s="241" t="n">
        <v>30</v>
      </c>
      <c r="E217" s="241">
        <f>ROUND(INDEX('Curva Mestra'!$F$20:$F$94,MATCH(D217,'Curva Mestra'!$A$20:$A$94,0)),0)</f>
        <v/>
      </c>
      <c r="F217" s="241">
        <f>ROUND(INDEX('Curva Mestra'!$C$20:$C$94,MATCH(D217,'Curva Mestra'!$A$20:$A$94,0))*INDEX($B$5:$B$8,MATCH(C217,$A$5:$A$8,0)),0)</f>
        <v/>
      </c>
      <c r="G217" s="241">
        <f>ROUND(INDEX('Curva Mestra'!$D$20:$D$94,MATCH(D217,'Curva Mestra'!$A$20:$A$94,0))+INDEX($C$5:$C$8,MATCH(C217,$A$5:$A$8,0)),0)</f>
        <v/>
      </c>
      <c r="H217" s="241" t="inlineStr">
        <is>
          <t>Larva separada do grupo principal.</t>
        </is>
      </c>
      <c r="I217" s="241" t="inlineStr">
        <is>
          <t>Mordida Ardente Fraca</t>
        </is>
      </c>
      <c r="J217" s="241" t="inlineStr">
        <is>
          <t>Nenhum efeito adicional — sozinha, não em grupo.</t>
        </is>
      </c>
      <c r="K217" s="241" t="inlineStr">
        <is>
          <t>Separada do resto da ninhada de larvas.</t>
        </is>
      </c>
      <c r="L217" s="241">
        <f>IF(C217="Comum",ROUND(E217*1.3,0),"—")</f>
        <v/>
      </c>
      <c r="M217" s="241">
        <f>IF(C217="Comum",ROUND(F217*1.15,0),"—")</f>
        <v/>
      </c>
      <c r="N217" s="241">
        <f>IF(C217="Comum",G217+2,"—")</f>
        <v/>
      </c>
      <c r="O217" s="241">
        <f>IF(C217="Comum",ROUND(E217*1.6,0),"—")</f>
        <v/>
      </c>
      <c r="P217" s="241">
        <f>IF(C217="Comum",ROUND(F217*1.3,0),"—")</f>
        <v/>
      </c>
      <c r="Q217" s="241">
        <f>IF(C217="Comum",G217+4,"—")</f>
        <v/>
      </c>
      <c r="R217" s="243" t="n"/>
      <c r="S217" s="241">
        <f>ROUND(3+0.6*D217+IF(C217="Comum",0,IF(C217="Elite",2,IF(C217="Boss",4,6))),0)</f>
        <v/>
      </c>
      <c r="T217" s="241" t="inlineStr">
        <is>
          <t>Ouro + Casulo de Larva de Magma</t>
        </is>
      </c>
      <c r="U217" s="241" t="inlineStr">
        <is>
          <t>Ignora Resistência Mágica</t>
        </is>
      </c>
      <c r="V217" s="161" t="inlineStr">
        <is>
          <t>DPS fraco</t>
        </is>
      </c>
      <c r="W217" s="161" t="inlineStr">
        <is>
          <t>Fenda Vulcânica Ativa — Bordas</t>
        </is>
      </c>
      <c r="X217" s="242" t="n"/>
      <c r="Y217" s="242" t="n"/>
      <c r="Z217" s="242" t="n"/>
      <c r="AA217" s="242" t="n"/>
    </row>
    <row r="218" ht="15" customHeight="1" s="116">
      <c r="A218" s="241" t="inlineStr">
        <is>
          <t>Vidro Vulcanico</t>
        </is>
      </c>
      <c r="B218" s="241" t="inlineStr">
        <is>
          <t>Elemental Menor de Brasa</t>
        </is>
      </c>
      <c r="C218" s="241" t="inlineStr">
        <is>
          <t>Comum</t>
        </is>
      </c>
      <c r="D218" s="241" t="n">
        <v>30</v>
      </c>
      <c r="E218" s="241">
        <f>ROUND(INDEX('Curva Mestra'!$F$20:$F$94,MATCH(D218,'Curva Mestra'!$A$20:$A$94,0)),0)</f>
        <v/>
      </c>
      <c r="F218" s="241">
        <f>ROUND(INDEX('Curva Mestra'!$C$20:$C$94,MATCH(D218,'Curva Mestra'!$A$20:$A$94,0))*INDEX($B$5:$B$8,MATCH(C218,$A$5:$A$8,0)),0)</f>
        <v/>
      </c>
      <c r="G218" s="241">
        <f>ROUND(INDEX('Curva Mestra'!$D$20:$D$94,MATCH(D218,'Curva Mestra'!$A$20:$A$94,0))+INDEX($C$5:$C$8,MATCH(C218,$A$5:$A$8,0)),0)</f>
        <v/>
      </c>
      <c r="H218" s="241" t="inlineStr">
        <is>
          <t>Fragmento instável, quase não se sustenta.</t>
        </is>
      </c>
      <c r="I218" s="241" t="inlineStr">
        <is>
          <t>Toque em Brasa Fraco</t>
        </is>
      </c>
      <c r="J218" s="241" t="inlineStr">
        <is>
          <t>Queimadura muito fraca.</t>
        </is>
      </c>
      <c r="K218" s="241" t="inlineStr">
        <is>
          <t>Fragmento ainda menor do Elemental de Brasa.</t>
        </is>
      </c>
      <c r="L218" s="241">
        <f>IF(C218="Comum",ROUND(E218*1.3,0),"—")</f>
        <v/>
      </c>
      <c r="M218" s="241">
        <f>IF(C218="Comum",ROUND(F218*1.15,0),"—")</f>
        <v/>
      </c>
      <c r="N218" s="241">
        <f>IF(C218="Comum",G218+2,"—")</f>
        <v/>
      </c>
      <c r="O218" s="241">
        <f>IF(C218="Comum",ROUND(E218*1.6,0),"—")</f>
        <v/>
      </c>
      <c r="P218" s="241">
        <f>IF(C218="Comum",ROUND(F218*1.3,0),"—")</f>
        <v/>
      </c>
      <c r="Q218" s="241">
        <f>IF(C218="Comum",G218+4,"—")</f>
        <v/>
      </c>
      <c r="R218" s="243" t="n"/>
      <c r="S218" s="241">
        <f>ROUND(3+0.6*D218+IF(C218="Comum",0,IF(C218="Elite",2,IF(C218="Boss",4,6))),0)</f>
        <v/>
      </c>
      <c r="T218" s="241" t="inlineStr">
        <is>
          <t>Ouro + Brasa Instável Menor</t>
        </is>
      </c>
      <c r="U218" s="241" t="inlineStr">
        <is>
          <t>Ignora Resistência Mágica</t>
        </is>
      </c>
      <c r="V218" s="161" t="inlineStr">
        <is>
          <t>Explosivo</t>
        </is>
      </c>
      <c r="W218" s="161" t="inlineStr">
        <is>
          <t>Fenda Vulcânica Ativa — Câmara de Magma</t>
        </is>
      </c>
      <c r="X218" s="242" t="n"/>
      <c r="Y218" s="242" t="n"/>
      <c r="Z218" s="242" t="n"/>
      <c r="AA218" s="242" t="n"/>
    </row>
    <row r="219" ht="15" customHeight="1" s="116">
      <c r="A219" s="241" t="inlineStr">
        <is>
          <t>Vidro Vulcanico</t>
        </is>
      </c>
      <c r="B219" s="241" t="inlineStr">
        <is>
          <t>Salamandra de Vidro</t>
        </is>
      </c>
      <c r="C219" s="241" t="inlineStr">
        <is>
          <t>Comum</t>
        </is>
      </c>
      <c r="D219" s="241" t="n">
        <v>31</v>
      </c>
      <c r="E219" s="241">
        <f>ROUND(INDEX('Curva Mestra'!$F$20:$F$94,MATCH(D219,'Curva Mestra'!$A$20:$A$94,0)),0)</f>
        <v/>
      </c>
      <c r="F219" s="241">
        <f>ROUND(INDEX('Curva Mestra'!$C$20:$C$94,MATCH(D219,'Curva Mestra'!$A$20:$A$94,0))*INDEX($B$5:$B$8,MATCH(C219,$A$5:$A$8,0)),0)</f>
        <v/>
      </c>
      <c r="G219" s="241">
        <f>ROUND(INDEX('Curva Mestra'!$D$20:$D$94,MATCH(D219,'Curva Mestra'!$A$20:$A$94,0))+INDEX($C$5:$C$8,MATCH(C219,$A$5:$A$8,0)),0)</f>
        <v/>
      </c>
      <c r="H219" s="241" t="inlineStr">
        <is>
          <t>Ronda a regiao do tier Vidro Vulcanico</t>
        </is>
      </c>
      <c r="I219" s="241" t="inlineStr">
        <is>
          <t>Mordida Incandescente</t>
        </is>
      </c>
      <c r="J219" s="241" t="inlineStr">
        <is>
          <t>Sem efeito mecânico além do dano — ataque direto.</t>
        </is>
      </c>
      <c r="K219" s="241" t="inlineStr">
        <is>
          <t>Criatura nativa da fenda — atrapalha a operação da forja ao se alojar nos fornos, atraída pelo calor residual.</t>
        </is>
      </c>
      <c r="L219" s="241">
        <f>IF(C219="Comum",ROUND(E219*1.3,0),"—")</f>
        <v/>
      </c>
      <c r="M219" s="241">
        <f>IF(C219="Comum",ROUND(F219*1.15,0),"—")</f>
        <v/>
      </c>
      <c r="N219" s="241">
        <f>IF(C219="Comum",G219+2,"—")</f>
        <v/>
      </c>
      <c r="O219" s="241">
        <f>IF(C219="Comum",ROUND(E219*1.6,0),"—")</f>
        <v/>
      </c>
      <c r="P219" s="241">
        <f>IF(C219="Comum",ROUND(F219*1.3,0),"—")</f>
        <v/>
      </c>
      <c r="Q219" s="241">
        <f>IF(C219="Comum",G219+4,"—")</f>
        <v/>
      </c>
      <c r="R219" s="241" t="inlineStr">
        <is>
          <t>Salamandras na Forja</t>
        </is>
      </c>
      <c r="S219" s="241">
        <f>ROUND(INDEX('Curva Mestra'!$D$20:$D$94,MATCH(D219,'Curva Mestra'!$A$20:$A$94,0))-IF(C219="Comum",9,IF(C219="Elite",6,IF(C219="Boss",4,3))),0)</f>
        <v/>
      </c>
      <c r="T219" s="241" t="inlineStr">
        <is>
          <t>Ouro + Escama Vítrea de Salamandra + Escama de Fera Vítrea (chance rara)</t>
        </is>
      </c>
      <c r="U219" s="241" t="inlineStr">
        <is>
          <t>Vulnerável a impacto contundente (Maça/Machado) — racha com facilidade.</t>
        </is>
      </c>
      <c r="V219" s="242" t="inlineStr">
        <is>
          <t>DPS</t>
        </is>
      </c>
      <c r="W219" s="242" t="inlineStr">
        <is>
          <t>Fenda Vulcânica Ativa</t>
        </is>
      </c>
      <c r="X219" s="242" t="n"/>
      <c r="Y219" s="242" t="n"/>
      <c r="Z219" s="242" t="n"/>
      <c r="AA219" s="242" t="n"/>
    </row>
    <row r="220" ht="15" customHeight="1" s="116">
      <c r="A220" s="241" t="inlineStr">
        <is>
          <t>Vidro Vulcanico</t>
        </is>
      </c>
      <c r="B220" s="241" t="inlineStr">
        <is>
          <t>Lagartixa de Obsidiana</t>
        </is>
      </c>
      <c r="C220" s="241" t="inlineStr">
        <is>
          <t>Comum</t>
        </is>
      </c>
      <c r="D220" s="241" t="n">
        <v>31</v>
      </c>
      <c r="E220" s="241">
        <f>ROUND(INDEX('Curva Mestra'!$F$20:$F$94,MATCH(D220,'Curva Mestra'!$A$20:$A$94,0)),0)</f>
        <v/>
      </c>
      <c r="F220" s="241">
        <f>ROUND(INDEX('Curva Mestra'!$C$20:$C$94,MATCH(D220,'Curva Mestra'!$A$20:$A$94,0))*INDEX($B$5:$B$8,MATCH(C220,$A$5:$A$8,0)),0)</f>
        <v/>
      </c>
      <c r="G220" s="241">
        <f>ROUND(INDEX('Curva Mestra'!$D$20:$D$94,MATCH(D220,'Curva Mestra'!$A$20:$A$94,0))+INDEX($C$5:$C$8,MATCH(C220,$A$5:$A$8,0)),0)</f>
        <v/>
      </c>
      <c r="H220" s="241" t="inlineStr">
        <is>
          <t>Corre sobre o vidro vulcânico das bordas da fenda.</t>
        </is>
      </c>
      <c r="I220" s="241" t="inlineStr">
        <is>
          <t>Investida Rasteira</t>
        </is>
      </c>
      <c r="J220" s="241" t="inlineStr">
        <is>
          <t>Ignora Defesa (baixo, mas rápido).</t>
        </is>
      </c>
      <c r="K220" s="241" t="inlineStr">
        <is>
          <t>Corre sobre o vidro vulcânico como se fosse chão comum.</t>
        </is>
      </c>
      <c r="L220" s="241">
        <f>IF(C220="Comum",ROUND(E220*1.3,0),"—")</f>
        <v/>
      </c>
      <c r="M220" s="241">
        <f>IF(C220="Comum",ROUND(F220*1.15,0),"—")</f>
        <v/>
      </c>
      <c r="N220" s="241">
        <f>IF(C220="Comum",G220+2,"—")</f>
        <v/>
      </c>
      <c r="O220" s="241">
        <f>IF(C220="Comum",ROUND(E220*1.6,0),"—")</f>
        <v/>
      </c>
      <c r="P220" s="241">
        <f>IF(C220="Comum",ROUND(F220*1.3,0),"—")</f>
        <v/>
      </c>
      <c r="Q220" s="241">
        <f>IF(C220="Comum",G220+4,"—")</f>
        <v/>
      </c>
      <c r="R220" s="243" t="n"/>
      <c r="S220" s="241">
        <f>ROUND(3+0.6*D220+IF(C220="Comum",0,IF(C220="Elite",2,IF(C220="Boss",4,6))),0)</f>
        <v/>
      </c>
      <c r="T220" s="241" t="inlineStr">
        <is>
          <t>Ouro + Cauda de Lagartixa de Obsidiana</t>
        </is>
      </c>
      <c r="U220" s="241" t="inlineStr">
        <is>
          <t>Fragilidade</t>
        </is>
      </c>
      <c r="V220" s="161" t="inlineStr">
        <is>
          <t>Batedor</t>
        </is>
      </c>
      <c r="W220" s="161" t="inlineStr">
        <is>
          <t>Fenda Vulcânica Ativa — Bordas</t>
        </is>
      </c>
      <c r="X220" s="242" t="n"/>
      <c r="Y220" s="242" t="n"/>
      <c r="Z220" s="242" t="n"/>
      <c r="AA220" s="242" t="n"/>
    </row>
    <row r="221" ht="15" customHeight="1" s="116">
      <c r="A221" s="241" t="inlineStr">
        <is>
          <t>Vidro Vulcanico</t>
        </is>
      </c>
      <c r="B221" s="241" t="inlineStr">
        <is>
          <t>Elemental de Brasa</t>
        </is>
      </c>
      <c r="C221" s="241" t="inlineStr">
        <is>
          <t>Comum</t>
        </is>
      </c>
      <c r="D221" s="241" t="n">
        <v>31</v>
      </c>
      <c r="E221" s="241">
        <f>ROUND(INDEX('Curva Mestra'!$F$20:$F$94,MATCH(D221,'Curva Mestra'!$A$20:$A$94,0)),0)</f>
        <v/>
      </c>
      <c r="F221" s="241">
        <f>ROUND(INDEX('Curva Mestra'!$C$20:$C$94,MATCH(D221,'Curva Mestra'!$A$20:$A$94,0))*INDEX($B$5:$B$8,MATCH(C221,$A$5:$A$8,0)),0)</f>
        <v/>
      </c>
      <c r="G221" s="241">
        <f>ROUND(INDEX('Curva Mestra'!$D$20:$D$94,MATCH(D221,'Curva Mestra'!$A$20:$A$94,0))+INDEX($C$5:$C$8,MATCH(C221,$A$5:$A$8,0)),0)</f>
        <v/>
      </c>
      <c r="H221" s="241" t="inlineStr">
        <is>
          <t>Formado na câmara de magma da fenda.</t>
        </is>
      </c>
      <c r="I221" s="241" t="inlineStr">
        <is>
          <t>Toque em Brasa</t>
        </is>
      </c>
      <c r="J221" s="241" t="inlineStr">
        <is>
          <t>Queimadura (fraco).</t>
        </is>
      </c>
      <c r="K221" s="241" t="inlineStr">
        <is>
          <t>Fragmento pequeno de um Elemental de Cinzas maior.</t>
        </is>
      </c>
      <c r="L221" s="241">
        <f>IF(C221="Comum",ROUND(E221*1.3,0),"—")</f>
        <v/>
      </c>
      <c r="M221" s="241">
        <f>IF(C221="Comum",ROUND(F221*1.15,0),"—")</f>
        <v/>
      </c>
      <c r="N221" s="241">
        <f>IF(C221="Comum",G221+2,"—")</f>
        <v/>
      </c>
      <c r="O221" s="241">
        <f>IF(C221="Comum",ROUND(E221*1.6,0),"—")</f>
        <v/>
      </c>
      <c r="P221" s="241">
        <f>IF(C221="Comum",ROUND(F221*1.3,0),"—")</f>
        <v/>
      </c>
      <c r="Q221" s="241">
        <f>IF(C221="Comum",G221+4,"—")</f>
        <v/>
      </c>
      <c r="R221" s="243" t="n"/>
      <c r="S221" s="241">
        <f>ROUND(3+0.6*D221+IF(C221="Comum",0,IF(C221="Elite",2,IF(C221="Boss",4,6))),0)</f>
        <v/>
      </c>
      <c r="T221" s="241" t="inlineStr">
        <is>
          <t>Ouro + Núcleo de Brasa Instável</t>
        </is>
      </c>
      <c r="U221" s="241" t="inlineStr">
        <is>
          <t>Ignora Resistência Mágica</t>
        </is>
      </c>
      <c r="V221" s="161" t="inlineStr">
        <is>
          <t>Explosivo</t>
        </is>
      </c>
      <c r="W221" s="161" t="inlineStr">
        <is>
          <t>Fenda Vulcânica Ativa — Câmara de Magma</t>
        </is>
      </c>
      <c r="X221" s="242" t="n"/>
      <c r="Y221" s="161" t="inlineStr">
        <is>
          <t>Ao morrer, causa 1 de Queimadura em área.</t>
        </is>
      </c>
      <c r="Z221" s="242" t="n"/>
      <c r="AA221" s="242" t="n"/>
    </row>
    <row r="222" ht="15" customHeight="1" s="116">
      <c r="A222" s="241" t="inlineStr">
        <is>
          <t>Vidro Vulcanico</t>
        </is>
      </c>
      <c r="B222" s="241" t="inlineStr">
        <is>
          <t>Larva de Magma</t>
        </is>
      </c>
      <c r="C222" s="241" t="inlineStr">
        <is>
          <t>Comum</t>
        </is>
      </c>
      <c r="D222" s="241" t="n">
        <v>31</v>
      </c>
      <c r="E222" s="241">
        <f>ROUND(INDEX('Curva Mestra'!$F$20:$F$94,MATCH(D222,'Curva Mestra'!$A$20:$A$94,0)),0)</f>
        <v/>
      </c>
      <c r="F222" s="241">
        <f>ROUND(INDEX('Curva Mestra'!$C$20:$C$94,MATCH(D222,'Curva Mestra'!$A$20:$A$94,0))*INDEX($B$5:$B$8,MATCH(C222,$A$5:$A$8,0)),0)</f>
        <v/>
      </c>
      <c r="G222" s="241">
        <f>ROUND(INDEX('Curva Mestra'!$D$20:$D$94,MATCH(D222,'Curva Mestra'!$A$20:$A$94,0))+INDEX($C$5:$C$8,MATCH(C222,$A$5:$A$8,0)),0)</f>
        <v/>
      </c>
      <c r="H222" s="241" t="inlineStr">
        <is>
          <t>Encontrada nas bordas da fenda, perto do Verme da Lava.</t>
        </is>
      </c>
      <c r="I222" s="241" t="inlineStr">
        <is>
          <t>Mordida Ardente</t>
        </is>
      </c>
      <c r="J222" s="241" t="inlineStr">
        <is>
          <t>Nenhum — sempre em grupo de 3.</t>
        </is>
      </c>
      <c r="K222" s="241" t="inlineStr">
        <is>
          <t>Ninhada do Verme da Lava Fluida.</t>
        </is>
      </c>
      <c r="L222" s="241">
        <f>IF(C222="Comum",ROUND(E222*1.3,0),"—")</f>
        <v/>
      </c>
      <c r="M222" s="241">
        <f>IF(C222="Comum",ROUND(F222*1.15,0),"—")</f>
        <v/>
      </c>
      <c r="N222" s="241">
        <f>IF(C222="Comum",G222+2,"—")</f>
        <v/>
      </c>
      <c r="O222" s="241">
        <f>IF(C222="Comum",ROUND(E222*1.6,0),"—")</f>
        <v/>
      </c>
      <c r="P222" s="241">
        <f>IF(C222="Comum",ROUND(F222*1.3,0),"—")</f>
        <v/>
      </c>
      <c r="Q222" s="241">
        <f>IF(C222="Comum",G222+4,"—")</f>
        <v/>
      </c>
      <c r="R222" s="243" t="n"/>
      <c r="S222" s="241">
        <f>ROUND(3+0.6*D222+IF(C222="Comum",0,IF(C222="Elite",2,IF(C222="Boss",4,6))),0)</f>
        <v/>
      </c>
      <c r="T222" s="241" t="inlineStr">
        <is>
          <t>Ouro + Casulo de Larva de Magma Comum</t>
        </is>
      </c>
      <c r="U222" s="241" t="inlineStr">
        <is>
          <t>Ignora Resistência Mágica</t>
        </is>
      </c>
      <c r="V222" s="161" t="inlineStr">
        <is>
          <t>Enxame</t>
        </is>
      </c>
      <c r="W222" s="161" t="inlineStr">
        <is>
          <t>Fenda Vulcânica Ativa — Bordas</t>
        </is>
      </c>
      <c r="X222" s="242" t="n"/>
      <c r="Y222" s="161" t="inlineStr">
        <is>
          <t>Chamam o Verme da Lava se todas morrerem (8%).</t>
        </is>
      </c>
      <c r="Z222" s="242" t="n"/>
      <c r="AA222" s="242" t="n"/>
    </row>
    <row r="223" ht="15" customHeight="1" s="116">
      <c r="A223" s="241" t="inlineStr">
        <is>
          <t>Vidro Vulcanico</t>
        </is>
      </c>
      <c r="B223" s="241" t="inlineStr">
        <is>
          <t>Zelote Recém-Convertido</t>
        </is>
      </c>
      <c r="C223" s="241" t="inlineStr">
        <is>
          <t>Comum</t>
        </is>
      </c>
      <c r="D223" s="241" t="n">
        <v>31</v>
      </c>
      <c r="E223" s="241">
        <f>ROUND(INDEX('Curva Mestra'!$F$20:$F$94,MATCH(D223,'Curva Mestra'!$A$20:$A$94,0)),0)</f>
        <v/>
      </c>
      <c r="F223" s="241">
        <f>ROUND(INDEX('Curva Mestra'!$C$20:$C$94,MATCH(D223,'Curva Mestra'!$A$20:$A$94,0))*INDEX($B$5:$B$8,MATCH(C223,$A$5:$A$8,0)),0)</f>
        <v/>
      </c>
      <c r="G223" s="241">
        <f>ROUND(INDEX('Curva Mestra'!$D$20:$D$94,MATCH(D223,'Curva Mestra'!$A$20:$A$94,0))+INDEX($C$5:$C$8,MATCH(C223,$A$5:$A$8,0)),0)</f>
        <v/>
      </c>
      <c r="H223" s="241" t="inlineStr">
        <is>
          <t>Recém-chegado ao Templo da Coroação na fenda.</t>
        </is>
      </c>
      <c r="I223" s="241" t="inlineStr">
        <is>
          <t>Golpe da Fé Nova</t>
        </is>
      </c>
      <c r="J223" s="241" t="inlineStr">
        <is>
          <t>Nenhum — 20% de chance de hesitar se abordado sem hostilidade.</t>
        </is>
      </c>
      <c r="K223" s="241" t="inlineStr">
        <is>
          <t>Aceitou a Coroação Vazia há dias, ainda duvida por dentro.</t>
        </is>
      </c>
      <c r="L223" s="241">
        <f>IF(C223="Comum",ROUND(E223*1.3,0),"—")</f>
        <v/>
      </c>
      <c r="M223" s="241">
        <f>IF(C223="Comum",ROUND(F223*1.15,0),"—")</f>
        <v/>
      </c>
      <c r="N223" s="241">
        <f>IF(C223="Comum",G223+2,"—")</f>
        <v/>
      </c>
      <c r="O223" s="241">
        <f>IF(C223="Comum",ROUND(E223*1.6,0),"—")</f>
        <v/>
      </c>
      <c r="P223" s="241">
        <f>IF(C223="Comum",ROUND(F223*1.3,0),"—")</f>
        <v/>
      </c>
      <c r="Q223" s="241">
        <f>IF(C223="Comum",G223+4,"—")</f>
        <v/>
      </c>
      <c r="R223" s="243" t="n"/>
      <c r="S223" s="241">
        <f>ROUND(3+0.6*D223+IF(C223="Comum",0,IF(C223="Elite",2,IF(C223="Boss",4,6))),0)</f>
        <v/>
      </c>
      <c r="T223" s="241" t="inlineStr">
        <is>
          <t>Ouro + Símbolo Duvidoso do Zelote</t>
        </is>
      </c>
      <c r="U223" s="241" t="inlineStr">
        <is>
          <t>Atordoamento</t>
        </is>
      </c>
      <c r="V223" s="161" t="inlineStr">
        <is>
          <t>Não-hostil condicional</t>
        </is>
      </c>
      <c r="W223" s="161" t="inlineStr">
        <is>
          <t>Fenda Vulcânica Ativa — Templo da Coroação</t>
        </is>
      </c>
      <c r="X223" s="242" t="n"/>
      <c r="Y223" s="161" t="inlineStr">
        <is>
          <t>Se abordado em paz, pode desertar (quest).</t>
        </is>
      </c>
      <c r="Z223" s="161" t="inlineStr">
        <is>
          <t>O Conselho dos Mestres de Forja aceita desertores do culto.</t>
        </is>
      </c>
      <c r="AA223" s="242" t="n"/>
    </row>
    <row r="224" ht="15" customHeight="1" s="116">
      <c r="A224" s="241" t="inlineStr">
        <is>
          <t>Vidro Vulcanico</t>
        </is>
      </c>
      <c r="B224" s="241" t="inlineStr">
        <is>
          <t>Cristal Parasita</t>
        </is>
      </c>
      <c r="C224" s="241" t="inlineStr">
        <is>
          <t>Comum</t>
        </is>
      </c>
      <c r="D224" s="241" t="n">
        <v>31</v>
      </c>
      <c r="E224" s="241">
        <f>ROUND(INDEX('Curva Mestra'!$F$20:$F$94,MATCH(D224,'Curva Mestra'!$A$20:$A$94,0)),0)</f>
        <v/>
      </c>
      <c r="F224" s="241">
        <f>ROUND(INDEX('Curva Mestra'!$C$20:$C$94,MATCH(D224,'Curva Mestra'!$A$20:$A$94,0))*INDEX($B$5:$B$8,MATCH(C224,$A$5:$A$8,0)),0)</f>
        <v/>
      </c>
      <c r="G224" s="241">
        <f>ROUND(INDEX('Curva Mestra'!$D$20:$D$94,MATCH(D224,'Curva Mestra'!$A$20:$A$94,0))+INDEX($C$5:$C$8,MATCH(C224,$A$5:$A$8,0)),0)</f>
        <v/>
      </c>
      <c r="H224" s="241" t="inlineStr">
        <is>
          <t>Cresce sobre as Feras Vítreas Ancestrais da fenda.</t>
        </is>
      </c>
      <c r="I224" s="241" t="inlineStr">
        <is>
          <t>Corte de Vidro</t>
        </is>
      </c>
      <c r="J224" s="241" t="inlineStr">
        <is>
          <t>Fragilidade — só aparece com Fera Vítrea Ancestral presente.</t>
        </is>
      </c>
      <c r="K224" s="241" t="inlineStr">
        <is>
          <t>Cresce na pele da Fera, se alimenta do calor que ela irradia.</t>
        </is>
      </c>
      <c r="L224" s="241">
        <f>IF(C224="Comum",ROUND(E224*1.3,0),"—")</f>
        <v/>
      </c>
      <c r="M224" s="241">
        <f>IF(C224="Comum",ROUND(F224*1.15,0),"—")</f>
        <v/>
      </c>
      <c r="N224" s="241">
        <f>IF(C224="Comum",G224+2,"—")</f>
        <v/>
      </c>
      <c r="O224" s="241">
        <f>IF(C224="Comum",ROUND(E224*1.6,0),"—")</f>
        <v/>
      </c>
      <c r="P224" s="241">
        <f>IF(C224="Comum",ROUND(F224*1.3,0),"—")</f>
        <v/>
      </c>
      <c r="Q224" s="241">
        <f>IF(C224="Comum",G224+4,"—")</f>
        <v/>
      </c>
      <c r="R224" s="243" t="n"/>
      <c r="S224" s="241">
        <f>ROUND(3+0.6*D224+IF(C224="Comum",0,IF(C224="Elite",2,IF(C224="Boss",4,6))),0)</f>
        <v/>
      </c>
      <c r="T224" s="241" t="inlineStr">
        <is>
          <t>Ouro + Cristal Parasita Extraído</t>
        </is>
      </c>
      <c r="U224" s="241" t="inlineStr">
        <is>
          <t>Queimadura</t>
        </is>
      </c>
      <c r="V224" s="161" t="inlineStr">
        <is>
          <t>Parasita</t>
        </is>
      </c>
      <c r="W224" s="161" t="inlineStr">
        <is>
          <t>Fenda Vulcânica Ativa, só com Fera Vítrea presente</t>
        </is>
      </c>
      <c r="X224" s="242" t="n"/>
      <c r="Y224" s="242" t="n"/>
      <c r="Z224" s="242" t="n"/>
      <c r="AA224" s="242" t="n"/>
    </row>
    <row r="225" ht="15" customHeight="1" s="116">
      <c r="A225" s="241" t="inlineStr">
        <is>
          <t>Vidro Vulcanico</t>
        </is>
      </c>
      <c r="B225" s="241" t="inlineStr">
        <is>
          <t>Elemental de Fumaça Fraco</t>
        </is>
      </c>
      <c r="C225" s="241" t="inlineStr">
        <is>
          <t>Comum</t>
        </is>
      </c>
      <c r="D225" s="241" t="n">
        <v>31</v>
      </c>
      <c r="E225" s="241">
        <f>ROUND(INDEX('Curva Mestra'!$F$20:$F$94,MATCH(D225,'Curva Mestra'!$A$20:$A$94,0)),0)</f>
        <v/>
      </c>
      <c r="F225" s="241">
        <f>ROUND(INDEX('Curva Mestra'!$C$20:$C$94,MATCH(D225,'Curva Mestra'!$A$20:$A$94,0))*INDEX($B$5:$B$8,MATCH(C225,$A$5:$A$8,0)),0)</f>
        <v/>
      </c>
      <c r="G225" s="241">
        <f>ROUND(INDEX('Curva Mestra'!$D$20:$D$94,MATCH(D225,'Curva Mestra'!$A$20:$A$94,0))+INDEX($C$5:$C$8,MATCH(C225,$A$5:$A$8,0)),0)</f>
        <v/>
      </c>
      <c r="H225" s="241" t="inlineStr">
        <is>
          <t>Fragmento fraco de fumaça consciente.</t>
        </is>
      </c>
      <c r="I225" s="241" t="inlineStr">
        <is>
          <t>Sufocar Fraco</t>
        </is>
      </c>
      <c r="J225" s="241" t="inlineStr">
        <is>
          <t>Atordoamento fraco (15%).</t>
        </is>
      </c>
      <c r="K225" s="241" t="inlineStr">
        <is>
          <t>Fragmento instável do Espírito da Fumaça.</t>
        </is>
      </c>
      <c r="L225" s="241">
        <f>IF(C225="Comum",ROUND(E225*1.3,0),"—")</f>
        <v/>
      </c>
      <c r="M225" s="241">
        <f>IF(C225="Comum",ROUND(F225*1.15,0),"—")</f>
        <v/>
      </c>
      <c r="N225" s="241">
        <f>IF(C225="Comum",G225+2,"—")</f>
        <v/>
      </c>
      <c r="O225" s="241">
        <f>IF(C225="Comum",ROUND(E225*1.6,0),"—")</f>
        <v/>
      </c>
      <c r="P225" s="241">
        <f>IF(C225="Comum",ROUND(F225*1.3,0),"—")</f>
        <v/>
      </c>
      <c r="Q225" s="241">
        <f>IF(C225="Comum",G225+4,"—")</f>
        <v/>
      </c>
      <c r="R225" s="243" t="n"/>
      <c r="S225" s="241">
        <f>ROUND(3+0.6*D225+IF(C225="Comum",0,IF(C225="Elite",2,IF(C225="Boss",4,6))),0)</f>
        <v/>
      </c>
      <c r="T225" s="241" t="inlineStr">
        <is>
          <t>Ouro + Fumaça Condensada Fraca</t>
        </is>
      </c>
      <c r="U225" s="241" t="inlineStr">
        <is>
          <t>Ignora Resistência Mágica</t>
        </is>
      </c>
      <c r="V225" s="161" t="inlineStr">
        <is>
          <t>Controle</t>
        </is>
      </c>
      <c r="W225" s="161" t="inlineStr">
        <is>
          <t>Fenda Vulcânica Ativa — Câmara de Magma</t>
        </is>
      </c>
      <c r="X225" s="242" t="n"/>
      <c r="Y225" s="242" t="n"/>
      <c r="Z225" s="242" t="n"/>
      <c r="AA225" s="242" t="n"/>
    </row>
    <row r="226" ht="15" customHeight="1" s="116">
      <c r="A226" s="241" t="inlineStr">
        <is>
          <t>Vidro Vulcanico</t>
        </is>
      </c>
      <c r="B226" s="241" t="inlineStr">
        <is>
          <t>Zelote Incendiário Menor</t>
        </is>
      </c>
      <c r="C226" s="241" t="inlineStr">
        <is>
          <t>Comum</t>
        </is>
      </c>
      <c r="D226" s="241" t="n">
        <v>31</v>
      </c>
      <c r="E226" s="241">
        <f>ROUND(INDEX('Curva Mestra'!$F$20:$F$94,MATCH(D226,'Curva Mestra'!$A$20:$A$94,0)),0)</f>
        <v/>
      </c>
      <c r="F226" s="241">
        <f>ROUND(INDEX('Curva Mestra'!$C$20:$C$94,MATCH(D226,'Curva Mestra'!$A$20:$A$94,0))*INDEX($B$5:$B$8,MATCH(C226,$A$5:$A$8,0)),0)</f>
        <v/>
      </c>
      <c r="G226" s="241">
        <f>ROUND(INDEX('Curva Mestra'!$D$20:$D$94,MATCH(D226,'Curva Mestra'!$A$20:$A$94,0))+INDEX($C$5:$C$8,MATCH(C226,$A$5:$A$8,0)),0)</f>
        <v/>
      </c>
      <c r="H226" s="241" t="inlineStr">
        <is>
          <t>Zelote recém-preparado pro sacrifício.</t>
        </is>
      </c>
      <c r="I226" s="241" t="inlineStr">
        <is>
          <t>Auto-Sacrifício Fraco</t>
        </is>
      </c>
      <c r="J226" s="241" t="inlineStr">
        <is>
          <t>Ao morrer, Queimadura fraca em área.</t>
        </is>
      </c>
      <c r="K226" s="241" t="inlineStr">
        <is>
          <t>Versão menos experiente do Zelote Incendiário.</t>
        </is>
      </c>
      <c r="L226" s="241">
        <f>IF(C226="Comum",ROUND(E226*1.3,0),"—")</f>
        <v/>
      </c>
      <c r="M226" s="241">
        <f>IF(C226="Comum",ROUND(F226*1.15,0),"—")</f>
        <v/>
      </c>
      <c r="N226" s="241">
        <f>IF(C226="Comum",G226+2,"—")</f>
        <v/>
      </c>
      <c r="O226" s="241">
        <f>IF(C226="Comum",ROUND(E226*1.6,0),"—")</f>
        <v/>
      </c>
      <c r="P226" s="241">
        <f>IF(C226="Comum",ROUND(F226*1.3,0),"—")</f>
        <v/>
      </c>
      <c r="Q226" s="241">
        <f>IF(C226="Comum",G226+4,"—")</f>
        <v/>
      </c>
      <c r="R226" s="243" t="n"/>
      <c r="S226" s="241">
        <f>ROUND(3+0.6*D226+IF(C226="Comum",0,IF(C226="Elite",2,IF(C226="Boss",4,6))),0)</f>
        <v/>
      </c>
      <c r="T226" s="241" t="inlineStr">
        <is>
          <t>Ouro + Cinto Incendiário Menor</t>
        </is>
      </c>
      <c r="U226" s="241" t="inlineStr">
        <is>
          <t>Lentidão</t>
        </is>
      </c>
      <c r="V226" s="161" t="inlineStr">
        <is>
          <t>Explosivo</t>
        </is>
      </c>
      <c r="W226" s="161" t="inlineStr">
        <is>
          <t>Fenda Vulcânica Ativa — Templo da Coroação</t>
        </is>
      </c>
      <c r="X226" s="242" t="n"/>
      <c r="Y226" s="242" t="n"/>
      <c r="Z226" s="242" t="n"/>
      <c r="AA226" s="242" t="n"/>
    </row>
    <row r="227" ht="15" customHeight="1" s="116">
      <c r="A227" s="241" t="inlineStr">
        <is>
          <t>Vidro Vulcanico</t>
        </is>
      </c>
      <c r="B227" s="241" t="inlineStr">
        <is>
          <t>Elemental de Cinzas</t>
        </is>
      </c>
      <c r="C227" s="241" t="inlineStr">
        <is>
          <t>Comum</t>
        </is>
      </c>
      <c r="D227" s="241" t="n">
        <v>32</v>
      </c>
      <c r="E227" s="241">
        <f>ROUND(INDEX('Curva Mestra'!$F$20:$F$94,MATCH(D227,'Curva Mestra'!$A$20:$A$94,0)),0)</f>
        <v/>
      </c>
      <c r="F227" s="241">
        <f>ROUND(INDEX('Curva Mestra'!$C$20:$C$94,MATCH(D227,'Curva Mestra'!$A$20:$A$94,0))*INDEX($B$5:$B$8,MATCH(C227,$A$5:$A$8,0)),0)</f>
        <v/>
      </c>
      <c r="G227" s="241">
        <f>ROUND(INDEX('Curva Mestra'!$D$20:$D$94,MATCH(D227,'Curva Mestra'!$A$20:$A$94,0))+INDEX($C$5:$C$8,MATCH(C227,$A$5:$A$8,0)),0)</f>
        <v/>
      </c>
      <c r="H227" s="241" t="inlineStr">
        <is>
          <t>Ronda a regiao do tier Vidro Vulcanico</t>
        </is>
      </c>
      <c r="I227" s="241" t="inlineStr">
        <is>
          <t>Sopro de Cinzas</t>
        </is>
      </c>
      <c r="J227" s="241" t="inlineStr">
        <is>
          <t>Sem efeito mecânico além do dano — ataque direto.</t>
        </is>
      </c>
      <c r="K227" s="241" t="inlineStr">
        <is>
          <t>Nuvem de cinzas vulcânicas que ganhou vontade própria depois que a fenda começou a "respirar" com mais força.</t>
        </is>
      </c>
      <c r="L227" s="241">
        <f>IF(C227="Comum",ROUND(E227*1.3,0),"—")</f>
        <v/>
      </c>
      <c r="M227" s="241">
        <f>IF(C227="Comum",ROUND(F227*1.15,0),"—")</f>
        <v/>
      </c>
      <c r="N227" s="241">
        <f>IF(C227="Comum",G227+2,"—")</f>
        <v/>
      </c>
      <c r="O227" s="241">
        <f>IF(C227="Comum",ROUND(E227*1.6,0),"—")</f>
        <v/>
      </c>
      <c r="P227" s="241">
        <f>IF(C227="Comum",ROUND(F227*1.3,0),"—")</f>
        <v/>
      </c>
      <c r="Q227" s="241">
        <f>IF(C227="Comum",G227+4,"—")</f>
        <v/>
      </c>
      <c r="R227" s="241" t="inlineStr">
        <is>
          <t>Salamandras na Forja</t>
        </is>
      </c>
      <c r="S227" s="241">
        <f>ROUND(INDEX('Curva Mestra'!$D$20:$D$94,MATCH(D227,'Curva Mestra'!$A$20:$A$94,0))-IF(C227="Comum",9,IF(C227="Elite",6,IF(C227="Boss",4,3))),0)</f>
        <v/>
      </c>
      <c r="T227" s="241" t="inlineStr">
        <is>
          <t>Ouro + Núcleo de Cinzas Vivas + Escama de Fera Vítrea (chance rara)</t>
        </is>
      </c>
      <c r="U227" s="241" t="inlineStr">
        <is>
          <t>Sem fraqueza óbvia — precisa de Knowledge alto pra descobrir algo específico.</t>
        </is>
      </c>
      <c r="V227" s="242" t="inlineStr">
        <is>
          <t>DPS</t>
        </is>
      </c>
      <c r="W227" s="242" t="inlineStr">
        <is>
          <t>Fenda Vulcânica Ativa</t>
        </is>
      </c>
      <c r="X227" s="242" t="n"/>
      <c r="Y227" s="242" t="n"/>
      <c r="Z227" s="242" t="n"/>
      <c r="AA227" s="242" t="n"/>
    </row>
    <row r="228" ht="15" customHeight="1" s="116">
      <c r="A228" s="241" t="inlineStr">
        <is>
          <t>Vidro Vulcanico</t>
        </is>
      </c>
      <c r="B228" s="241" t="inlineStr">
        <is>
          <t>Verme da Lava Fluida</t>
        </is>
      </c>
      <c r="C228" s="241" t="inlineStr">
        <is>
          <t>Comum</t>
        </is>
      </c>
      <c r="D228" s="241" t="n">
        <v>32</v>
      </c>
      <c r="E228" s="241">
        <f>ROUND(INDEX('Curva Mestra'!$F$20:$F$94,MATCH(D228,'Curva Mestra'!$A$20:$A$94,0)),0)</f>
        <v/>
      </c>
      <c r="F228" s="241">
        <f>ROUND(INDEX('Curva Mestra'!$C$20:$C$94,MATCH(D228,'Curva Mestra'!$A$20:$A$94,0))*INDEX($B$5:$B$8,MATCH(C228,$A$5:$A$8,0)),0)</f>
        <v/>
      </c>
      <c r="G228" s="241">
        <f>ROUND(INDEX('Curva Mestra'!$D$20:$D$94,MATCH(D228,'Curva Mestra'!$A$20:$A$94,0))+INDEX($C$5:$C$8,MATCH(C228,$A$5:$A$8,0)),0)</f>
        <v/>
      </c>
      <c r="H228" s="241" t="inlineStr">
        <is>
          <t>Sultanato da Rocha Incandescente, Zelotes da Mão Escarlate, região de Vidro Vulcanico.</t>
        </is>
      </c>
      <c r="I228" s="241" t="inlineStr">
        <is>
          <t>Jato Magmático</t>
        </is>
      </c>
      <c r="J228" s="241" t="inlineStr">
        <is>
          <t>Aplica Queimadura, causando 2 de dano por 2 turnos.</t>
        </is>
      </c>
      <c r="K228" s="241" t="inlineStr">
        <is>
          <t>Criatura que nada no magma e cospe rocha derretida — cresceu em número desde que os Zelotes começaram a alimentar a fenda com oferendas.</t>
        </is>
      </c>
      <c r="L228" s="241">
        <f>IF(C228="Comum",ROUND(E228*1.3,0),"—")</f>
        <v/>
      </c>
      <c r="M228" s="241">
        <f>IF(C228="Comum",ROUND(F228*1.15,0),"—")</f>
        <v/>
      </c>
      <c r="N228" s="241">
        <f>IF(C228="Comum",G228+2,"—")</f>
        <v/>
      </c>
      <c r="O228" s="241">
        <f>IF(C228="Comum",ROUND(E228*1.6,0),"—")</f>
        <v/>
      </c>
      <c r="P228" s="241">
        <f>IF(C228="Comum",ROUND(F228*1.3,0),"—")</f>
        <v/>
      </c>
      <c r="Q228" s="241">
        <f>IF(C228="Comum",G228+4,"—")</f>
        <v/>
      </c>
      <c r="R228" s="241" t="inlineStr">
        <is>
          <t>Salamandras na Forja</t>
        </is>
      </c>
      <c r="S228" s="241">
        <f>ROUND(INDEX('Curva Mestra'!$D$20:$D$94,MATCH(D228,'Curva Mestra'!$A$20:$A$94,0))-IF(C228="Comum",9,IF(C228="Elite",6,IF(C228="Boss",4,3))),0)</f>
        <v/>
      </c>
      <c r="T228" s="241" t="inlineStr">
        <is>
          <t>Ouro + Segmento de Verme da Lava + Escama de Fera Vítrea (chance rara)</t>
        </is>
      </c>
      <c r="U228" s="241" t="inlineStr">
        <is>
          <t>Vulnerável a Gelo/Água — queimadura recebida dura metade do tempo.</t>
        </is>
      </c>
      <c r="V228" s="242" t="inlineStr">
        <is>
          <t>DPS</t>
        </is>
      </c>
      <c r="W228" s="242" t="inlineStr">
        <is>
          <t>Fenda Vulcânica Ativa</t>
        </is>
      </c>
      <c r="X228" s="242" t="n"/>
      <c r="Y228" s="242" t="n"/>
      <c r="Z228" s="242" t="n"/>
      <c r="AA228" s="242" t="n"/>
    </row>
    <row r="229" ht="15" customHeight="1" s="116">
      <c r="A229" s="241" t="inlineStr">
        <is>
          <t>Vidro Vulcanico</t>
        </is>
      </c>
      <c r="B229" s="241" t="inlineStr">
        <is>
          <t>Espírito da Fumaça</t>
        </is>
      </c>
      <c r="C229" s="241" t="inlineStr">
        <is>
          <t>Comum</t>
        </is>
      </c>
      <c r="D229" s="241" t="n">
        <v>32</v>
      </c>
      <c r="E229" s="241">
        <f>ROUND(INDEX('Curva Mestra'!$F$20:$F$94,MATCH(D229,'Curva Mestra'!$A$20:$A$94,0)),0)</f>
        <v/>
      </c>
      <c r="F229" s="241">
        <f>ROUND(INDEX('Curva Mestra'!$C$20:$C$94,MATCH(D229,'Curva Mestra'!$A$20:$A$94,0))*INDEX($B$5:$B$8,MATCH(C229,$A$5:$A$8,0)),0)</f>
        <v/>
      </c>
      <c r="G229" s="241">
        <f>ROUND(INDEX('Curva Mestra'!$D$20:$D$94,MATCH(D229,'Curva Mestra'!$A$20:$A$94,0))+INDEX($C$5:$C$8,MATCH(C229,$A$5:$A$8,0)),0)</f>
        <v/>
      </c>
      <c r="H229" s="241" t="inlineStr">
        <is>
          <t>Paira sobre a câmara de magma da fenda.</t>
        </is>
      </c>
      <c r="I229" s="241" t="inlineStr">
        <is>
          <t>Sufocar</t>
        </is>
      </c>
      <c r="J229" s="241" t="inlineStr">
        <is>
          <t>Atordoamento (20%).</t>
        </is>
      </c>
      <c r="K229" s="241" t="inlineStr">
        <is>
          <t>Fumaça da fenda que ganhou consciência própria.</t>
        </is>
      </c>
      <c r="L229" s="241">
        <f>IF(C229="Comum",ROUND(E229*1.3,0),"—")</f>
        <v/>
      </c>
      <c r="M229" s="241">
        <f>IF(C229="Comum",ROUND(F229*1.15,0),"—")</f>
        <v/>
      </c>
      <c r="N229" s="241">
        <f>IF(C229="Comum",G229+2,"—")</f>
        <v/>
      </c>
      <c r="O229" s="241">
        <f>IF(C229="Comum",ROUND(E229*1.6,0),"—")</f>
        <v/>
      </c>
      <c r="P229" s="241">
        <f>IF(C229="Comum",ROUND(F229*1.3,0),"—")</f>
        <v/>
      </c>
      <c r="Q229" s="241">
        <f>IF(C229="Comum",G229+4,"—")</f>
        <v/>
      </c>
      <c r="R229" s="243" t="n"/>
      <c r="S229" s="241">
        <f>ROUND(3+0.6*D229+IF(C229="Comum",0,IF(C229="Elite",2,IF(C229="Boss",4,6))),0)</f>
        <v/>
      </c>
      <c r="T229" s="241" t="inlineStr">
        <is>
          <t>Ouro + Resíduo de Espírito da Fumaça</t>
        </is>
      </c>
      <c r="U229" s="241" t="inlineStr">
        <is>
          <t>Ignora Resistência Mágica</t>
        </is>
      </c>
      <c r="V229" s="161" t="inlineStr">
        <is>
          <t>Controle</t>
        </is>
      </c>
      <c r="W229" s="161" t="inlineStr">
        <is>
          <t>Fenda Vulcânica Ativa — Câmara de Magma</t>
        </is>
      </c>
      <c r="X229" s="242" t="n"/>
      <c r="Y229" s="242" t="n"/>
      <c r="Z229" s="242" t="n"/>
      <c r="AA229" s="242" t="n"/>
    </row>
    <row r="230" ht="15" customHeight="1" s="116">
      <c r="A230" s="241" t="inlineStr">
        <is>
          <t>Vidro Vulcanico</t>
        </is>
      </c>
      <c r="B230" s="241" t="inlineStr">
        <is>
          <t>Zelote da Vigília Noturna</t>
        </is>
      </c>
      <c r="C230" s="241" t="inlineStr">
        <is>
          <t>Comum</t>
        </is>
      </c>
      <c r="D230" s="241" t="n">
        <v>32</v>
      </c>
      <c r="E230" s="241">
        <f>ROUND(INDEX('Curva Mestra'!$F$20:$F$94,MATCH(D230,'Curva Mestra'!$A$20:$A$94,0)),0)</f>
        <v/>
      </c>
      <c r="F230" s="241">
        <f>ROUND(INDEX('Curva Mestra'!$C$20:$C$94,MATCH(D230,'Curva Mestra'!$A$20:$A$94,0))*INDEX($B$5:$B$8,MATCH(C230,$A$5:$A$8,0)),0)</f>
        <v/>
      </c>
      <c r="G230" s="241">
        <f>ROUND(INDEX('Curva Mestra'!$D$20:$D$94,MATCH(D230,'Curva Mestra'!$A$20:$A$94,0))+INDEX($C$5:$C$8,MATCH(C230,$A$5:$A$8,0)),0)</f>
        <v/>
      </c>
      <c r="H230" s="241" t="inlineStr">
        <is>
          <t>Vigia a fenda somente durante a noite.</t>
        </is>
      </c>
      <c r="I230" s="241" t="inlineStr">
        <is>
          <t>Golpe às Cegas</t>
        </is>
      </c>
      <c r="J230" s="241" t="inlineStr">
        <is>
          <t>Atordoamento — só ativo à noite, quando a fenda brilha mais forte.</t>
        </is>
      </c>
      <c r="K230" s="241" t="inlineStr">
        <is>
          <t>Vigia a fenda durante a noite, quando dizem que o Rei Vazio "acorda".</t>
        </is>
      </c>
      <c r="L230" s="241">
        <f>IF(C230="Comum",ROUND(E230*1.3,0),"—")</f>
        <v/>
      </c>
      <c r="M230" s="241">
        <f>IF(C230="Comum",ROUND(F230*1.15,0),"—")</f>
        <v/>
      </c>
      <c r="N230" s="241">
        <f>IF(C230="Comum",G230+2,"—")</f>
        <v/>
      </c>
      <c r="O230" s="241">
        <f>IF(C230="Comum",ROUND(E230*1.6,0),"—")</f>
        <v/>
      </c>
      <c r="P230" s="241">
        <f>IF(C230="Comum",ROUND(F230*1.3,0),"—")</f>
        <v/>
      </c>
      <c r="Q230" s="241">
        <f>IF(C230="Comum",G230+4,"—")</f>
        <v/>
      </c>
      <c r="R230" s="243" t="n"/>
      <c r="S230" s="241">
        <f>ROUND(3+0.6*D230+IF(C230="Comum",0,IF(C230="Elite",2,IF(C230="Boss",4,6))),0)</f>
        <v/>
      </c>
      <c r="T230" s="241" t="inlineStr">
        <is>
          <t>Ouro + Tocha da Vigília Noturna</t>
        </is>
      </c>
      <c r="U230" s="241" t="inlineStr">
        <is>
          <t>Ignora Resistência Mágica</t>
        </is>
      </c>
      <c r="V230" s="161" t="inlineStr">
        <is>
          <t>Condicional</t>
        </is>
      </c>
      <c r="W230" s="161" t="inlineStr">
        <is>
          <t>Fenda Vulcânica Ativa, só à noite</t>
        </is>
      </c>
      <c r="X230" s="242" t="n"/>
      <c r="Y230" s="242" t="n"/>
      <c r="Z230" s="242" t="n"/>
      <c r="AA230" s="242" t="n"/>
    </row>
    <row r="231" ht="15" customHeight="1" s="116">
      <c r="A231" s="241" t="inlineStr">
        <is>
          <t>Vidro Vulcanico</t>
        </is>
      </c>
      <c r="B231" s="241" t="inlineStr">
        <is>
          <t>Guarda Menor do Rei Vazio</t>
        </is>
      </c>
      <c r="C231" s="241" t="inlineStr">
        <is>
          <t>Comum</t>
        </is>
      </c>
      <c r="D231" s="241" t="n">
        <v>32</v>
      </c>
      <c r="E231" s="241">
        <f>ROUND(INDEX('Curva Mestra'!$F$20:$F$94,MATCH(D231,'Curva Mestra'!$A$20:$A$94,0)),0)</f>
        <v/>
      </c>
      <c r="F231" s="241">
        <f>ROUND(INDEX('Curva Mestra'!$C$20:$C$94,MATCH(D231,'Curva Mestra'!$A$20:$A$94,0))*INDEX($B$5:$B$8,MATCH(C231,$A$5:$A$8,0)),0)</f>
        <v/>
      </c>
      <c r="G231" s="241">
        <f>ROUND(INDEX('Curva Mestra'!$D$20:$D$94,MATCH(D231,'Curva Mestra'!$A$20:$A$94,0))+INDEX($C$5:$C$8,MATCH(C231,$A$5:$A$8,0)),0)</f>
        <v/>
      </c>
      <c r="H231" s="241" t="inlineStr">
        <is>
          <t>Guarda júnior do Templo da Coroação.</t>
        </is>
      </c>
      <c r="I231" s="241" t="inlineStr">
        <is>
          <t>Lâmina Morna</t>
        </is>
      </c>
      <c r="J231" s="241" t="inlineStr">
        <is>
          <t>Fragilidade fraca.</t>
        </is>
      </c>
      <c r="K231" s="241" t="inlineStr">
        <is>
          <t>Guarda de menor patente, ainda treinando pra proteger o trono vazio.</t>
        </is>
      </c>
      <c r="L231" s="241">
        <f>IF(C231="Comum",ROUND(E231*1.3,0),"—")</f>
        <v/>
      </c>
      <c r="M231" s="241">
        <f>IF(C231="Comum",ROUND(F231*1.15,0),"—")</f>
        <v/>
      </c>
      <c r="N231" s="241">
        <f>IF(C231="Comum",G231+2,"—")</f>
        <v/>
      </c>
      <c r="O231" s="241">
        <f>IF(C231="Comum",ROUND(E231*1.6,0),"—")</f>
        <v/>
      </c>
      <c r="P231" s="241">
        <f>IF(C231="Comum",ROUND(F231*1.3,0),"—")</f>
        <v/>
      </c>
      <c r="Q231" s="241">
        <f>IF(C231="Comum",G231+4,"—")</f>
        <v/>
      </c>
      <c r="R231" s="243" t="n"/>
      <c r="S231" s="241">
        <f>ROUND(3+0.6*D231+IF(C231="Comum",0,IF(C231="Elite",2,IF(C231="Boss",4,6))),0)</f>
        <v/>
      </c>
      <c r="T231" s="241" t="inlineStr">
        <is>
          <t>Ouro + Elmo Menor do Guarda do Rei Vazio</t>
        </is>
      </c>
      <c r="U231" s="241" t="inlineStr">
        <is>
          <t>Fragilidade</t>
        </is>
      </c>
      <c r="V231" s="161" t="inlineStr">
        <is>
          <t>DPS</t>
        </is>
      </c>
      <c r="W231" s="161" t="inlineStr">
        <is>
          <t>Fenda Vulcânica Ativa — Templo da Coroação</t>
        </is>
      </c>
      <c r="X231" s="242" t="n"/>
      <c r="Y231" s="242" t="n"/>
      <c r="Z231" s="242" t="n"/>
      <c r="AA231" s="242" t="n"/>
    </row>
    <row r="232" ht="15" customHeight="1" s="116">
      <c r="A232" s="241" t="inlineStr">
        <is>
          <t>Vidro Vulcanico</t>
        </is>
      </c>
      <c r="B232" s="241" t="inlineStr">
        <is>
          <t>Zelote da Coroação</t>
        </is>
      </c>
      <c r="C232" s="241" t="inlineStr">
        <is>
          <t>Comum</t>
        </is>
      </c>
      <c r="D232" s="241" t="n">
        <v>33</v>
      </c>
      <c r="E232" s="241">
        <f>ROUND(INDEX('Curva Mestra'!$F$20:$F$94,MATCH(D232,'Curva Mestra'!$A$20:$A$94,0)),0)</f>
        <v/>
      </c>
      <c r="F232" s="241">
        <f>ROUND(INDEX('Curva Mestra'!$C$20:$C$94,MATCH(D232,'Curva Mestra'!$A$20:$A$94,0))*INDEX($B$5:$B$8,MATCH(C232,$A$5:$A$8,0)),0)</f>
        <v/>
      </c>
      <c r="G232" s="241">
        <f>ROUND(INDEX('Curva Mestra'!$D$20:$D$94,MATCH(D232,'Curva Mestra'!$A$20:$A$94,0))+INDEX($C$5:$C$8,MATCH(C232,$A$5:$A$8,0)),0)</f>
        <v/>
      </c>
      <c r="H232" s="241" t="inlineStr">
        <is>
          <t>Sultanato da Rocha Incandescente, Zelotes da Mão Escarlate, região de Vidro Vulcanico.</t>
        </is>
      </c>
      <c r="I232" s="241" t="inlineStr">
        <is>
          <t>Fervor Cego</t>
        </is>
      </c>
      <c r="J232" s="241" t="inlineStr">
        <is>
          <t>Ganha +1 de Ataque se lutar ao lado de outro Zelote.</t>
        </is>
      </c>
      <c r="K232" s="241" t="inlineStr">
        <is>
          <t>Soldado raso dos Zelotes da Mão Escarlate — acredita que "coroar o Rei sem corpo" vai libertar o Sultanato da fome e da guerra.</t>
        </is>
      </c>
      <c r="L232" s="241">
        <f>IF(C232="Comum",ROUND(E232*1.3,0),"—")</f>
        <v/>
      </c>
      <c r="M232" s="241">
        <f>IF(C232="Comum",ROUND(F232*1.15,0),"—")</f>
        <v/>
      </c>
      <c r="N232" s="241">
        <f>IF(C232="Comum",G232+2,"—")</f>
        <v/>
      </c>
      <c r="O232" s="241">
        <f>IF(C232="Comum",ROUND(E232*1.6,0),"—")</f>
        <v/>
      </c>
      <c r="P232" s="241">
        <f>IF(C232="Comum",ROUND(F232*1.3,0),"—")</f>
        <v/>
      </c>
      <c r="Q232" s="241">
        <f>IF(C232="Comum",G232+4,"—")</f>
        <v/>
      </c>
      <c r="R232" s="241" t="inlineStr">
        <is>
          <t>A Coroação sem Rei</t>
        </is>
      </c>
      <c r="S232" s="241">
        <f>ROUND(INDEX('Curva Mestra'!$D$20:$D$94,MATCH(D232,'Curva Mestra'!$A$20:$A$94,0))-IF(C232="Comum",9,IF(C232="Elite",6,IF(C232="Boss",4,3))),0)</f>
        <v/>
      </c>
      <c r="T232" s="241" t="inlineStr">
        <is>
          <t>Ouro + Emblema da Coroação Vazia + Escama de Fera Vítrea (chance rara)</t>
        </is>
      </c>
      <c r="U232" s="241" t="inlineStr">
        <is>
          <t>Perde o bônus de grupo se isolado dos outros cultistas em combate.</t>
        </is>
      </c>
      <c r="V232" s="242" t="inlineStr">
        <is>
          <t>DPS</t>
        </is>
      </c>
      <c r="W232" s="242" t="inlineStr">
        <is>
          <t>Fenda Vulcânica Ativa</t>
        </is>
      </c>
      <c r="X232" s="242" t="n"/>
      <c r="Y232" s="242" t="n"/>
      <c r="Z232" s="242" t="n"/>
      <c r="AA232" s="242" t="n"/>
    </row>
    <row r="233" ht="15" customHeight="1" s="116">
      <c r="A233" s="241" t="inlineStr">
        <is>
          <t>Vidro Vulcanico</t>
        </is>
      </c>
      <c r="B233" s="241" t="inlineStr">
        <is>
          <t>Zelote Incendiário</t>
        </is>
      </c>
      <c r="C233" s="241" t="inlineStr">
        <is>
          <t>Comum</t>
        </is>
      </c>
      <c r="D233" s="241" t="n">
        <v>33</v>
      </c>
      <c r="E233" s="241">
        <f>ROUND(INDEX('Curva Mestra'!$F$20:$F$94,MATCH(D233,'Curva Mestra'!$A$20:$A$94,0)),0)</f>
        <v/>
      </c>
      <c r="F233" s="241">
        <f>ROUND(INDEX('Curva Mestra'!$C$20:$C$94,MATCH(D233,'Curva Mestra'!$A$20:$A$94,0))*INDEX($B$5:$B$8,MATCH(C233,$A$5:$A$8,0)),0)</f>
        <v/>
      </c>
      <c r="G233" s="241">
        <f>ROUND(INDEX('Curva Mestra'!$D$20:$D$94,MATCH(D233,'Curva Mestra'!$A$20:$A$94,0))+INDEX($C$5:$C$8,MATCH(C233,$A$5:$A$8,0)),0)</f>
        <v/>
      </c>
      <c r="H233" s="241" t="inlineStr">
        <is>
          <t>Aguarda no templo, pronto para o auto-sacrifício.</t>
        </is>
      </c>
      <c r="I233" s="241" t="inlineStr">
        <is>
          <t>Auto-Sacrifício</t>
        </is>
      </c>
      <c r="J233" s="241" t="inlineStr">
        <is>
          <t>Ao morrer, Queimadura forte em área (todos no combate).</t>
        </is>
      </c>
      <c r="K233" s="241" t="inlineStr">
        <is>
          <t>Se prepara pra virar tocha viva em nome do Rei Vazio.</t>
        </is>
      </c>
      <c r="L233" s="241">
        <f>IF(C233="Comum",ROUND(E233*1.3,0),"—")</f>
        <v/>
      </c>
      <c r="M233" s="241">
        <f>IF(C233="Comum",ROUND(F233*1.15,0),"—")</f>
        <v/>
      </c>
      <c r="N233" s="241">
        <f>IF(C233="Comum",G233+2,"—")</f>
        <v/>
      </c>
      <c r="O233" s="241">
        <f>IF(C233="Comum",ROUND(E233*1.6,0),"—")</f>
        <v/>
      </c>
      <c r="P233" s="241">
        <f>IF(C233="Comum",ROUND(F233*1.3,0),"—")</f>
        <v/>
      </c>
      <c r="Q233" s="241">
        <f>IF(C233="Comum",G233+4,"—")</f>
        <v/>
      </c>
      <c r="R233" s="243" t="n"/>
      <c r="S233" s="241">
        <f>ROUND(3+0.6*D233+IF(C233="Comum",0,IF(C233="Elite",2,IF(C233="Boss",4,6))),0)</f>
        <v/>
      </c>
      <c r="T233" s="241" t="inlineStr">
        <is>
          <t>Ouro + Cinto Incendiário Ritual</t>
        </is>
      </c>
      <c r="U233" s="241" t="inlineStr">
        <is>
          <t>Lentidão</t>
        </is>
      </c>
      <c r="V233" s="161" t="inlineStr">
        <is>
          <t>Explosivo</t>
        </is>
      </c>
      <c r="W233" s="161" t="inlineStr">
        <is>
          <t>Fenda Vulcânica Ativa — Templo da Coroação</t>
        </is>
      </c>
      <c r="X233" s="242" t="n"/>
      <c r="Y233" s="242" t="n"/>
      <c r="Z233" s="242" t="n"/>
      <c r="AA233" s="242" t="n"/>
    </row>
    <row r="234" ht="15" customHeight="1" s="116">
      <c r="A234" s="241" t="inlineStr">
        <is>
          <t>Vidro Vulcanico</t>
        </is>
      </c>
      <c r="B234" s="241" t="inlineStr">
        <is>
          <t>Tesouro de Obsidiana Falso</t>
        </is>
      </c>
      <c r="C234" s="241" t="inlineStr">
        <is>
          <t>Elite</t>
        </is>
      </c>
      <c r="D234" s="241" t="n">
        <v>32</v>
      </c>
      <c r="E234" s="241">
        <f>ROUND(INDEX('Curva Mestra'!$G$20:$G$94,MATCH(D234,'Curva Mestra'!$A$20:$A$94,0)),0)</f>
        <v/>
      </c>
      <c r="F234" s="241">
        <f>ROUND(INDEX('Curva Mestra'!$C$20:$C$94,MATCH(D234,'Curva Mestra'!$A$20:$A$94,0))*INDEX($B$5:$B$8,MATCH(C234,$A$5:$A$8,0)),0)</f>
        <v/>
      </c>
      <c r="G234" s="241">
        <f>ROUND(INDEX('Curva Mestra'!$D$20:$D$94,MATCH(D234,'Curva Mestra'!$A$20:$A$94,0))+INDEX($C$5:$C$8,MATCH(C234,$A$5:$A$8,0)),0)</f>
        <v/>
      </c>
      <c r="H234" s="241" t="inlineStr">
        <is>
          <t>Disfarçado entre os tesouros da fenda vulcânica.</t>
        </is>
      </c>
      <c r="I234" s="241" t="inlineStr">
        <is>
          <t>Mordida de Vidro</t>
        </is>
      </c>
      <c r="J234" s="241" t="inlineStr">
        <is>
          <t>Ignora Defesa + jogador perde 1 turno de surpresa.</t>
        </is>
      </c>
      <c r="K234" s="241" t="inlineStr">
        <is>
          <t>O culto deixa "tesouros" de obsidiana pra pegar saqueadores da fenda.</t>
        </is>
      </c>
      <c r="L234" s="241">
        <f>IF(C234="Comum",ROUND(E234*1.3,0),"—")</f>
        <v/>
      </c>
      <c r="M234" s="241">
        <f>IF(C234="Comum",ROUND(F234*1.15,0),"—")</f>
        <v/>
      </c>
      <c r="N234" s="241">
        <f>IF(C234="Comum",G234+2,"—")</f>
        <v/>
      </c>
      <c r="O234" s="241">
        <f>IF(C234="Comum",ROUND(E234*1.6,0),"—")</f>
        <v/>
      </c>
      <c r="P234" s="241">
        <f>IF(C234="Comum",ROUND(F234*1.3,0),"—")</f>
        <v/>
      </c>
      <c r="Q234" s="241">
        <f>IF(C234="Comum",G234+4,"—")</f>
        <v/>
      </c>
      <c r="R234" s="243" t="n"/>
      <c r="S234" s="241">
        <f>ROUND(3+0.6*D234+IF(C234="Comum",0,IF(C234="Elite",2,IF(C234="Boss",4,6))),0)</f>
        <v/>
      </c>
      <c r="T234" s="241" t="inlineStr">
        <is>
          <t>Ouro + Obsidiana Incandescente (chance alta, x2) + Fragmento de Tesouro Falso</t>
        </is>
      </c>
      <c r="U234" s="241" t="inlineStr">
        <is>
          <t>Atordoamento</t>
        </is>
      </c>
      <c r="V234" s="161" t="inlineStr">
        <is>
          <t>Mímico</t>
        </is>
      </c>
      <c r="W234" s="161" t="inlineStr">
        <is>
          <t>Fenda Vulcânica Ativa, 5% ao encontrar tesouro</t>
        </is>
      </c>
      <c r="X234" s="242" t="n"/>
      <c r="Y234" s="242" t="n"/>
      <c r="Z234" s="161" t="inlineStr">
        <is>
          <t>O Culto da Coroação os planta de propósito.</t>
        </is>
      </c>
      <c r="AA234" s="161" t="inlineStr">
        <is>
          <t>Obsidiana Incandescente x2 (falso — some ao ser revelado, sem uso real)</t>
        </is>
      </c>
    </row>
    <row r="235" ht="15" customHeight="1" s="116">
      <c r="A235" s="241" t="inlineStr">
        <is>
          <t>Vidro Vulcanico</t>
        </is>
      </c>
      <c r="B235" s="241" t="inlineStr">
        <is>
          <t>Salamandra Dourada</t>
        </is>
      </c>
      <c r="C235" s="241" t="inlineStr">
        <is>
          <t>Elite</t>
        </is>
      </c>
      <c r="D235" s="241" t="n">
        <v>32</v>
      </c>
      <c r="E235" s="241">
        <f>ROUND(INDEX('Curva Mestra'!$G$20:$G$94,MATCH(D235,'Curva Mestra'!$A$20:$A$94,0)),0)</f>
        <v/>
      </c>
      <c r="F235" s="241">
        <f>ROUND(INDEX('Curva Mestra'!$C$20:$C$94,MATCH(D235,'Curva Mestra'!$A$20:$A$94,0))*INDEX($B$5:$B$8,MATCH(C235,$A$5:$A$8,0)),0)</f>
        <v/>
      </c>
      <c r="G235" s="241">
        <f>ROUND(INDEX('Curva Mestra'!$D$20:$D$94,MATCH(D235,'Curva Mestra'!$A$20:$A$94,0))+INDEX($C$5:$C$8,MATCH(C235,$A$5:$A$8,0)),0)</f>
        <v/>
      </c>
      <c r="H235" s="241" t="inlineStr">
        <is>
          <t>Rara, avistada fugindo pela fenda vulcânica.</t>
        </is>
      </c>
      <c r="I235" s="241" t="inlineStr">
        <is>
          <t>Fuga em Chamas</t>
        </is>
      </c>
      <c r="J235" s="241" t="inlineStr">
        <is>
          <t>Não causa dano — foge no turno 3.</t>
        </is>
      </c>
      <c r="K235" s="241" t="inlineStr">
        <is>
          <t>Rara entre as salamandras, a lava não a queima — ela é feita dela.</t>
        </is>
      </c>
      <c r="L235" s="241">
        <f>IF(C235="Comum",ROUND(E235*1.3,0),"—")</f>
        <v/>
      </c>
      <c r="M235" s="241">
        <f>IF(C235="Comum",ROUND(F235*1.15,0),"—")</f>
        <v/>
      </c>
      <c r="N235" s="241">
        <f>IF(C235="Comum",G235+2,"—")</f>
        <v/>
      </c>
      <c r="O235" s="241">
        <f>IF(C235="Comum",ROUND(E235*1.6,0),"—")</f>
        <v/>
      </c>
      <c r="P235" s="241">
        <f>IF(C235="Comum",ROUND(F235*1.3,0),"—")</f>
        <v/>
      </c>
      <c r="Q235" s="241">
        <f>IF(C235="Comum",G235+4,"—")</f>
        <v/>
      </c>
      <c r="R235" s="243" t="n"/>
      <c r="S235" s="241">
        <f>ROUND(3+0.6*D235+IF(C235="Comum",0,IF(C235="Elite",2,IF(C235="Boss",4,6))),0)</f>
        <v/>
      </c>
      <c r="T235" s="241" t="inlineStr">
        <is>
          <t>Ouro + Escama Dourada de Salamandra</t>
        </is>
      </c>
      <c r="U235" s="241" t="inlineStr">
        <is>
          <t>Lentidão</t>
        </is>
      </c>
      <c r="V235" s="161" t="inlineStr">
        <is>
          <t>Superloot/Evasivo</t>
        </is>
      </c>
      <c r="W235" s="161" t="inlineStr">
        <is>
          <t>Fenda Vulcânica Ativa, spawn raro (2%)</t>
        </is>
      </c>
      <c r="X235" s="242" t="n"/>
      <c r="Y235" s="242" t="n"/>
      <c r="Z235" s="242" t="n"/>
      <c r="AA235" s="161" t="inlineStr">
        <is>
          <t>Lingote de Ferro Órquico Bruto (material de Tier 8)</t>
        </is>
      </c>
    </row>
    <row r="236" ht="15" customHeight="1" s="116">
      <c r="A236" s="241" t="inlineStr">
        <is>
          <t>Vidro Vulcanico</t>
        </is>
      </c>
      <c r="B236" s="241" t="inlineStr">
        <is>
          <t>Arauto Menor Aprendiz</t>
        </is>
      </c>
      <c r="C236" s="241" t="inlineStr">
        <is>
          <t>Elite</t>
        </is>
      </c>
      <c r="D236" s="241" t="n">
        <v>32</v>
      </c>
      <c r="E236" s="241">
        <f>ROUND(INDEX('Curva Mestra'!$G$20:$G$94,MATCH(D236,'Curva Mestra'!$A$20:$A$94,0)),0)</f>
        <v/>
      </c>
      <c r="F236" s="241">
        <f>ROUND(INDEX('Curva Mestra'!$C$20:$C$94,MATCH(D236,'Curva Mestra'!$A$20:$A$94,0))*INDEX($B$5:$B$8,MATCH(C236,$A$5:$A$8,0)),0)</f>
        <v/>
      </c>
      <c r="G236" s="241">
        <f>ROUND(INDEX('Curva Mestra'!$D$20:$D$94,MATCH(D236,'Curva Mestra'!$A$20:$A$94,0))+INDEX($C$5:$C$8,MATCH(C236,$A$5:$A$8,0)),0)</f>
        <v/>
      </c>
      <c r="H236" s="241" t="inlineStr">
        <is>
          <t>Aprendiz de arauto do culto.</t>
        </is>
      </c>
      <c r="I236" s="241" t="inlineStr">
        <is>
          <t>Decreto Fraco</t>
        </is>
      </c>
      <c r="J236" s="241" t="inlineStr">
        <is>
          <t>Cura 2 HP/turno em Zelotes vivos no combate.</t>
        </is>
      </c>
      <c r="K236" s="241" t="inlineStr">
        <is>
          <t>Aprendiz do Arauto Menor da Coroação.</t>
        </is>
      </c>
      <c r="L236" s="241">
        <f>IF(C236="Comum",ROUND(E236*1.3,0),"—")</f>
        <v/>
      </c>
      <c r="M236" s="241">
        <f>IF(C236="Comum",ROUND(F236*1.15,0),"—")</f>
        <v/>
      </c>
      <c r="N236" s="241">
        <f>IF(C236="Comum",G236+2,"—")</f>
        <v/>
      </c>
      <c r="O236" s="241">
        <f>IF(C236="Comum",ROUND(E236*1.6,0),"—")</f>
        <v/>
      </c>
      <c r="P236" s="241">
        <f>IF(C236="Comum",ROUND(F236*1.3,0),"—")</f>
        <v/>
      </c>
      <c r="Q236" s="241">
        <f>IF(C236="Comum",G236+4,"—")</f>
        <v/>
      </c>
      <c r="R236" s="243" t="n"/>
      <c r="S236" s="241">
        <f>ROUND(3+0.6*D236+IF(C236="Comum",0,IF(C236="Elite",2,IF(C236="Boss",4,6))),0)</f>
        <v/>
      </c>
      <c r="T236" s="241" t="inlineStr">
        <is>
          <t>Ouro + Fragmento de Arauto Menor Aprendiz + Escama de Fera Vítrea (chance baixa)</t>
        </is>
      </c>
      <c r="U236" s="241" t="inlineStr">
        <is>
          <t>Ignora Resistência Mágica</t>
        </is>
      </c>
      <c r="V236" s="161" t="inlineStr">
        <is>
          <t>Suporte</t>
        </is>
      </c>
      <c r="W236" s="161" t="inlineStr">
        <is>
          <t>Fenda Vulcânica Ativa — Templo da Coroação</t>
        </is>
      </c>
      <c r="X236" s="242" t="n"/>
      <c r="Y236" s="242" t="n"/>
      <c r="Z236" s="242" t="n"/>
      <c r="AA236" s="242" t="n"/>
    </row>
    <row r="237" ht="15" customHeight="1" s="116">
      <c r="A237" s="241" t="inlineStr">
        <is>
          <t>Vidro Vulcanico</t>
        </is>
      </c>
      <c r="B237" s="241" t="inlineStr">
        <is>
          <t>Fera Vitrea Ancestral</t>
        </is>
      </c>
      <c r="C237" s="241" t="inlineStr">
        <is>
          <t>Elite</t>
        </is>
      </c>
      <c r="D237" s="241" t="n">
        <v>33</v>
      </c>
      <c r="E237" s="241">
        <f>ROUND(INDEX('Curva Mestra'!$G$20:$G$94,MATCH(D237,'Curva Mestra'!$A$20:$A$94,0)),0)</f>
        <v/>
      </c>
      <c r="F237" s="241">
        <f>ROUND(INDEX('Curva Mestra'!$C$20:$C$94,MATCH(D237,'Curva Mestra'!$A$20:$A$94,0))*INDEX($B$5:$B$8,MATCH(C237,$A$5:$A$8,0)),0)</f>
        <v/>
      </c>
      <c r="G237" s="241">
        <f>ROUND(INDEX('Curva Mestra'!$D$20:$D$94,MATCH(D237,'Curva Mestra'!$A$20:$A$94,0))+INDEX($C$5:$C$8,MATCH(C237,$A$5:$A$8,0)),0)</f>
        <v/>
      </c>
      <c r="H237" s="241" t="inlineStr">
        <is>
          <t>Encontro dificil dentro do tier Vidro Vulcanico</t>
        </is>
      </c>
      <c r="I237" s="241" t="inlineStr">
        <is>
          <t>Investida de Cacos</t>
        </is>
      </c>
      <c r="J237" s="241" t="inlineStr">
        <is>
          <t>Reduz a Durabilidade do equipamento do alvo 2x mais rápido enquanto durar o combate.</t>
        </is>
      </c>
      <c r="K237" s="241" t="inlineStr">
        <is>
          <t>Regenera as próprias placas de vidro vulcânico — os Zelotes da Mão Escarlate a veneram como "prova viva" de que o fogo escolhe quem sobrevive.</t>
        </is>
      </c>
      <c r="L237" s="241">
        <f>IF(C237="Comum",ROUND(E237*1.3,0),"—")</f>
        <v/>
      </c>
      <c r="M237" s="241">
        <f>IF(C237="Comum",ROUND(F237*1.15,0),"—")</f>
        <v/>
      </c>
      <c r="N237" s="241">
        <f>IF(C237="Comum",G237+2,"—")</f>
        <v/>
      </c>
      <c r="O237" s="241">
        <f>IF(C237="Comum",ROUND(E237*1.6,0),"—")</f>
        <v/>
      </c>
      <c r="P237" s="241">
        <f>IF(C237="Comum",ROUND(F237*1.3,0),"—")</f>
        <v/>
      </c>
      <c r="Q237" s="241">
        <f>IF(C237="Comum",G237+4,"—")</f>
        <v/>
      </c>
      <c r="R237" s="241" t="inlineStr">
        <is>
          <t>A Espada de Obsidiana Queimada</t>
        </is>
      </c>
      <c r="S237" s="241">
        <f>ROUND(INDEX('Curva Mestra'!$D$20:$D$94,MATCH(D237,'Curva Mestra'!$A$20:$A$94,0))-IF(C237="Comum",9,IF(C237="Elite",6,IF(C237="Boss",4,3))),0)</f>
        <v/>
      </c>
      <c r="T237" s="241" t="inlineStr">
        <is>
          <t>Presa de Fera Vitrea Ancestral + Ouro + Escama de Fera Vítrea (chance baixa)</t>
        </is>
      </c>
      <c r="U237" s="241" t="inlineStr">
        <is>
          <t>Vulnerável a Gelo/Água — queimadura recebida dura metade do tempo.</t>
        </is>
      </c>
      <c r="V237" s="242" t="inlineStr">
        <is>
          <t>DPS</t>
        </is>
      </c>
      <c r="W237" s="242" t="inlineStr">
        <is>
          <t>Fenda Vulcânica Ativa</t>
        </is>
      </c>
      <c r="X237" s="242" t="n"/>
      <c r="Y237" s="242" t="n"/>
      <c r="Z237" s="242" t="n"/>
      <c r="AA237" s="242" t="n"/>
    </row>
    <row r="238" ht="15" customHeight="1" s="116">
      <c r="A238" s="241" t="inlineStr">
        <is>
          <t>Vidro Vulcanico</t>
        </is>
      </c>
      <c r="B238" s="241" t="inlineStr">
        <is>
          <t>Guarda do Rei Vazio</t>
        </is>
      </c>
      <c r="C238" s="241" t="inlineStr">
        <is>
          <t>Elite</t>
        </is>
      </c>
      <c r="D238" s="241" t="n">
        <v>33</v>
      </c>
      <c r="E238" s="241">
        <f>ROUND(INDEX('Curva Mestra'!$G$20:$G$94,MATCH(D238,'Curva Mestra'!$A$20:$A$94,0)),0)</f>
        <v/>
      </c>
      <c r="F238" s="241">
        <f>ROUND(INDEX('Curva Mestra'!$C$20:$C$94,MATCH(D238,'Curva Mestra'!$A$20:$A$94,0))*INDEX($B$5:$B$8,MATCH(C238,$A$5:$A$8,0)),0)</f>
        <v/>
      </c>
      <c r="G238" s="241">
        <f>ROUND(INDEX('Curva Mestra'!$D$20:$D$94,MATCH(D238,'Curva Mestra'!$A$20:$A$94,0))+INDEX($C$5:$C$8,MATCH(C238,$A$5:$A$8,0)),0)</f>
        <v/>
      </c>
      <c r="H238" s="241" t="inlineStr">
        <is>
          <t>Protege o Templo da Coroação na fenda.</t>
        </is>
      </c>
      <c r="I238" s="241" t="inlineStr">
        <is>
          <t>Lâmina Incandescente</t>
        </is>
      </c>
      <c r="J238" s="241" t="inlineStr">
        <is>
          <t>Ignora Defesa + Queimadura.</t>
        </is>
      </c>
      <c r="K238" s="241" t="inlineStr">
        <is>
          <t>Escolhido pra proteger um trono que não tem ninguém sentado.</t>
        </is>
      </c>
      <c r="L238" s="241">
        <f>IF(C238="Comum",ROUND(E238*1.3,0),"—")</f>
        <v/>
      </c>
      <c r="M238" s="241">
        <f>IF(C238="Comum",ROUND(F238*1.15,0),"—")</f>
        <v/>
      </c>
      <c r="N238" s="241">
        <f>IF(C238="Comum",G238+2,"—")</f>
        <v/>
      </c>
      <c r="O238" s="241">
        <f>IF(C238="Comum",ROUND(E238*1.6,0),"—")</f>
        <v/>
      </c>
      <c r="P238" s="241">
        <f>IF(C238="Comum",ROUND(F238*1.3,0),"—")</f>
        <v/>
      </c>
      <c r="Q238" s="241">
        <f>IF(C238="Comum",G238+4,"—")</f>
        <v/>
      </c>
      <c r="R238" s="243" t="n"/>
      <c r="S238" s="241">
        <f>ROUND(3+0.6*D238+IF(C238="Comum",0,IF(C238="Elite",2,IF(C238="Boss",4,6))),0)</f>
        <v/>
      </c>
      <c r="T238" s="241" t="inlineStr">
        <is>
          <t>Ouro + Fragmento de Guarda do Rei Vazio + Escama de Fera Vítrea (chance baixa)</t>
        </is>
      </c>
      <c r="U238" s="241" t="inlineStr">
        <is>
          <t>Fragilidade</t>
        </is>
      </c>
      <c r="V238" s="161" t="inlineStr">
        <is>
          <t>Tanque/DPS</t>
        </is>
      </c>
      <c r="W238" s="161" t="inlineStr">
        <is>
          <t>Fenda Vulcânica Ativa — Templo da Coroação</t>
        </is>
      </c>
      <c r="X238" s="242" t="n"/>
      <c r="Y238" s="242" t="n"/>
      <c r="Z238" s="242" t="n"/>
      <c r="AA238" s="242" t="n"/>
    </row>
    <row r="239" ht="15" customHeight="1" s="116">
      <c r="A239" s="241" t="inlineStr">
        <is>
          <t>Vidro Vulcanico</t>
        </is>
      </c>
      <c r="B239" s="241" t="inlineStr">
        <is>
          <t>Arauto Menor da Coroação</t>
        </is>
      </c>
      <c r="C239" s="241" t="inlineStr">
        <is>
          <t>Elite</t>
        </is>
      </c>
      <c r="D239" s="241" t="n">
        <v>33</v>
      </c>
      <c r="E239" s="241">
        <f>ROUND(INDEX('Curva Mestra'!$G$20:$G$94,MATCH(D239,'Curva Mestra'!$A$20:$A$94,0)),0)</f>
        <v/>
      </c>
      <c r="F239" s="241">
        <f>ROUND(INDEX('Curva Mestra'!$C$20:$C$94,MATCH(D239,'Curva Mestra'!$A$20:$A$94,0))*INDEX($B$5:$B$8,MATCH(C239,$A$5:$A$8,0)),0)</f>
        <v/>
      </c>
      <c r="G239" s="241">
        <f>ROUND(INDEX('Curva Mestra'!$D$20:$D$94,MATCH(D239,'Curva Mestra'!$A$20:$A$94,0))+INDEX($C$5:$C$8,MATCH(C239,$A$5:$A$8,0)),0)</f>
        <v/>
      </c>
      <c r="H239" s="241" t="inlineStr">
        <is>
          <t>Prega no Templo da Coroação junto aos Zelotes.</t>
        </is>
      </c>
      <c r="I239" s="241" t="inlineStr">
        <is>
          <t>Decreto Fervoroso</t>
        </is>
      </c>
      <c r="J239" s="241" t="inlineStr">
        <is>
          <t>Cura 4 HP/turno em todos os Zelotes vivos no combate.</t>
        </is>
      </c>
      <c r="K239" s="241" t="inlineStr">
        <is>
          <t>Repete os decretos do Sumo Sacerdote pra quem ainda não ouviu.</t>
        </is>
      </c>
      <c r="L239" s="241">
        <f>IF(C239="Comum",ROUND(E239*1.3,0),"—")</f>
        <v/>
      </c>
      <c r="M239" s="241">
        <f>IF(C239="Comum",ROUND(F239*1.15,0),"—")</f>
        <v/>
      </c>
      <c r="N239" s="241">
        <f>IF(C239="Comum",G239+2,"—")</f>
        <v/>
      </c>
      <c r="O239" s="241">
        <f>IF(C239="Comum",ROUND(E239*1.6,0),"—")</f>
        <v/>
      </c>
      <c r="P239" s="241">
        <f>IF(C239="Comum",ROUND(F239*1.3,0),"—")</f>
        <v/>
      </c>
      <c r="Q239" s="241">
        <f>IF(C239="Comum",G239+4,"—")</f>
        <v/>
      </c>
      <c r="R239" s="243" t="n"/>
      <c r="S239" s="241">
        <f>ROUND(3+0.6*D239+IF(C239="Comum",0,IF(C239="Elite",2,IF(C239="Boss",4,6))),0)</f>
        <v/>
      </c>
      <c r="T239" s="241" t="inlineStr">
        <is>
          <t>Ouro + Fragmento de Arauto Menor da Coroação + Escama de Fera Vítrea (chance baixa)</t>
        </is>
      </c>
      <c r="U239" s="241" t="inlineStr">
        <is>
          <t>Ignora Resistência Mágica</t>
        </is>
      </c>
      <c r="V239" s="161" t="inlineStr">
        <is>
          <t>Suporte</t>
        </is>
      </c>
      <c r="W239" s="161" t="inlineStr">
        <is>
          <t>Fenda Vulcânica Ativa — Templo da Coroação</t>
        </is>
      </c>
      <c r="X239" s="242" t="n"/>
      <c r="Y239" s="242" t="n"/>
      <c r="Z239" s="242" t="n"/>
      <c r="AA239" s="242" t="n"/>
    </row>
    <row r="240" ht="15" customHeight="1" s="116">
      <c r="A240" s="241" t="inlineStr">
        <is>
          <t>Vidro Vulcanico</t>
        </is>
      </c>
      <c r="B240" s="241" t="inlineStr">
        <is>
          <t>Sumo Sacerdote da Coroação</t>
        </is>
      </c>
      <c r="C240" s="241" t="inlineStr">
        <is>
          <t>Elite</t>
        </is>
      </c>
      <c r="D240" s="241" t="n">
        <v>34</v>
      </c>
      <c r="E240" s="241">
        <f>ROUND(INDEX('Curva Mestra'!$G$20:$G$94,MATCH(D240,'Curva Mestra'!$A$20:$A$94,0)),0)</f>
        <v/>
      </c>
      <c r="F240" s="241">
        <f>ROUND(INDEX('Curva Mestra'!$C$20:$C$94,MATCH(D240,'Curva Mestra'!$A$20:$A$94,0))*INDEX($B$5:$B$8,MATCH(C240,$A$5:$A$8,0)),0)</f>
        <v/>
      </c>
      <c r="G240" s="241">
        <f>ROUND(INDEX('Curva Mestra'!$D$20:$D$94,MATCH(D240,'Curva Mestra'!$A$20:$A$94,0))+INDEX($C$5:$C$8,MATCH(C240,$A$5:$A$8,0)),0)</f>
        <v/>
      </c>
      <c r="H240" s="241" t="inlineStr">
        <is>
          <t>Sultanato da Rocha Incandescente, Zelotes da Mão Escarlate, região de Vidro Vulcanico.</t>
        </is>
      </c>
      <c r="I240" s="241" t="inlineStr">
        <is>
          <t>Decreto do Rei Vazio</t>
        </is>
      </c>
      <c r="J240" s="241" t="inlineStr">
        <is>
          <t>Ganha +2 de Ataque para cada aliado presente na batalha. Também aplica: Queimadura (2 dano/turno por 2 turnos) ao acertar.</t>
        </is>
      </c>
      <c r="K240" s="241" t="inlineStr">
        <is>
          <t>Conduz os rituais de coroação do monarca sem corpo — o Inquisidor Tobias jura que foi ele quem ordenou o sacrifício da família dele.</t>
        </is>
      </c>
      <c r="L240" s="241">
        <f>IF(C240="Comum",ROUND(E240*1.3,0),"—")</f>
        <v/>
      </c>
      <c r="M240" s="241">
        <f>IF(C240="Comum",ROUND(F240*1.15,0),"—")</f>
        <v/>
      </c>
      <c r="N240" s="241">
        <f>IF(C240="Comum",G240+2,"—")</f>
        <v/>
      </c>
      <c r="O240" s="241">
        <f>IF(C240="Comum",ROUND(E240*1.6,0),"—")</f>
        <v/>
      </c>
      <c r="P240" s="241">
        <f>IF(C240="Comum",ROUND(F240*1.3,0),"—")</f>
        <v/>
      </c>
      <c r="Q240" s="241">
        <f>IF(C240="Comum",G240+4,"—")</f>
        <v/>
      </c>
      <c r="R240" s="241" t="inlineStr">
        <is>
          <t>O Sacrifício de Tobias; O Sumo Sacerdote da Coroação</t>
        </is>
      </c>
      <c r="S240" s="241">
        <f>ROUND(INDEX('Curva Mestra'!$D$20:$D$94,MATCH(D240,'Curva Mestra'!$A$20:$A$94,0))-IF(C240="Comum",9,IF(C240="Elite",6,IF(C240="Boss",4,3))),0)</f>
        <v/>
      </c>
      <c r="T240" s="241" t="inlineStr">
        <is>
          <t>Relicário de Sumo Sacerdote da Coroação + Ouro + Escama de Fera Vítrea (chance baixa)</t>
        </is>
      </c>
      <c r="U240" s="241" t="inlineStr">
        <is>
          <t>Perde o bônus de grupo se isolado dos outros cultistas em combate.</t>
        </is>
      </c>
      <c r="V240" s="242" t="inlineStr">
        <is>
          <t>Suporte</t>
        </is>
      </c>
      <c r="W240" s="242" t="inlineStr">
        <is>
          <t>Fenda Vulcânica Ativa</t>
        </is>
      </c>
      <c r="X240" s="242" t="n"/>
      <c r="Y240" s="242" t="n"/>
      <c r="Z240" s="242" t="n"/>
      <c r="AA240" s="242" t="n"/>
    </row>
    <row r="241" ht="15" customHeight="1" s="116">
      <c r="A241" s="241" t="inlineStr">
        <is>
          <t>Vidro Vulcanico</t>
        </is>
      </c>
      <c r="B241" s="241" t="inlineStr">
        <is>
          <t>Zelote Superior da Coroação</t>
        </is>
      </c>
      <c r="C241" s="241" t="inlineStr">
        <is>
          <t>Elite</t>
        </is>
      </c>
      <c r="D241" s="241" t="n">
        <v>34</v>
      </c>
      <c r="E241" s="241">
        <f>ROUND(INDEX('Curva Mestra'!$G$20:$G$94,MATCH(D241,'Curva Mestra'!$A$20:$A$94,0)),0)</f>
        <v/>
      </c>
      <c r="F241" s="241">
        <f>ROUND(INDEX('Curva Mestra'!$C$20:$C$94,MATCH(D241,'Curva Mestra'!$A$20:$A$94,0))*INDEX($B$5:$B$8,MATCH(C241,$A$5:$A$8,0)),0)</f>
        <v/>
      </c>
      <c r="G241" s="241">
        <f>ROUND(INDEX('Curva Mestra'!$D$20:$D$94,MATCH(D241,'Curva Mestra'!$A$20:$A$94,0))+INDEX($C$5:$C$8,MATCH(C241,$A$5:$A$8,0)),0)</f>
        <v/>
      </c>
      <c r="H241" s="241" t="inlineStr">
        <is>
          <t>Sultanato da Rocha Incandescente, Zelotes da Mão Escarlate, região de Vidro Vulcanico.</t>
        </is>
      </c>
      <c r="I241" s="241" t="inlineStr">
        <is>
          <t>Chama do Fervor</t>
        </is>
      </c>
      <c r="J241" s="241" t="inlineStr">
        <is>
          <t>Cura 15 HP de um Zelote aliado por turno.</t>
        </is>
      </c>
      <c r="K241" s="241" t="inlineStr">
        <is>
          <t>Braço direito do Sumo Sacerdote — oferece provas contra o próprio líder em troca de fuga, se capturado vivo.</t>
        </is>
      </c>
      <c r="L241" s="241">
        <f>IF(C241="Comum",ROUND(E241*1.3,0),"—")</f>
        <v/>
      </c>
      <c r="M241" s="241">
        <f>IF(C241="Comum",ROUND(F241*1.15,0),"—")</f>
        <v/>
      </c>
      <c r="N241" s="241">
        <f>IF(C241="Comum",G241+2,"—")</f>
        <v/>
      </c>
      <c r="O241" s="241">
        <f>IF(C241="Comum",ROUND(E241*1.6,0),"—")</f>
        <v/>
      </c>
      <c r="P241" s="241">
        <f>IF(C241="Comum",ROUND(F241*1.3,0),"—")</f>
        <v/>
      </c>
      <c r="Q241" s="241">
        <f>IF(C241="Comum",G241+4,"—")</f>
        <v/>
      </c>
      <c r="R241" s="241" t="inlineStr">
        <is>
          <t>A Coroação sem Rei</t>
        </is>
      </c>
      <c r="S241" s="241">
        <f>ROUND(INDEX('Curva Mestra'!$D$20:$D$94,MATCH(D241,'Curva Mestra'!$A$20:$A$94,0))-IF(C241="Comum",9,IF(C241="Elite",6,IF(C241="Boss",4,3))),0)</f>
        <v/>
      </c>
      <c r="T241" s="241" t="inlineStr">
        <is>
          <t>Relicário de Zelote Superior da Coroação + Ouro + Escama de Fera Vítrea (chance baixa)</t>
        </is>
      </c>
      <c r="U241" s="241" t="inlineStr">
        <is>
          <t>Vulnerável a Gelo/Água — queimadura recebida dura metade do tempo.</t>
        </is>
      </c>
      <c r="V241" s="242" t="inlineStr">
        <is>
          <t>Suporte</t>
        </is>
      </c>
      <c r="W241" s="242" t="inlineStr">
        <is>
          <t>Fenda Vulcânica Ativa</t>
        </is>
      </c>
      <c r="X241" s="242" t="n"/>
      <c r="Y241" s="242" t="n"/>
      <c r="Z241" s="242" t="n"/>
      <c r="AA241" s="242" t="n"/>
    </row>
    <row r="242" ht="15" customHeight="1" s="116">
      <c r="A242" s="241" t="inlineStr">
        <is>
          <t>Vidro Vulcanico</t>
        </is>
      </c>
      <c r="B242" s="241" t="inlineStr">
        <is>
          <t>Irmão Kaelen, o Que Duvidou em Voz Alta</t>
        </is>
      </c>
      <c r="C242" s="241" t="inlineStr">
        <is>
          <t>Elite</t>
        </is>
      </c>
      <c r="D242" s="241" t="n">
        <v>34</v>
      </c>
      <c r="E242" s="241">
        <f>ROUND(INDEX('Curva Mestra'!$G$20:$G$94,MATCH(D242,'Curva Mestra'!$A$20:$A$94,0)),0)</f>
        <v/>
      </c>
      <c r="F242" s="241">
        <f>ROUND(INDEX('Curva Mestra'!$C$20:$C$94,MATCH(D242,'Curva Mestra'!$A$20:$A$94,0))*INDEX($B$5:$B$8,MATCH(C242,$A$5:$A$8,0)),0)</f>
        <v/>
      </c>
      <c r="G242" s="241">
        <f>ROUND(INDEX('Curva Mestra'!$D$20:$D$94,MATCH(D242,'Curva Mestra'!$A$20:$A$94,0))+INDEX($C$5:$C$8,MATCH(C242,$A$5:$A$8,0)),0)</f>
        <v/>
      </c>
      <c r="H242" s="241" t="inlineStr">
        <is>
          <t>Visto raramente no Templo da Coroação, sempre duvidando.</t>
        </is>
      </c>
      <c r="I242" s="241" t="inlineStr">
        <is>
          <t>Grito de Arrependimento</t>
        </is>
      </c>
      <c r="J242" s="241" t="inlineStr">
        <is>
          <t>Ignora Resistência Mágica + Queimadura.</t>
        </is>
      </c>
      <c r="K242" s="241" t="inlineStr">
        <is>
          <t>Foi Sumo Sacerdote antes de duvidar. A dúvida virou fúria, não fé de volta.</t>
        </is>
      </c>
      <c r="L242" s="241">
        <f>IF(C242="Comum",ROUND(E242*1.3,0),"—")</f>
        <v/>
      </c>
      <c r="M242" s="241">
        <f>IF(C242="Comum",ROUND(F242*1.15,0),"—")</f>
        <v/>
      </c>
      <c r="N242" s="241">
        <f>IF(C242="Comum",G242+2,"—")</f>
        <v/>
      </c>
      <c r="O242" s="241">
        <f>IF(C242="Comum",ROUND(E242*1.6,0),"—")</f>
        <v/>
      </c>
      <c r="P242" s="241">
        <f>IF(C242="Comum",ROUND(F242*1.3,0),"—")</f>
        <v/>
      </c>
      <c r="Q242" s="241">
        <f>IF(C242="Comum",G242+4,"—")</f>
        <v/>
      </c>
      <c r="R242" s="243" t="n"/>
      <c r="S242" s="241">
        <f>ROUND(3+0.6*D242+IF(C242="Comum",0,IF(C242="Elite",2,IF(C242="Boss",4,6))),0)</f>
        <v/>
      </c>
      <c r="T242" s="241" t="inlineStr">
        <is>
          <t>Ouro + Fragmento de Irmão Kaelen + Escama de Fera Vítrea (chance baixa)</t>
        </is>
      </c>
      <c r="U242" s="241" t="inlineStr">
        <is>
          <t>Lentidão</t>
        </is>
      </c>
      <c r="V242" s="161" t="inlineStr">
        <is>
          <t>Nomeado / Mini-Boss</t>
        </is>
      </c>
      <c r="W242" s="161" t="inlineStr">
        <is>
          <t>Fenda Vulcânica Ativa — Templo da Coroação, spawn raro (4%)</t>
        </is>
      </c>
      <c r="X242" s="161" t="inlineStr">
        <is>
          <t>A 30% de HP, para de atacar e pede ajuda pra "acabar com isso" — poupar (matando-o em paz) dá Título; recusar e ele continua lutando até o fim, dropando Loot Único.</t>
        </is>
      </c>
      <c r="Y242" s="242" t="n"/>
      <c r="Z242" s="161" t="inlineStr">
        <is>
          <t>O Conselho dos Mestres de Forja o teria acolhido de volta, se soubesse que ele ainda duvida.</t>
        </is>
      </c>
      <c r="AA242" s="161" t="inlineStr">
        <is>
          <t>Cinzas do Último Sermão (se ele lutar até o fim) [ver Artefatos e Relíquias]</t>
        </is>
      </c>
    </row>
    <row r="243" ht="15" customHeight="1" s="116">
      <c r="A243" s="241" t="inlineStr">
        <is>
          <t>Vidro Vulcanico</t>
        </is>
      </c>
      <c r="B243" s="241" t="inlineStr">
        <is>
          <t>Guardiao da Fenda Ativa</t>
        </is>
      </c>
      <c r="C243" s="241" t="inlineStr">
        <is>
          <t>Boss</t>
        </is>
      </c>
      <c r="D243" s="241" t="n">
        <v>35</v>
      </c>
      <c r="E243" s="241">
        <f>ROUND(INDEX('Curva Mestra'!$H$20:$H$94,MATCH(D243,'Curva Mestra'!$A$20:$A$94,0)),0)</f>
        <v/>
      </c>
      <c r="F243" s="241">
        <f>ROUND(INDEX('Curva Mestra'!$C$20:$C$94,MATCH(D243,'Curva Mestra'!$A$20:$A$94,0))*INDEX($B$5:$B$8,MATCH(C243,$A$5:$A$8,0)),0)</f>
        <v/>
      </c>
      <c r="G243" s="241">
        <f>ROUND(INDEX('Curva Mestra'!$D$20:$D$94,MATCH(D243,'Curva Mestra'!$A$20:$A$94,0))+INDEX($C$5:$C$8,MATCH(C243,$A$5:$A$8,0)),0)</f>
        <v/>
      </c>
      <c r="H243" s="241" t="inlineStr">
        <is>
          <t>Chefe / marco final do tier Vidro Vulcanico</t>
        </is>
      </c>
      <c r="I243" s="241" t="inlineStr">
        <is>
          <t>Erupção Guardiã</t>
        </is>
      </c>
      <c r="J243" s="241" t="inlineStr">
        <is>
          <t>Reduz a Durabilidade do equipamento do alvo 2x mais rápido enquanto durar o combate.</t>
        </is>
      </c>
      <c r="K243" s="241" t="inlineStr">
        <is>
          <t>Guarda "A Espada de Obsidiana Queimada", forjada no exato segundo em que ele despertou dentro da rocha derretida.</t>
        </is>
      </c>
      <c r="L243" s="241">
        <f>IF(C243="Comum",ROUND(E243*1.3,0),"—")</f>
        <v/>
      </c>
      <c r="M243" s="241">
        <f>IF(C243="Comum",ROUND(F243*1.15,0),"—")</f>
        <v/>
      </c>
      <c r="N243" s="241">
        <f>IF(C243="Comum",G243+2,"—")</f>
        <v/>
      </c>
      <c r="O243" s="241">
        <f>IF(C243="Comum",ROUND(E243*1.6,0),"—")</f>
        <v/>
      </c>
      <c r="P243" s="241">
        <f>IF(C243="Comum",ROUND(F243*1.3,0),"—")</f>
        <v/>
      </c>
      <c r="Q243" s="241">
        <f>IF(C243="Comum",G243+4,"—")</f>
        <v/>
      </c>
      <c r="R243" s="241" t="inlineStr">
        <is>
          <t>A Espada de Obsidiana Queimada</t>
        </is>
      </c>
      <c r="S243" s="241">
        <f>ROUND(INDEX('Curva Mestra'!$D$20:$D$94,MATCH(D243,'Curva Mestra'!$A$20:$A$94,0))-IF(C243="Comum",9,IF(C243="Elite",6,IF(C243="Boss",4,3))),0)</f>
        <v/>
      </c>
      <c r="T243" s="241" t="inlineStr">
        <is>
          <t>Núcleo de Guardiao da Fenda Ativa + Essência de Guardiao da Fenda Ativa + Ouro + Escama de Fera Vítrea (chance baixa)</t>
        </is>
      </c>
      <c r="U243" s="241" t="inlineStr">
        <is>
          <t>Vulnerável a impacto contundente (Maça/Machado) — racha com facilidade.</t>
        </is>
      </c>
      <c r="V243" s="242" t="inlineStr">
        <is>
          <t>DPS</t>
        </is>
      </c>
      <c r="W243" s="242" t="inlineStr">
        <is>
          <t>Fenda Vulcânica Ativa</t>
        </is>
      </c>
      <c r="X243" s="242" t="n"/>
      <c r="Y243" s="242" t="n"/>
      <c r="Z243" s="242" t="n"/>
      <c r="AA243" s="242" t="inlineStr">
        <is>
          <t>A Espada de Obsidiana Queimada</t>
        </is>
      </c>
    </row>
    <row r="244" ht="15" customHeight="1" s="116">
      <c r="A244" s="241" t="inlineStr">
        <is>
          <t>Vidro Vulcanico</t>
        </is>
      </c>
      <c r="B244" s="241" t="inlineStr">
        <is>
          <t>O Arauto da Coroação Vazia</t>
        </is>
      </c>
      <c r="C244" s="241" t="inlineStr">
        <is>
          <t>Boss</t>
        </is>
      </c>
      <c r="D244" s="241" t="n">
        <v>35</v>
      </c>
      <c r="E244" s="241">
        <f>ROUND(INDEX('Curva Mestra'!$H$20:$H$94,MATCH(D244,'Curva Mestra'!$A$20:$A$94,0)),0)</f>
        <v/>
      </c>
      <c r="F244" s="241">
        <f>ROUND(INDEX('Curva Mestra'!$C$20:$C$94,MATCH(D244,'Curva Mestra'!$A$20:$A$94,0))*INDEX($B$5:$B$8,MATCH(C244,$A$5:$A$8,0)),0)</f>
        <v/>
      </c>
      <c r="G244" s="241">
        <f>ROUND(INDEX('Curva Mestra'!$D$20:$D$94,MATCH(D244,'Curva Mestra'!$A$20:$A$94,0))+INDEX($C$5:$C$8,MATCH(C244,$A$5:$A$8,0)),0)</f>
        <v/>
      </c>
      <c r="H244" s="241" t="inlineStr">
        <is>
          <t>Sultanato da Rocha Incandescente, Zelotes da Mão Escarlate, região de Vidro Vulcanico.</t>
        </is>
      </c>
      <c r="I244" s="241" t="inlineStr">
        <is>
          <t>Voz do Rei Sem Corpo</t>
        </is>
      </c>
      <c r="J244" s="241" t="inlineStr">
        <is>
          <t>No início do combate, concede +1 de Ataque a todos os Zelotes vivos na batalha. Também aplica: Queimadura (2 dano/turno por 2 turnos) ao acertar.</t>
        </is>
      </c>
      <c r="K244" s="241" t="inlineStr">
        <is>
          <t>Diz falar pelo "Rei sem corpo" — ninguém sabe se ele acredita nisso ou só usa a fé alheia como arma. É o primeiro sinal real do que está por vir no Ato III.</t>
        </is>
      </c>
      <c r="L244" s="241">
        <f>IF(C244="Comum",ROUND(E244*1.3,0),"—")</f>
        <v/>
      </c>
      <c r="M244" s="241">
        <f>IF(C244="Comum",ROUND(F244*1.15,0),"—")</f>
        <v/>
      </c>
      <c r="N244" s="241">
        <f>IF(C244="Comum",G244+2,"—")</f>
        <v/>
      </c>
      <c r="O244" s="241">
        <f>IF(C244="Comum",ROUND(E244*1.6,0),"—")</f>
        <v/>
      </c>
      <c r="P244" s="241">
        <f>IF(C244="Comum",ROUND(F244*1.3,0),"—")</f>
        <v/>
      </c>
      <c r="Q244" s="241">
        <f>IF(C244="Comum",G244+4,"—")</f>
        <v/>
      </c>
      <c r="R244" s="241" t="inlineStr">
        <is>
          <t>O Arauto da Coroação Vazia</t>
        </is>
      </c>
      <c r="S244" s="241">
        <f>ROUND(INDEX('Curva Mestra'!$D$20:$D$94,MATCH(D244,'Curva Mestra'!$A$20:$A$94,0))-IF(C244="Comum",9,IF(C244="Elite",6,IF(C244="Boss",4,3))),0)</f>
        <v/>
      </c>
      <c r="T244" s="241" t="inlineStr">
        <is>
          <t>Relicário de O Arauto da Coroação Vazia + Essência de O Arauto da Coroação Vazia + Ouro + Escama de Fera Vítrea (chance baixa)</t>
        </is>
      </c>
      <c r="U244" s="241" t="inlineStr">
        <is>
          <t>Perde o bônus de grupo se isolado dos outros cultistas em combate.</t>
        </is>
      </c>
      <c r="V244" s="242" t="inlineStr">
        <is>
          <t>DPS</t>
        </is>
      </c>
      <c r="W244" s="242" t="inlineStr">
        <is>
          <t>Fenda Vulcânica Ativa</t>
        </is>
      </c>
      <c r="X244" s="242" t="n"/>
      <c r="Y244" s="242" t="n"/>
      <c r="Z244" s="242" t="n"/>
      <c r="AA244" s="242" t="inlineStr">
        <is>
          <t>Rei sem corpo</t>
        </is>
      </c>
    </row>
    <row r="245" ht="15" customHeight="1" s="116">
      <c r="A245" s="241" t="inlineStr">
        <is>
          <t>Ferro Orquico</t>
        </is>
      </c>
      <c r="B245" s="241" t="inlineStr">
        <is>
          <t>Batedor Ferido em Fuga</t>
        </is>
      </c>
      <c r="C245" s="241" t="inlineStr">
        <is>
          <t>Comum</t>
        </is>
      </c>
      <c r="D245" s="241" t="n">
        <v>34</v>
      </c>
      <c r="E245" s="241">
        <f>ROUND(INDEX('Curva Mestra'!$F$20:$F$94,MATCH(D245,'Curva Mestra'!$A$20:$A$94,0)),0)</f>
        <v/>
      </c>
      <c r="F245" s="241">
        <f>ROUND(INDEX('Curva Mestra'!$C$20:$C$94,MATCH(D245,'Curva Mestra'!$A$20:$A$94,0))*INDEX($B$5:$B$8,MATCH(C245,$A$5:$A$8,0)),0)</f>
        <v/>
      </c>
      <c r="G245" s="241">
        <f>ROUND(INDEX('Curva Mestra'!$D$20:$D$94,MATCH(D245,'Curva Mestra'!$A$20:$A$94,0))+INDEX($C$5:$C$8,MATCH(C245,$A$5:$A$8,0)),0)</f>
        <v/>
      </c>
      <c r="H245" s="241" t="inlineStr">
        <is>
          <t>Batedor que viu demais e só quer escapar vivo.</t>
        </is>
      </c>
      <c r="I245" s="241" t="inlineStr">
        <is>
          <t>(não ataca)</t>
        </is>
      </c>
      <c r="J245" s="241" t="inlineStr">
        <is>
          <t>Não-hostil: se poupado, revela a posição do próximo acampamento orc.</t>
        </is>
      </c>
      <c r="K245" s="241" t="inlineStr">
        <is>
          <t>Único sobrevivente de uma emboscada que deu errado. Só quer fugir.</t>
        </is>
      </c>
      <c r="L245" s="241">
        <f>IF(C245="Comum",ROUND(E245*1.3,0),"—")</f>
        <v/>
      </c>
      <c r="M245" s="241">
        <f>IF(C245="Comum",ROUND(F245*1.15,0),"—")</f>
        <v/>
      </c>
      <c r="N245" s="241">
        <f>IF(C245="Comum",G245+2,"—")</f>
        <v/>
      </c>
      <c r="O245" s="241">
        <f>IF(C245="Comum",ROUND(E245*1.6,0),"—")</f>
        <v/>
      </c>
      <c r="P245" s="241">
        <f>IF(C245="Comum",ROUND(F245*1.3,0),"—")</f>
        <v/>
      </c>
      <c r="Q245" s="241">
        <f>IF(C245="Comum",G245+4,"—")</f>
        <v/>
      </c>
      <c r="R245" s="243" t="n"/>
      <c r="S245" s="241">
        <f>ROUND(3+0.6*D245+IF(C245="Comum",0,IF(C245="Elite",2,IF(C245="Boss",4,6))),0)</f>
        <v/>
      </c>
      <c r="T245" s="241" t="inlineStr">
        <is>
          <t>Ouro + Mapa Rasgado do Batedor</t>
        </is>
      </c>
      <c r="U245" s="241" t="inlineStr">
        <is>
          <t>Sem fraqueza óbvia — precisa de Knowledge alto pra descobrir algo específico.</t>
        </is>
      </c>
      <c r="V245" s="161" t="inlineStr">
        <is>
          <t>Não-hostil</t>
        </is>
      </c>
      <c r="W245" s="161" t="inlineStr">
        <is>
          <t>Trilha de Caça do Bando</t>
        </is>
      </c>
      <c r="X245" s="242" t="n"/>
      <c r="Y245" s="161" t="inlineStr">
        <is>
          <t>Revela um Local Secreto se poupado.</t>
        </is>
      </c>
      <c r="Z245" s="242" t="n"/>
      <c r="AA245" s="242" t="n"/>
    </row>
    <row r="246" ht="15" customHeight="1" s="116">
      <c r="A246" s="241" t="inlineStr">
        <is>
          <t>Ferro Orquico</t>
        </is>
      </c>
      <c r="B246" s="241" t="inlineStr">
        <is>
          <t>Lobo Ferido Solitário</t>
        </is>
      </c>
      <c r="C246" s="241" t="inlineStr">
        <is>
          <t>Comum</t>
        </is>
      </c>
      <c r="D246" s="241" t="n">
        <v>34</v>
      </c>
      <c r="E246" s="241">
        <f>ROUND(INDEX('Curva Mestra'!$F$20:$F$94,MATCH(D246,'Curva Mestra'!$A$20:$A$94,0)),0)</f>
        <v/>
      </c>
      <c r="F246" s="241">
        <f>ROUND(INDEX('Curva Mestra'!$C$20:$C$94,MATCH(D246,'Curva Mestra'!$A$20:$A$94,0))*INDEX($B$5:$B$8,MATCH(C246,$A$5:$A$8,0)),0)</f>
        <v/>
      </c>
      <c r="G246" s="241">
        <f>ROUND(INDEX('Curva Mestra'!$D$20:$D$94,MATCH(D246,'Curva Mestra'!$A$20:$A$94,0))+INDEX($C$5:$C$8,MATCH(C246,$A$5:$A$8,0)),0)</f>
        <v/>
      </c>
      <c r="H246" s="241" t="inlineStr">
        <is>
          <t>Lobo separado do resto da matilha de guerra.</t>
        </is>
      </c>
      <c r="I246" s="241" t="inlineStr">
        <is>
          <t>Mordida Fraca</t>
        </is>
      </c>
      <c r="J246" s="241" t="inlineStr">
        <is>
          <t>Nenhum efeito adicional — mais fraco, separado da matilha.</t>
        </is>
      </c>
      <c r="K246" s="241" t="inlineStr">
        <is>
          <t>Perdeu a matilha numa caçada. Ataca por desespero, não por força.</t>
        </is>
      </c>
      <c r="L246" s="241">
        <f>IF(C246="Comum",ROUND(E246*1.3,0),"—")</f>
        <v/>
      </c>
      <c r="M246" s="241">
        <f>IF(C246="Comum",ROUND(F246*1.15,0),"—")</f>
        <v/>
      </c>
      <c r="N246" s="241">
        <f>IF(C246="Comum",G246+2,"—")</f>
        <v/>
      </c>
      <c r="O246" s="241">
        <f>IF(C246="Comum",ROUND(E246*1.6,0),"—")</f>
        <v/>
      </c>
      <c r="P246" s="241">
        <f>IF(C246="Comum",ROUND(F246*1.3,0),"—")</f>
        <v/>
      </c>
      <c r="Q246" s="241">
        <f>IF(C246="Comum",G246+4,"—")</f>
        <v/>
      </c>
      <c r="R246" s="243" t="n"/>
      <c r="S246" s="241">
        <f>ROUND(3+0.6*D246+IF(C246="Comum",0,IF(C246="Elite",2,IF(C246="Boss",4,6))),0)</f>
        <v/>
      </c>
      <c r="T246" s="241" t="inlineStr">
        <is>
          <t>Ouro + Pelagem Ferida de Lobo Solitário</t>
        </is>
      </c>
      <c r="U246" s="241" t="inlineStr">
        <is>
          <t>Queimadura</t>
        </is>
      </c>
      <c r="V246" s="161" t="inlineStr">
        <is>
          <t>DPS fraco</t>
        </is>
      </c>
      <c r="W246" s="161" t="inlineStr">
        <is>
          <t>Trilha de Caça do Bando</t>
        </is>
      </c>
      <c r="X246" s="242" t="n"/>
      <c r="Y246" s="242" t="n"/>
      <c r="Z246" s="242" t="n"/>
      <c r="AA246" s="242" t="n"/>
    </row>
    <row r="247" ht="15" customHeight="1" s="116">
      <c r="A247" s="241" t="inlineStr">
        <is>
          <t>Ferro Orquico</t>
        </is>
      </c>
      <c r="B247" s="241" t="inlineStr">
        <is>
          <t>Orc Ferido</t>
        </is>
      </c>
      <c r="C247" s="241" t="inlineStr">
        <is>
          <t>Comum</t>
        </is>
      </c>
      <c r="D247" s="241" t="n">
        <v>35</v>
      </c>
      <c r="E247" s="241">
        <f>ROUND(INDEX('Curva Mestra'!$F$20:$F$94,MATCH(D247,'Curva Mestra'!$A$20:$A$94,0)),0)</f>
        <v/>
      </c>
      <c r="F247" s="241">
        <f>ROUND(INDEX('Curva Mestra'!$C$20:$C$94,MATCH(D247,'Curva Mestra'!$A$20:$A$94,0))*INDEX($B$5:$B$8,MATCH(C247,$A$5:$A$8,0)),0)</f>
        <v/>
      </c>
      <c r="G247" s="241">
        <f>ROUND(INDEX('Curva Mestra'!$D$20:$D$94,MATCH(D247,'Curva Mestra'!$A$20:$A$94,0))+INDEX($C$5:$C$8,MATCH(C247,$A$5:$A$8,0)),0)</f>
        <v/>
      </c>
      <c r="H247" s="241" t="inlineStr">
        <is>
          <t>Sobra de uma emboscada anterior, ainda de pé.</t>
        </is>
      </c>
      <c r="I247" s="241" t="inlineStr">
        <is>
          <t>Golpe Desesperado</t>
        </is>
      </c>
      <c r="J247" s="241" t="inlineStr">
        <is>
          <t>+15% de chance de acerto abaixo de 50% HP.</t>
        </is>
      </c>
      <c r="K247" s="241" t="inlineStr">
        <is>
          <t>Já foi atingido antes de te encontrar — luta como quem não tem mais o que perder.</t>
        </is>
      </c>
      <c r="L247" s="241">
        <f>IF(C247="Comum",ROUND(E247*1.3,0),"—")</f>
        <v/>
      </c>
      <c r="M247" s="241">
        <f>IF(C247="Comum",ROUND(F247*1.15,0),"—")</f>
        <v/>
      </c>
      <c r="N247" s="241">
        <f>IF(C247="Comum",G247+2,"—")</f>
        <v/>
      </c>
      <c r="O247" s="241">
        <f>IF(C247="Comum",ROUND(E247*1.6,0),"—")</f>
        <v/>
      </c>
      <c r="P247" s="241">
        <f>IF(C247="Comum",ROUND(F247*1.3,0),"—")</f>
        <v/>
      </c>
      <c r="Q247" s="241">
        <f>IF(C247="Comum",G247+4,"—")</f>
        <v/>
      </c>
      <c r="R247" s="243" t="n"/>
      <c r="S247" s="241">
        <f>ROUND(3+0.6*D247+IF(C247="Comum",0,IF(C247="Elite",2,IF(C247="Boss",4,6))),0)</f>
        <v/>
      </c>
      <c r="T247" s="241" t="inlineStr">
        <is>
          <t>Ouro + Cicatriz Fresca de Orc Ferido</t>
        </is>
      </c>
      <c r="U247" s="241" t="inlineStr">
        <is>
          <t>Atordoamento</t>
        </is>
      </c>
      <c r="V247" s="161" t="inlineStr">
        <is>
          <t>DPS fraco</t>
        </is>
      </c>
      <c r="W247" s="161" t="inlineStr">
        <is>
          <t>Acampamento de Guerra Orc</t>
        </is>
      </c>
      <c r="X247" s="242" t="n"/>
      <c r="Y247" s="242" t="n"/>
      <c r="Z247" s="242" t="n"/>
      <c r="AA247" s="242" t="n"/>
    </row>
    <row r="248" ht="15" customHeight="1" s="116">
      <c r="A248" s="241" t="inlineStr">
        <is>
          <t>Ferro Orquico</t>
        </is>
      </c>
      <c r="B248" s="241" t="inlineStr">
        <is>
          <t>Orc Recruta Hesitante</t>
        </is>
      </c>
      <c r="C248" s="241" t="inlineStr">
        <is>
          <t>Comum</t>
        </is>
      </c>
      <c r="D248" s="241" t="n">
        <v>35</v>
      </c>
      <c r="E248" s="241">
        <f>ROUND(INDEX('Curva Mestra'!$F$20:$F$94,MATCH(D248,'Curva Mestra'!$A$20:$A$94,0)),0)</f>
        <v/>
      </c>
      <c r="F248" s="241">
        <f>ROUND(INDEX('Curva Mestra'!$C$20:$C$94,MATCH(D248,'Curva Mestra'!$A$20:$A$94,0))*INDEX($B$5:$B$8,MATCH(C248,$A$5:$A$8,0)),0)</f>
        <v/>
      </c>
      <c r="G248" s="241">
        <f>ROUND(INDEX('Curva Mestra'!$D$20:$D$94,MATCH(D248,'Curva Mestra'!$A$20:$A$94,0))+INDEX($C$5:$C$8,MATCH(C248,$A$5:$A$8,0)),0)</f>
        <v/>
      </c>
      <c r="H248" s="241" t="inlineStr">
        <is>
          <t>Recruta forçado, não escolheu estar aqui.</t>
        </is>
      </c>
      <c r="I248" s="241" t="inlineStr">
        <is>
          <t>Golpe Trêmulo</t>
        </is>
      </c>
      <c r="J248" s="241" t="inlineStr">
        <is>
          <t>Nenhum — 20% de chance de recusar lutar se abordado sem hostilidade.</t>
        </is>
      </c>
      <c r="K248" s="241" t="inlineStr">
        <is>
          <t>Foi arrastado pro bando semana passada. Ainda não decidiu se aceita a guerra.</t>
        </is>
      </c>
      <c r="L248" s="241">
        <f>IF(C248="Comum",ROUND(E248*1.3,0),"—")</f>
        <v/>
      </c>
      <c r="M248" s="241">
        <f>IF(C248="Comum",ROUND(F248*1.15,0),"—")</f>
        <v/>
      </c>
      <c r="N248" s="241">
        <f>IF(C248="Comum",G248+2,"—")</f>
        <v/>
      </c>
      <c r="O248" s="241">
        <f>IF(C248="Comum",ROUND(E248*1.6,0),"—")</f>
        <v/>
      </c>
      <c r="P248" s="241">
        <f>IF(C248="Comum",ROUND(F248*1.3,0),"—")</f>
        <v/>
      </c>
      <c r="Q248" s="241">
        <f>IF(C248="Comum",G248+4,"—")</f>
        <v/>
      </c>
      <c r="R248" s="243" t="n"/>
      <c r="S248" s="241">
        <f>ROUND(3+0.6*D248+IF(C248="Comum",0,IF(C248="Elite",2,IF(C248="Boss",4,6))),0)</f>
        <v/>
      </c>
      <c r="T248" s="241" t="inlineStr">
        <is>
          <t>Ouro + Corda de Recrutamento Forçado</t>
        </is>
      </c>
      <c r="U248" s="241" t="inlineStr">
        <is>
          <t>Atordoamento</t>
        </is>
      </c>
      <c r="V248" s="161" t="inlineStr">
        <is>
          <t>Não-hostil condicional</t>
        </is>
      </c>
      <c r="W248" s="161" t="inlineStr">
        <is>
          <t>Acampamento de Guerra Orc</t>
        </is>
      </c>
      <c r="X248" s="242" t="n"/>
      <c r="Y248" s="161" t="inlineStr">
        <is>
          <t>Se abordado em paz, pode desertar (quest).</t>
        </is>
      </c>
      <c r="Z248" s="161" t="inlineStr">
        <is>
          <t>A Milícia dos Desamparados aceita desertores orcs.</t>
        </is>
      </c>
      <c r="AA248" s="242" t="n"/>
    </row>
    <row r="249" ht="15" customHeight="1" s="116">
      <c r="A249" s="241" t="inlineStr">
        <is>
          <t>Ferro Orquico</t>
        </is>
      </c>
      <c r="B249" s="241" t="inlineStr">
        <is>
          <t>Filhote de Lobo de Guerra</t>
        </is>
      </c>
      <c r="C249" s="241" t="inlineStr">
        <is>
          <t>Comum</t>
        </is>
      </c>
      <c r="D249" s="241" t="n">
        <v>35</v>
      </c>
      <c r="E249" s="241">
        <f>ROUND(INDEX('Curva Mestra'!$F$20:$F$94,MATCH(D249,'Curva Mestra'!$A$20:$A$94,0)),0)</f>
        <v/>
      </c>
      <c r="F249" s="241">
        <f>ROUND(INDEX('Curva Mestra'!$C$20:$C$94,MATCH(D249,'Curva Mestra'!$A$20:$A$94,0))*INDEX($B$5:$B$8,MATCH(C249,$A$5:$A$8,0)),0)</f>
        <v/>
      </c>
      <c r="G249" s="241">
        <f>ROUND(INDEX('Curva Mestra'!$D$20:$D$94,MATCH(D249,'Curva Mestra'!$A$20:$A$94,0))+INDEX($C$5:$C$8,MATCH(C249,$A$5:$A$8,0)),0)</f>
        <v/>
      </c>
      <c r="H249" s="241" t="inlineStr">
        <is>
          <t>Cria dos lobos que caçam com o bando.</t>
        </is>
      </c>
      <c r="I249" s="241" t="inlineStr">
        <is>
          <t>Mordidinha</t>
        </is>
      </c>
      <c r="J249" s="241" t="inlineStr">
        <is>
          <t>Nenhum — sempre em grupo de 2-3.</t>
        </is>
      </c>
      <c r="K249" s="241" t="inlineStr">
        <is>
          <t>Ninhada nova dos Lobos de Guerra Corrompidos.</t>
        </is>
      </c>
      <c r="L249" s="241">
        <f>IF(C249="Comum",ROUND(E249*1.3,0),"—")</f>
        <v/>
      </c>
      <c r="M249" s="241">
        <f>IF(C249="Comum",ROUND(F249*1.15,0),"—")</f>
        <v/>
      </c>
      <c r="N249" s="241">
        <f>IF(C249="Comum",G249+2,"—")</f>
        <v/>
      </c>
      <c r="O249" s="241">
        <f>IF(C249="Comum",ROUND(E249*1.6,0),"—")</f>
        <v/>
      </c>
      <c r="P249" s="241">
        <f>IF(C249="Comum",ROUND(F249*1.3,0),"—")</f>
        <v/>
      </c>
      <c r="Q249" s="241">
        <f>IF(C249="Comum",G249+4,"—")</f>
        <v/>
      </c>
      <c r="R249" s="243" t="n"/>
      <c r="S249" s="241">
        <f>ROUND(3+0.6*D249+IF(C249="Comum",0,IF(C249="Elite",2,IF(C249="Boss",4,6))),0)</f>
        <v/>
      </c>
      <c r="T249" s="241" t="inlineStr">
        <is>
          <t>Ouro + Presa de Filhote de Guerra</t>
        </is>
      </c>
      <c r="U249" s="241" t="inlineStr">
        <is>
          <t>Queimadura</t>
        </is>
      </c>
      <c r="V249" s="161" t="inlineStr">
        <is>
          <t>Enxame</t>
        </is>
      </c>
      <c r="W249" s="161" t="inlineStr">
        <is>
          <t>Trilha de Caça do Bando</t>
        </is>
      </c>
      <c r="X249" s="242" t="n"/>
      <c r="Y249" s="161" t="inlineStr">
        <is>
          <t>Chamam o Lobo Alfa se todos morrerem (8%).</t>
        </is>
      </c>
      <c r="Z249" s="242" t="n"/>
      <c r="AA249" s="242" t="n"/>
    </row>
    <row r="250" ht="15" customHeight="1" s="116">
      <c r="A250" s="241" t="inlineStr">
        <is>
          <t>Ferro Orquico</t>
        </is>
      </c>
      <c r="B250" s="241" t="inlineStr">
        <is>
          <t>Urubu do Campo de Batalha</t>
        </is>
      </c>
      <c r="C250" s="241" t="inlineStr">
        <is>
          <t>Comum</t>
        </is>
      </c>
      <c r="D250" s="241" t="n">
        <v>35</v>
      </c>
      <c r="E250" s="241">
        <f>ROUND(INDEX('Curva Mestra'!$F$20:$F$94,MATCH(D250,'Curva Mestra'!$A$20:$A$94,0)),0)</f>
        <v/>
      </c>
      <c r="F250" s="241">
        <f>ROUND(INDEX('Curva Mestra'!$C$20:$C$94,MATCH(D250,'Curva Mestra'!$A$20:$A$94,0))*INDEX($B$5:$B$8,MATCH(C250,$A$5:$A$8,0)),0)</f>
        <v/>
      </c>
      <c r="G250" s="241">
        <f>ROUND(INDEX('Curva Mestra'!$D$20:$D$94,MATCH(D250,'Curva Mestra'!$A$20:$A$94,0))+INDEX($C$5:$C$8,MATCH(C250,$A$5:$A$8,0)),0)</f>
        <v/>
      </c>
      <c r="H250" s="241" t="inlineStr">
        <is>
          <t>Ave que aprendeu a esperar pela guerra terminar.</t>
        </is>
      </c>
      <c r="I250" s="241" t="inlineStr">
        <is>
          <t>Bicada Profunda</t>
        </is>
      </c>
      <c r="J250" s="241" t="inlineStr">
        <is>
          <t>Cura 5 HP se houver cadáver no local.</t>
        </is>
      </c>
      <c r="K250" s="241" t="inlineStr">
        <is>
          <t>Come o que sobra de cada confronto do bando.</t>
        </is>
      </c>
      <c r="L250" s="241">
        <f>IF(C250="Comum",ROUND(E250*1.3,0),"—")</f>
        <v/>
      </c>
      <c r="M250" s="241">
        <f>IF(C250="Comum",ROUND(F250*1.15,0),"—")</f>
        <v/>
      </c>
      <c r="N250" s="241">
        <f>IF(C250="Comum",G250+2,"—")</f>
        <v/>
      </c>
      <c r="O250" s="241">
        <f>IF(C250="Comum",ROUND(E250*1.6,0),"—")</f>
        <v/>
      </c>
      <c r="P250" s="241">
        <f>IF(C250="Comum",ROUND(F250*1.3,0),"—")</f>
        <v/>
      </c>
      <c r="Q250" s="241">
        <f>IF(C250="Comum",G250+4,"—")</f>
        <v/>
      </c>
      <c r="R250" s="243" t="n"/>
      <c r="S250" s="241">
        <f>ROUND(3+0.6*D250+IF(C250="Comum",0,IF(C250="Elite",2,IF(C250="Boss",4,6))),0)</f>
        <v/>
      </c>
      <c r="T250" s="241" t="inlineStr">
        <is>
          <t>Ouro + Pena do Urubu de Batalha</t>
        </is>
      </c>
      <c r="U250" s="241" t="inlineStr">
        <is>
          <t>Atordoamento</t>
        </is>
      </c>
      <c r="V250" s="161" t="inlineStr">
        <is>
          <t>Necrófago</t>
        </is>
      </c>
      <c r="W250" s="161" t="inlineStr">
        <is>
          <t>Acampamento de Guerra Orc, após combate vencido</t>
        </is>
      </c>
      <c r="X250" s="242" t="n"/>
      <c r="Y250" s="242" t="n"/>
      <c r="Z250" s="242" t="n"/>
      <c r="AA250" s="242" t="n"/>
    </row>
    <row r="251" ht="15" customHeight="1" s="116">
      <c r="A251" s="241" t="inlineStr">
        <is>
          <t>Ferro Orquico</t>
        </is>
      </c>
      <c r="B251" s="241" t="inlineStr">
        <is>
          <t>Orc Recruta Ferido</t>
        </is>
      </c>
      <c r="C251" s="241" t="inlineStr">
        <is>
          <t>Comum</t>
        </is>
      </c>
      <c r="D251" s="241" t="n">
        <v>35</v>
      </c>
      <c r="E251" s="241">
        <f>ROUND(INDEX('Curva Mestra'!$F$20:$F$94,MATCH(D251,'Curva Mestra'!$A$20:$A$94,0)),0)</f>
        <v/>
      </c>
      <c r="F251" s="241">
        <f>ROUND(INDEX('Curva Mestra'!$C$20:$C$94,MATCH(D251,'Curva Mestra'!$A$20:$A$94,0))*INDEX($B$5:$B$8,MATCH(C251,$A$5:$A$8,0)),0)</f>
        <v/>
      </c>
      <c r="G251" s="241">
        <f>ROUND(INDEX('Curva Mestra'!$D$20:$D$94,MATCH(D251,'Curva Mestra'!$A$20:$A$94,0))+INDEX($C$5:$C$8,MATCH(C251,$A$5:$A$8,0)),0)</f>
        <v/>
      </c>
      <c r="H251" s="241" t="inlineStr">
        <is>
          <t>Recruta ferido em confronto anterior.</t>
        </is>
      </c>
      <c r="I251" s="241" t="inlineStr">
        <is>
          <t>Golpe Fraco de Machado</t>
        </is>
      </c>
      <c r="J251" s="241" t="inlineStr">
        <is>
          <t>Nenhum efeito adicional — mais fraco.</t>
        </is>
      </c>
      <c r="K251" s="241" t="inlineStr">
        <is>
          <t>Recruta que já levou golpe antes de te encontrar.</t>
        </is>
      </c>
      <c r="L251" s="241">
        <f>IF(C251="Comum",ROUND(E251*1.3,0),"—")</f>
        <v/>
      </c>
      <c r="M251" s="241">
        <f>IF(C251="Comum",ROUND(F251*1.15,0),"—")</f>
        <v/>
      </c>
      <c r="N251" s="241">
        <f>IF(C251="Comum",G251+2,"—")</f>
        <v/>
      </c>
      <c r="O251" s="241">
        <f>IF(C251="Comum",ROUND(E251*1.6,0),"—")</f>
        <v/>
      </c>
      <c r="P251" s="241">
        <f>IF(C251="Comum",ROUND(F251*1.3,0),"—")</f>
        <v/>
      </c>
      <c r="Q251" s="241">
        <f>IF(C251="Comum",G251+4,"—")</f>
        <v/>
      </c>
      <c r="R251" s="243" t="n"/>
      <c r="S251" s="241">
        <f>ROUND(3+0.6*D251+IF(C251="Comum",0,IF(C251="Elite",2,IF(C251="Boss",4,6))),0)</f>
        <v/>
      </c>
      <c r="T251" s="241" t="inlineStr">
        <is>
          <t>Ouro + Bandagem Suja de Recruta Ferido</t>
        </is>
      </c>
      <c r="U251" s="241" t="inlineStr">
        <is>
          <t>Atordoamento</t>
        </is>
      </c>
      <c r="V251" s="161" t="inlineStr">
        <is>
          <t>DPS fraco</t>
        </is>
      </c>
      <c r="W251" s="161" t="inlineStr">
        <is>
          <t>Acampamento de Guerra Orc</t>
        </is>
      </c>
      <c r="X251" s="242" t="n"/>
      <c r="Y251" s="242" t="n"/>
      <c r="Z251" s="242" t="n"/>
      <c r="AA251" s="242" t="n"/>
    </row>
    <row r="252" ht="15" customHeight="1" s="116">
      <c r="A252" s="241" t="inlineStr">
        <is>
          <t>Ferro Orquico</t>
        </is>
      </c>
      <c r="B252" s="241" t="inlineStr">
        <is>
          <t>Xamã Aprendiz Menor</t>
        </is>
      </c>
      <c r="C252" s="241" t="inlineStr">
        <is>
          <t>Comum</t>
        </is>
      </c>
      <c r="D252" s="241" t="n">
        <v>35</v>
      </c>
      <c r="E252" s="241">
        <f>ROUND(INDEX('Curva Mestra'!$F$20:$F$94,MATCH(D252,'Curva Mestra'!$A$20:$A$94,0)),0)</f>
        <v/>
      </c>
      <c r="F252" s="241">
        <f>ROUND(INDEX('Curva Mestra'!$C$20:$C$94,MATCH(D252,'Curva Mestra'!$A$20:$A$94,0))*INDEX($B$5:$B$8,MATCH(C252,$A$5:$A$8,0)),0)</f>
        <v/>
      </c>
      <c r="G252" s="241">
        <f>ROUND(INDEX('Curva Mestra'!$D$20:$D$94,MATCH(D252,'Curva Mestra'!$A$20:$A$94,0))+INDEX($C$5:$C$8,MATCH(C252,$A$5:$A$8,0)),0)</f>
        <v/>
      </c>
      <c r="H252" s="241" t="inlineStr">
        <is>
          <t>Iniciante nos rituais do Sangue Negro.</t>
        </is>
      </c>
      <c r="I252" s="241" t="inlineStr">
        <is>
          <t>Toque Fraquíssimo</t>
        </is>
      </c>
      <c r="J252" s="241" t="inlineStr">
        <is>
          <t>Cura 1 HP/turno em 1 aliado.</t>
        </is>
      </c>
      <c r="K252" s="241" t="inlineStr">
        <is>
          <t>Aprendiz do Xamã Aprendiz, ainda mais no início do treinamento.</t>
        </is>
      </c>
      <c r="L252" s="241">
        <f>IF(C252="Comum",ROUND(E252*1.3,0),"—")</f>
        <v/>
      </c>
      <c r="M252" s="241">
        <f>IF(C252="Comum",ROUND(F252*1.15,0),"—")</f>
        <v/>
      </c>
      <c r="N252" s="241">
        <f>IF(C252="Comum",G252+2,"—")</f>
        <v/>
      </c>
      <c r="O252" s="241">
        <f>IF(C252="Comum",ROUND(E252*1.6,0),"—")</f>
        <v/>
      </c>
      <c r="P252" s="241">
        <f>IF(C252="Comum",ROUND(F252*1.3,0),"—")</f>
        <v/>
      </c>
      <c r="Q252" s="241">
        <f>IF(C252="Comum",G252+4,"—")</f>
        <v/>
      </c>
      <c r="R252" s="243" t="n"/>
      <c r="S252" s="241">
        <f>ROUND(3+0.6*D252+IF(C252="Comum",0,IF(C252="Elite",2,IF(C252="Boss",4,6))),0)</f>
        <v/>
      </c>
      <c r="T252" s="241" t="inlineStr">
        <is>
          <t>Ouro + Amuleto Rúnico de Aprendiz Menor</t>
        </is>
      </c>
      <c r="U252" s="241" t="inlineStr">
        <is>
          <t>Ignora Resistência Mágica</t>
        </is>
      </c>
      <c r="V252" s="161" t="inlineStr">
        <is>
          <t>Suporte</t>
        </is>
      </c>
      <c r="W252" s="161" t="inlineStr">
        <is>
          <t>Acampamento de Guerra Orc</t>
        </is>
      </c>
      <c r="X252" s="242" t="n"/>
      <c r="Y252" s="242" t="n"/>
      <c r="Z252" s="242" t="n"/>
      <c r="AA252" s="242" t="n"/>
    </row>
    <row r="253" ht="15" customHeight="1" s="116">
      <c r="A253" s="241" t="inlineStr">
        <is>
          <t>Ferro Orquico</t>
        </is>
      </c>
      <c r="B253" s="241" t="inlineStr">
        <is>
          <t>Filhote de Lobo Solitário</t>
        </is>
      </c>
      <c r="C253" s="241" t="inlineStr">
        <is>
          <t>Comum</t>
        </is>
      </c>
      <c r="D253" s="241" t="n">
        <v>35</v>
      </c>
      <c r="E253" s="241">
        <f>ROUND(INDEX('Curva Mestra'!$F$20:$F$94,MATCH(D253,'Curva Mestra'!$A$20:$A$94,0)),0)</f>
        <v/>
      </c>
      <c r="F253" s="241">
        <f>ROUND(INDEX('Curva Mestra'!$C$20:$C$94,MATCH(D253,'Curva Mestra'!$A$20:$A$94,0))*INDEX($B$5:$B$8,MATCH(C253,$A$5:$A$8,0)),0)</f>
        <v/>
      </c>
      <c r="G253" s="241">
        <f>ROUND(INDEX('Curva Mestra'!$D$20:$D$94,MATCH(D253,'Curva Mestra'!$A$20:$A$94,0))+INDEX($C$5:$C$8,MATCH(C253,$A$5:$A$8,0)),0)</f>
        <v/>
      </c>
      <c r="H253" s="241" t="inlineStr">
        <is>
          <t>Filhote perdido da matilha.</t>
        </is>
      </c>
      <c r="I253" s="241" t="inlineStr">
        <is>
          <t>Mordidinha Fraca</t>
        </is>
      </c>
      <c r="J253" s="241" t="inlineStr">
        <is>
          <t>Nenhum efeito adicional — sozinho.</t>
        </is>
      </c>
      <c r="K253" s="241" t="inlineStr">
        <is>
          <t>Separado da ninhada, ainda não aprendeu a caçar em grupo.</t>
        </is>
      </c>
      <c r="L253" s="241">
        <f>IF(C253="Comum",ROUND(E253*1.3,0),"—")</f>
        <v/>
      </c>
      <c r="M253" s="241">
        <f>IF(C253="Comum",ROUND(F253*1.15,0),"—")</f>
        <v/>
      </c>
      <c r="N253" s="241">
        <f>IF(C253="Comum",G253+2,"—")</f>
        <v/>
      </c>
      <c r="O253" s="241">
        <f>IF(C253="Comum",ROUND(E253*1.6,0),"—")</f>
        <v/>
      </c>
      <c r="P253" s="241">
        <f>IF(C253="Comum",ROUND(F253*1.3,0),"—")</f>
        <v/>
      </c>
      <c r="Q253" s="241">
        <f>IF(C253="Comum",G253+4,"—")</f>
        <v/>
      </c>
      <c r="R253" s="243" t="n"/>
      <c r="S253" s="241">
        <f>ROUND(3+0.6*D253+IF(C253="Comum",0,IF(C253="Elite",2,IF(C253="Boss",4,6))),0)</f>
        <v/>
      </c>
      <c r="T253" s="241" t="inlineStr">
        <is>
          <t>Ouro + Presa de Filhote Solitário</t>
        </is>
      </c>
      <c r="U253" s="241" t="inlineStr">
        <is>
          <t>Queimadura</t>
        </is>
      </c>
      <c r="V253" s="161" t="inlineStr">
        <is>
          <t>DPS fraco</t>
        </is>
      </c>
      <c r="W253" s="161" t="inlineStr">
        <is>
          <t>Trilha de Caça do Bando</t>
        </is>
      </c>
      <c r="X253" s="242" t="n"/>
      <c r="Y253" s="242" t="n"/>
      <c r="Z253" s="242" t="n"/>
      <c r="AA253" s="242" t="n"/>
    </row>
    <row r="254">
      <c r="A254" s="161" t="inlineStr">
        <is>
          <t>Ferro Orquico</t>
        </is>
      </c>
      <c r="B254" s="161" t="inlineStr">
        <is>
          <t>Orc Guerreiro</t>
        </is>
      </c>
      <c r="C254" s="161" t="inlineStr">
        <is>
          <t>Comum</t>
        </is>
      </c>
      <c r="D254" s="161" t="n">
        <v>36</v>
      </c>
      <c r="E254" s="161">
        <f>ROUND(INDEX('Curva Mestra'!$F$20:$F$94,MATCH(D254,'Curva Mestra'!$A$20:$A$94,0)),0)</f>
        <v/>
      </c>
      <c r="F254" s="161">
        <f>ROUND(INDEX('Curva Mestra'!$C$20:$C$94,MATCH(D254,'Curva Mestra'!$A$20:$A$94,0))*INDEX($B$5:$B$8,MATCH(C254,$A$5:$A$8,0)),0)</f>
        <v/>
      </c>
      <c r="G254" s="161">
        <f>ROUND(INDEX('Curva Mestra'!$D$20:$D$94,MATCH(D254,'Curva Mestra'!$A$20:$A$94,0))+INDEX($C$5:$C$8,MATCH(C254,$A$5:$A$8,0)),0)</f>
        <v/>
      </c>
      <c r="H254" s="161" t="inlineStr">
        <is>
          <t>Ronda a regiao do tier Ferro Orquico</t>
        </is>
      </c>
      <c r="I254" s="161" t="inlineStr">
        <is>
          <t>Golpe Bruto</t>
        </is>
      </c>
      <c r="J254" s="161" t="inlineStr">
        <is>
          <t>Sem efeito mecânico além do dano — ataque direto.</t>
        </is>
      </c>
      <c r="K254" s="161" t="inlineStr">
        <is>
          <t>Guerreiro comum do bando — luta por lealdade ao clã, não por fé no Rei sem corpo.</t>
        </is>
      </c>
      <c r="L254" s="161">
        <f>IF(C254="Comum",ROUND(E254*1.3,0),"—")</f>
        <v/>
      </c>
      <c r="M254" s="161">
        <f>IF(C254="Comum",ROUND(F254*1.15,0),"—")</f>
        <v/>
      </c>
      <c r="N254" s="161">
        <f>IF(C254="Comum",G254+2,"—")</f>
        <v/>
      </c>
      <c r="O254" s="161">
        <f>IF(C254="Comum",ROUND(E254*1.6,0),"—")</f>
        <v/>
      </c>
      <c r="P254" s="161">
        <f>IF(C254="Comum",ROUND(F254*1.3,0),"—")</f>
        <v/>
      </c>
      <c r="Q254" s="161">
        <f>IF(C254="Comum",G254+4,"—")</f>
        <v/>
      </c>
      <c r="R254" s="161" t="inlineStr">
        <is>
          <t>A Guerra do Bando Orc</t>
        </is>
      </c>
      <c r="S254" s="161">
        <f>ROUND(INDEX('Curva Mestra'!$D$20:$D$94,MATCH(D254,'Curva Mestra'!$A$20:$A$94,0))-IF(C254="Comum",9,IF(C254="Elite",6,IF(C254="Boss",4,3))),0)</f>
        <v/>
      </c>
      <c r="T254" s="161" t="inlineStr">
        <is>
          <t>Ouro + Machadinha de Orc Guerreiro + Crânio Troféu do Chefe Orc (chance rara)</t>
        </is>
      </c>
      <c r="U254" s="161" t="inlineStr">
        <is>
          <t>Vulnerável a Ignora Defesa — pele grossa, mas com pontos fracos previsíveis.</t>
        </is>
      </c>
      <c r="V254" s="242" t="inlineStr">
        <is>
          <t>DPS</t>
        </is>
      </c>
      <c r="W254" s="242" t="inlineStr">
        <is>
          <t>Acampamento de Guerra Orc</t>
        </is>
      </c>
      <c r="X254" s="243" t="n"/>
      <c r="Y254" s="243" t="n"/>
      <c r="Z254" s="243" t="n"/>
      <c r="AA254" s="243" t="n"/>
    </row>
    <row r="255">
      <c r="A255" s="161" t="inlineStr">
        <is>
          <t>Ferro Orquico</t>
        </is>
      </c>
      <c r="B255" s="161" t="inlineStr">
        <is>
          <t>Xamã Aprendiz</t>
        </is>
      </c>
      <c r="C255" s="161" t="inlineStr">
        <is>
          <t>Comum</t>
        </is>
      </c>
      <c r="D255" s="161" t="n">
        <v>36</v>
      </c>
      <c r="E255" s="161">
        <f>ROUND(INDEX('Curva Mestra'!$F$20:$F$94,MATCH(D255,'Curva Mestra'!$A$20:$A$94,0)),0)</f>
        <v/>
      </c>
      <c r="F255" s="161">
        <f>ROUND(INDEX('Curva Mestra'!$C$20:$C$94,MATCH(D255,'Curva Mestra'!$A$20:$A$94,0))*INDEX($B$5:$B$8,MATCH(C255,$A$5:$A$8,0)),0)</f>
        <v/>
      </c>
      <c r="G255" s="161">
        <f>ROUND(INDEX('Curva Mestra'!$D$20:$D$94,MATCH(D255,'Curva Mestra'!$A$20:$A$94,0))+INDEX($C$5:$C$8,MATCH(C255,$A$5:$A$8,0)),0)</f>
        <v/>
      </c>
      <c r="H255" s="161" t="inlineStr">
        <is>
          <t>Segue o Xamã do Sangue Negro, aprendendo o ritual.</t>
        </is>
      </c>
      <c r="I255" s="161" t="inlineStr">
        <is>
          <t>Toque do Sangue Fraco</t>
        </is>
      </c>
      <c r="J255" s="161" t="inlineStr">
        <is>
          <t>Cura 2 HP/turno em 1 aliado.</t>
        </is>
      </c>
      <c r="K255" s="161" t="inlineStr">
        <is>
          <t>Aprende os rituais do Sangue Negro com o Xamã principal.</t>
        </is>
      </c>
      <c r="L255" s="161">
        <f>IF(C255="Comum",ROUND(E255*1.3,0),"—")</f>
        <v/>
      </c>
      <c r="M255" s="161">
        <f>IF(C255="Comum",ROUND(F255*1.15,0),"—")</f>
        <v/>
      </c>
      <c r="N255" s="161">
        <f>IF(C255="Comum",G255+2,"—")</f>
        <v/>
      </c>
      <c r="O255" s="161">
        <f>IF(C255="Comum",ROUND(E255*1.6,0),"—")</f>
        <v/>
      </c>
      <c r="P255" s="161">
        <f>IF(C255="Comum",ROUND(F255*1.3,0),"—")</f>
        <v/>
      </c>
      <c r="Q255" s="161">
        <f>IF(C255="Comum",G255+4,"—")</f>
        <v/>
      </c>
      <c r="R255" s="242" t="n"/>
      <c r="S255" s="161">
        <f>ROUND(3+0.6*D255+IF(C255="Comum",0,IF(C255="Elite",2,IF(C255="Boss",4,6))),0)</f>
        <v/>
      </c>
      <c r="T255" s="161" t="inlineStr">
        <is>
          <t>Ouro + Amuleto Rúnico de Aprendiz</t>
        </is>
      </c>
      <c r="U255" s="161" t="inlineStr">
        <is>
          <t>Ignora Resistência Mágica</t>
        </is>
      </c>
      <c r="V255" s="161" t="inlineStr">
        <is>
          <t>Suporte</t>
        </is>
      </c>
      <c r="W255" s="161" t="inlineStr">
        <is>
          <t>Acampamento de Guerra Orc</t>
        </is>
      </c>
      <c r="X255" s="243" t="n"/>
      <c r="Y255" s="243" t="n"/>
      <c r="Z255" s="243" t="n"/>
      <c r="AA255" s="243" t="n"/>
    </row>
    <row r="256">
      <c r="A256" s="161" t="inlineStr">
        <is>
          <t>Ferro Orquico</t>
        </is>
      </c>
      <c r="B256" s="161" t="inlineStr">
        <is>
          <t>Parasita do Sangue Negro</t>
        </is>
      </c>
      <c r="C256" s="161" t="inlineStr">
        <is>
          <t>Comum</t>
        </is>
      </c>
      <c r="D256" s="161" t="n">
        <v>36</v>
      </c>
      <c r="E256" s="161">
        <f>ROUND(INDEX('Curva Mestra'!$F$20:$F$94,MATCH(D256,'Curva Mestra'!$A$20:$A$94,0)),0)</f>
        <v/>
      </c>
      <c r="F256" s="161">
        <f>ROUND(INDEX('Curva Mestra'!$C$20:$C$94,MATCH(D256,'Curva Mestra'!$A$20:$A$94,0))*INDEX($B$5:$B$8,MATCH(C256,$A$5:$A$8,0)),0)</f>
        <v/>
      </c>
      <c r="G256" s="161">
        <f>ROUND(INDEX('Curva Mestra'!$D$20:$D$94,MATCH(D256,'Curva Mestra'!$A$20:$A$94,0))+INDEX($C$5:$C$8,MATCH(C256,$A$5:$A$8,0)),0)</f>
        <v/>
      </c>
      <c r="H256" s="161" t="inlineStr">
        <is>
          <t>Parte do ritual de sangue, nunca aparece sozinho.</t>
        </is>
      </c>
      <c r="I256" s="161" t="inlineStr">
        <is>
          <t>Sugar Vitalidade</t>
        </is>
      </c>
      <c r="J256" s="161" t="inlineStr">
        <is>
          <t>Rouba Vida (15%) — só aparece perto do Xamã do Sangue Negro.</t>
        </is>
      </c>
      <c r="K256" s="161" t="inlineStr">
        <is>
          <t>Vive no próprio sangue ritual que o Xamã usa.</t>
        </is>
      </c>
      <c r="L256" s="161">
        <f>IF(C256="Comum",ROUND(E256*1.3,0),"—")</f>
        <v/>
      </c>
      <c r="M256" s="161">
        <f>IF(C256="Comum",ROUND(F256*1.15,0),"—")</f>
        <v/>
      </c>
      <c r="N256" s="161">
        <f>IF(C256="Comum",G256+2,"—")</f>
        <v/>
      </c>
      <c r="O256" s="161">
        <f>IF(C256="Comum",ROUND(E256*1.6,0),"—")</f>
        <v/>
      </c>
      <c r="P256" s="161">
        <f>IF(C256="Comum",ROUND(F256*1.3,0),"—")</f>
        <v/>
      </c>
      <c r="Q256" s="161">
        <f>IF(C256="Comum",G256+4,"—")</f>
        <v/>
      </c>
      <c r="R256" s="242" t="n"/>
      <c r="S256" s="161">
        <f>ROUND(3+0.6*D256+IF(C256="Comum",0,IF(C256="Elite",2,IF(C256="Boss",4,6))),0)</f>
        <v/>
      </c>
      <c r="T256" s="161" t="inlineStr">
        <is>
          <t>Ouro + Sanguessuga do Ritual</t>
        </is>
      </c>
      <c r="U256" s="161" t="inlineStr">
        <is>
          <t>Queimadura</t>
        </is>
      </c>
      <c r="V256" s="161" t="inlineStr">
        <is>
          <t>Parasita</t>
        </is>
      </c>
      <c r="W256" s="161" t="inlineStr">
        <is>
          <t>Acampamento de Guerra Orc, só com Xamã presente</t>
        </is>
      </c>
      <c r="X256" s="243" t="n"/>
      <c r="Y256" s="243" t="n"/>
      <c r="Z256" s="243" t="n"/>
      <c r="AA256" s="243" t="n"/>
    </row>
    <row r="257">
      <c r="A257" s="161" t="inlineStr">
        <is>
          <t>Ferro Orquico</t>
        </is>
      </c>
      <c r="B257" s="161" t="inlineStr">
        <is>
          <t>Guarda do Estandarte Menor</t>
        </is>
      </c>
      <c r="C257" s="161" t="inlineStr">
        <is>
          <t>Comum</t>
        </is>
      </c>
      <c r="D257" s="161" t="n">
        <v>36</v>
      </c>
      <c r="E257" s="161">
        <f>ROUND(INDEX('Curva Mestra'!$F$20:$F$94,MATCH(D257,'Curva Mestra'!$A$20:$A$94,0)),0)</f>
        <v/>
      </c>
      <c r="F257" s="161">
        <f>ROUND(INDEX('Curva Mestra'!$C$20:$C$94,MATCH(D257,'Curva Mestra'!$A$20:$A$94,0))*INDEX($B$5:$B$8,MATCH(C257,$A$5:$A$8,0)),0)</f>
        <v/>
      </c>
      <c r="G257" s="161">
        <f>ROUND(INDEX('Curva Mestra'!$D$20:$D$94,MATCH(D257,'Curva Mestra'!$A$20:$A$94,0))+INDEX($C$5:$C$8,MATCH(C257,$A$5:$A$8,0)),0)</f>
        <v/>
      </c>
      <c r="H257" s="161" t="inlineStr">
        <is>
          <t>Guarda menor do símbolo que une o bando.</t>
        </is>
      </c>
      <c r="I257" s="161" t="inlineStr">
        <is>
          <t>Golpe Protetor</t>
        </is>
      </c>
      <c r="J257" s="161" t="inlineStr">
        <is>
          <t>Fragilidade — protege O Guardião do Estandarte se ele estiver no combate.</t>
        </is>
      </c>
      <c r="K257" s="161" t="inlineStr">
        <is>
          <t>Escolhido pra morrer protegendo o estandarte do bando, se preciso.</t>
        </is>
      </c>
      <c r="L257" s="161">
        <f>IF(C257="Comum",ROUND(E257*1.3,0),"—")</f>
        <v/>
      </c>
      <c r="M257" s="161">
        <f>IF(C257="Comum",ROUND(F257*1.15,0),"—")</f>
        <v/>
      </c>
      <c r="N257" s="161">
        <f>IF(C257="Comum",G257+2,"—")</f>
        <v/>
      </c>
      <c r="O257" s="161">
        <f>IF(C257="Comum",ROUND(E257*1.6,0),"—")</f>
        <v/>
      </c>
      <c r="P257" s="161">
        <f>IF(C257="Comum",ROUND(F257*1.3,0),"—")</f>
        <v/>
      </c>
      <c r="Q257" s="161">
        <f>IF(C257="Comum",G257+4,"—")</f>
        <v/>
      </c>
      <c r="R257" s="242" t="n"/>
      <c r="S257" s="161">
        <f>ROUND(3+0.6*D257+IF(C257="Comum",0,IF(C257="Elite",2,IF(C257="Boss",4,6))),0)</f>
        <v/>
      </c>
      <c r="T257" s="161" t="inlineStr">
        <is>
          <t>Ouro + Escudo do Guarda Menor</t>
        </is>
      </c>
      <c r="U257" s="161" t="inlineStr">
        <is>
          <t>Ignora Resistência Mágica</t>
        </is>
      </c>
      <c r="V257" s="161" t="inlineStr">
        <is>
          <t>Tanque</t>
        </is>
      </c>
      <c r="W257" s="161" t="inlineStr">
        <is>
          <t>Acampamento de Guerra Orc</t>
        </is>
      </c>
      <c r="X257" s="243" t="n"/>
      <c r="Y257" s="161" t="inlineStr">
        <is>
          <t>Redireciona 1 ataque por turno pro Guardião do Estandarte, se presente.</t>
        </is>
      </c>
      <c r="Z257" s="242" t="n"/>
      <c r="AA257" s="243" t="n"/>
    </row>
    <row r="258">
      <c r="A258" s="161" t="inlineStr">
        <is>
          <t>Ferro Orquico</t>
        </is>
      </c>
      <c r="B258" s="161" t="inlineStr">
        <is>
          <t>Lobo de Guerra Jovem</t>
        </is>
      </c>
      <c r="C258" s="161" t="inlineStr">
        <is>
          <t>Comum</t>
        </is>
      </c>
      <c r="D258" s="161" t="n">
        <v>36</v>
      </c>
      <c r="E258" s="161">
        <f>ROUND(INDEX('Curva Mestra'!$F$20:$F$94,MATCH(D258,'Curva Mestra'!$A$20:$A$94,0)),0)</f>
        <v/>
      </c>
      <c r="F258" s="161">
        <f>ROUND(INDEX('Curva Mestra'!$C$20:$C$94,MATCH(D258,'Curva Mestra'!$A$20:$A$94,0))*INDEX($B$5:$B$8,MATCH(C258,$A$5:$A$8,0)),0)</f>
        <v/>
      </c>
      <c r="G258" s="161">
        <f>ROUND(INDEX('Curva Mestra'!$D$20:$D$94,MATCH(D258,'Curva Mestra'!$A$20:$A$94,0))+INDEX($C$5:$C$8,MATCH(C258,$A$5:$A$8,0)),0)</f>
        <v/>
      </c>
      <c r="H258" s="161" t="inlineStr">
        <is>
          <t>Lobo jovem da matilha de guerra.</t>
        </is>
      </c>
      <c r="I258" s="161" t="inlineStr">
        <is>
          <t>Mordida Jovem</t>
        </is>
      </c>
      <c r="J258" s="161" t="inlineStr">
        <is>
          <t>Nenhum efeito adicional.</t>
        </is>
      </c>
      <c r="K258" s="161" t="inlineStr">
        <is>
          <t>Lobo mais novo da matilha, ainda não corrompido por completo.</t>
        </is>
      </c>
      <c r="L258" s="161">
        <f>IF(C258="Comum",ROUND(E258*1.3,0),"—")</f>
        <v/>
      </c>
      <c r="M258" s="161">
        <f>IF(C258="Comum",ROUND(F258*1.15,0),"—")</f>
        <v/>
      </c>
      <c r="N258" s="161">
        <f>IF(C258="Comum",G258+2,"—")</f>
        <v/>
      </c>
      <c r="O258" s="161">
        <f>IF(C258="Comum",ROUND(E258*1.6,0),"—")</f>
        <v/>
      </c>
      <c r="P258" s="161">
        <f>IF(C258="Comum",ROUND(F258*1.3,0),"—")</f>
        <v/>
      </c>
      <c r="Q258" s="161">
        <f>IF(C258="Comum",G258+4,"—")</f>
        <v/>
      </c>
      <c r="R258" s="242" t="n"/>
      <c r="S258" s="161">
        <f>ROUND(3+0.6*D258+IF(C258="Comum",0,IF(C258="Elite",2,IF(C258="Boss",4,6))),0)</f>
        <v/>
      </c>
      <c r="T258" s="161" t="inlineStr">
        <is>
          <t>Ouro + Presa de Lobo Jovem</t>
        </is>
      </c>
      <c r="U258" s="161" t="inlineStr">
        <is>
          <t>Queimadura</t>
        </is>
      </c>
      <c r="V258" s="161" t="inlineStr">
        <is>
          <t>DPS</t>
        </is>
      </c>
      <c r="W258" s="161" t="inlineStr">
        <is>
          <t>Trilha de Caça do Bando</t>
        </is>
      </c>
      <c r="X258" s="243" t="n"/>
      <c r="Y258" s="242" t="n"/>
      <c r="Z258" s="243" t="n"/>
      <c r="AA258" s="243" t="n"/>
    </row>
    <row r="259">
      <c r="A259" s="161" t="inlineStr">
        <is>
          <t>Ferro Orquico</t>
        </is>
      </c>
      <c r="B259" s="161" t="inlineStr">
        <is>
          <t>Batedor Orc Menor</t>
        </is>
      </c>
      <c r="C259" s="161" t="inlineStr">
        <is>
          <t>Comum</t>
        </is>
      </c>
      <c r="D259" s="161" t="n">
        <v>36</v>
      </c>
      <c r="E259" s="161">
        <f>ROUND(INDEX('Curva Mestra'!$F$20:$F$94,MATCH(D259,'Curva Mestra'!$A$20:$A$94,0)),0)</f>
        <v/>
      </c>
      <c r="F259" s="161">
        <f>ROUND(INDEX('Curva Mestra'!$C$20:$C$94,MATCH(D259,'Curva Mestra'!$A$20:$A$94,0))*INDEX($B$5:$B$8,MATCH(C259,$A$5:$A$8,0)),0)</f>
        <v/>
      </c>
      <c r="G259" s="161">
        <f>ROUND(INDEX('Curva Mestra'!$D$20:$D$94,MATCH(D259,'Curva Mestra'!$A$20:$A$94,0))+INDEX($C$5:$C$8,MATCH(C259,$A$5:$A$8,0)),0)</f>
        <v/>
      </c>
      <c r="H259" s="161" t="inlineStr">
        <is>
          <t>Batedor júnior do bando.</t>
        </is>
      </c>
      <c r="I259" s="161" t="inlineStr">
        <is>
          <t>Flechada Imprecisa</t>
        </is>
      </c>
      <c r="J259" s="161" t="inlineStr">
        <is>
          <t>Nenhum efeito adicional.</t>
        </is>
      </c>
      <c r="K259" s="161" t="inlineStr">
        <is>
          <t>Batedor menos experiente que o Orc Batedor original.</t>
        </is>
      </c>
      <c r="L259" s="161">
        <f>IF(C259="Comum",ROUND(E259*1.3,0),"—")</f>
        <v/>
      </c>
      <c r="M259" s="161">
        <f>IF(C259="Comum",ROUND(F259*1.15,0),"—")</f>
        <v/>
      </c>
      <c r="N259" s="161">
        <f>IF(C259="Comum",G259+2,"—")</f>
        <v/>
      </c>
      <c r="O259" s="161">
        <f>IF(C259="Comum",ROUND(E259*1.6,0),"—")</f>
        <v/>
      </c>
      <c r="P259" s="161">
        <f>IF(C259="Comum",ROUND(F259*1.3,0),"—")</f>
        <v/>
      </c>
      <c r="Q259" s="161">
        <f>IF(C259="Comum",G259+4,"—")</f>
        <v/>
      </c>
      <c r="R259" s="242" t="n"/>
      <c r="S259" s="161">
        <f>ROUND(3+0.6*D259+IF(C259="Comum",0,IF(C259="Elite",2,IF(C259="Boss",4,6))),0)</f>
        <v/>
      </c>
      <c r="T259" s="161" t="inlineStr">
        <is>
          <t>Ouro + Arco Improvisado de Batedor Menor</t>
        </is>
      </c>
      <c r="U259" s="161" t="inlineStr">
        <is>
          <t>Atordoamento</t>
        </is>
      </c>
      <c r="V259" s="161" t="inlineStr">
        <is>
          <t>Ranged</t>
        </is>
      </c>
      <c r="W259" s="161" t="inlineStr">
        <is>
          <t>Trilha de Caça do Bando</t>
        </is>
      </c>
      <c r="X259" s="243" t="n"/>
      <c r="Y259" s="243" t="n"/>
      <c r="Z259" s="243" t="n"/>
      <c r="AA259" s="243" t="n"/>
    </row>
    <row r="260">
      <c r="A260" s="161" t="inlineStr">
        <is>
          <t>Ferro Orquico</t>
        </is>
      </c>
      <c r="B260" s="161" t="inlineStr">
        <is>
          <t>Guarda Menor do Estandarte</t>
        </is>
      </c>
      <c r="C260" s="161" t="inlineStr">
        <is>
          <t>Comum</t>
        </is>
      </c>
      <c r="D260" s="161" t="n">
        <v>36</v>
      </c>
      <c r="E260" s="161">
        <f>ROUND(INDEX('Curva Mestra'!$F$20:$F$94,MATCH(D260,'Curva Mestra'!$A$20:$A$94,0)),0)</f>
        <v/>
      </c>
      <c r="F260" s="161">
        <f>ROUND(INDEX('Curva Mestra'!$C$20:$C$94,MATCH(D260,'Curva Mestra'!$A$20:$A$94,0))*INDEX($B$5:$B$8,MATCH(C260,$A$5:$A$8,0)),0)</f>
        <v/>
      </c>
      <c r="G260" s="161">
        <f>ROUND(INDEX('Curva Mestra'!$D$20:$D$94,MATCH(D260,'Curva Mestra'!$A$20:$A$94,0))+INDEX($C$5:$C$8,MATCH(C260,$A$5:$A$8,0)),0)</f>
        <v/>
      </c>
      <c r="H260" s="161" t="inlineStr">
        <is>
          <t>Aspirante a proteger o símbolo do bando.</t>
        </is>
      </c>
      <c r="I260" s="161" t="inlineStr">
        <is>
          <t>Golpe Protetor Fraco</t>
        </is>
      </c>
      <c r="J260" s="161" t="inlineStr">
        <is>
          <t>Fragilidade fraca.</t>
        </is>
      </c>
      <c r="K260" s="161" t="inlineStr">
        <is>
          <t>Aspirante a guarda do estandarte do bando.</t>
        </is>
      </c>
      <c r="L260" s="161">
        <f>IF(C260="Comum",ROUND(E260*1.3,0),"—")</f>
        <v/>
      </c>
      <c r="M260" s="161">
        <f>IF(C260="Comum",ROUND(F260*1.15,0),"—")</f>
        <v/>
      </c>
      <c r="N260" s="161">
        <f>IF(C260="Comum",G260+2,"—")</f>
        <v/>
      </c>
      <c r="O260" s="161">
        <f>IF(C260="Comum",ROUND(E260*1.6,0),"—")</f>
        <v/>
      </c>
      <c r="P260" s="161">
        <f>IF(C260="Comum",ROUND(F260*1.3,0),"—")</f>
        <v/>
      </c>
      <c r="Q260" s="161">
        <f>IF(C260="Comum",G260+4,"—")</f>
        <v/>
      </c>
      <c r="R260" s="242" t="n"/>
      <c r="S260" s="161">
        <f>ROUND(3+0.6*D260+IF(C260="Comum",0,IF(C260="Elite",2,IF(C260="Boss",4,6))),0)</f>
        <v/>
      </c>
      <c r="T260" s="161" t="inlineStr">
        <is>
          <t>Ouro + Placa do Aspirante ao Estandarte</t>
        </is>
      </c>
      <c r="U260" s="161" t="inlineStr">
        <is>
          <t>Ignora Resistência Mágica</t>
        </is>
      </c>
      <c r="V260" s="161" t="inlineStr">
        <is>
          <t>Tanque</t>
        </is>
      </c>
      <c r="W260" s="161" t="inlineStr">
        <is>
          <t>Acampamento de Guerra Orc</t>
        </is>
      </c>
      <c r="X260" s="243" t="n"/>
      <c r="Y260" s="243" t="n"/>
      <c r="Z260" s="243" t="n"/>
      <c r="AA260" s="243" t="n"/>
    </row>
    <row r="261">
      <c r="A261" s="161" t="inlineStr">
        <is>
          <t>Ferro Orquico</t>
        </is>
      </c>
      <c r="B261" s="161" t="inlineStr">
        <is>
          <t>Orc Rastreador Jovem</t>
        </is>
      </c>
      <c r="C261" s="161" t="inlineStr">
        <is>
          <t>Comum</t>
        </is>
      </c>
      <c r="D261" s="161" t="n">
        <v>36</v>
      </c>
      <c r="E261" s="161">
        <f>ROUND(INDEX('Curva Mestra'!$F$20:$F$94,MATCH(D261,'Curva Mestra'!$A$20:$A$94,0)),0)</f>
        <v/>
      </c>
      <c r="F261" s="161">
        <f>ROUND(INDEX('Curva Mestra'!$C$20:$C$94,MATCH(D261,'Curva Mestra'!$A$20:$A$94,0))*INDEX($B$5:$B$8,MATCH(C261,$A$5:$A$8,0)),0)</f>
        <v/>
      </c>
      <c r="G261" s="161">
        <f>ROUND(INDEX('Curva Mestra'!$D$20:$D$94,MATCH(D261,'Curva Mestra'!$A$20:$A$94,0))+INDEX($C$5:$C$8,MATCH(C261,$A$5:$A$8,0)),0)</f>
        <v/>
      </c>
      <c r="H261" s="161" t="inlineStr">
        <is>
          <t>Aprendiz de rastreamento do bando.</t>
        </is>
      </c>
      <c r="I261" s="161" t="inlineStr">
        <is>
          <t>Faro Fraco</t>
        </is>
      </c>
      <c r="J261" s="161" t="inlineStr">
        <is>
          <t>Nenhum efeito adicional.</t>
        </is>
      </c>
      <c r="K261" s="161" t="inlineStr">
        <is>
          <t>Aprendiz de rastreador, ainda aprendendo a farejar presas feridas.</t>
        </is>
      </c>
      <c r="L261" s="161">
        <f>IF(C261="Comum",ROUND(E261*1.3,0),"—")</f>
        <v/>
      </c>
      <c r="M261" s="161">
        <f>IF(C261="Comum",ROUND(F261*1.15,0),"—")</f>
        <v/>
      </c>
      <c r="N261" s="161">
        <f>IF(C261="Comum",G261+2,"—")</f>
        <v/>
      </c>
      <c r="O261" s="161">
        <f>IF(C261="Comum",ROUND(E261*1.6,0),"—")</f>
        <v/>
      </c>
      <c r="P261" s="161">
        <f>IF(C261="Comum",ROUND(F261*1.3,0),"—")</f>
        <v/>
      </c>
      <c r="Q261" s="161">
        <f>IF(C261="Comum",G261+4,"—")</f>
        <v/>
      </c>
      <c r="R261" s="242" t="n"/>
      <c r="S261" s="161">
        <f>ROUND(3+0.6*D261+IF(C261="Comum",0,IF(C261="Elite",2,IF(C261="Boss",4,6))),0)</f>
        <v/>
      </c>
      <c r="T261" s="161" t="inlineStr">
        <is>
          <t>Ouro + Faro Treinado do Rastreador Jovem</t>
        </is>
      </c>
      <c r="U261" s="161" t="inlineStr">
        <is>
          <t>Lentidão</t>
        </is>
      </c>
      <c r="V261" s="161" t="inlineStr">
        <is>
          <t>Rastreador</t>
        </is>
      </c>
      <c r="W261" s="161" t="inlineStr">
        <is>
          <t>Trilha de Caça do Bando</t>
        </is>
      </c>
      <c r="X261" s="242" t="n"/>
      <c r="Y261" s="243" t="n"/>
      <c r="Z261" s="243" t="n"/>
      <c r="AA261" s="243" t="n"/>
    </row>
    <row r="262">
      <c r="A262" s="161" t="inlineStr">
        <is>
          <t>Ferro Orquico</t>
        </is>
      </c>
      <c r="B262" s="161" t="inlineStr">
        <is>
          <t>Orc Batedor</t>
        </is>
      </c>
      <c r="C262" s="161" t="inlineStr">
        <is>
          <t>Comum</t>
        </is>
      </c>
      <c r="D262" s="161" t="n">
        <v>37</v>
      </c>
      <c r="E262" s="161">
        <f>ROUND(INDEX('Curva Mestra'!$F$20:$F$94,MATCH(D262,'Curva Mestra'!$A$20:$A$94,0)),0)</f>
        <v/>
      </c>
      <c r="F262" s="161">
        <f>ROUND(INDEX('Curva Mestra'!$C$20:$C$94,MATCH(D262,'Curva Mestra'!$A$20:$A$94,0))*INDEX($B$5:$B$8,MATCH(C262,$A$5:$A$8,0)),0)</f>
        <v/>
      </c>
      <c r="G262" s="161">
        <f>ROUND(INDEX('Curva Mestra'!$D$20:$D$94,MATCH(D262,'Curva Mestra'!$A$20:$A$94,0))+INDEX($C$5:$C$8,MATCH(C262,$A$5:$A$8,0)),0)</f>
        <v/>
      </c>
      <c r="H262" s="161" t="inlineStr">
        <is>
          <t>Ronda a regiao do tier Ferro Orquico</t>
        </is>
      </c>
      <c r="I262" s="161" t="inlineStr">
        <is>
          <t>Flechada Certeira</t>
        </is>
      </c>
      <c r="J262" s="161" t="inlineStr">
        <is>
          <t>Sem efeito mecânico além do dano — ataque direto.</t>
        </is>
      </c>
      <c r="K262" s="161" t="inlineStr">
        <is>
          <t>Vigia as bordas do acampamento — foi Malkor quem treinou a maioria deles, antes de desertar.</t>
        </is>
      </c>
      <c r="L262" s="161">
        <f>IF(C262="Comum",ROUND(E262*1.3,0),"—")</f>
        <v/>
      </c>
      <c r="M262" s="161">
        <f>IF(C262="Comum",ROUND(F262*1.15,0),"—")</f>
        <v/>
      </c>
      <c r="N262" s="161">
        <f>IF(C262="Comum",G262+2,"—")</f>
        <v/>
      </c>
      <c r="O262" s="161">
        <f>IF(C262="Comum",ROUND(E262*1.6,0),"—")</f>
        <v/>
      </c>
      <c r="P262" s="161">
        <f>IF(C262="Comum",ROUND(F262*1.3,0),"—")</f>
        <v/>
      </c>
      <c r="Q262" s="161">
        <f>IF(C262="Comum",G262+4,"—")</f>
        <v/>
      </c>
      <c r="R262" s="161" t="inlineStr">
        <is>
          <t>A Guerra do Bando Orc</t>
        </is>
      </c>
      <c r="S262" s="161">
        <f>ROUND(INDEX('Curva Mestra'!$D$20:$D$94,MATCH(D262,'Curva Mestra'!$A$20:$A$94,0))-IF(C262="Comum",9,IF(C262="Elite",6,IF(C262="Boss",4,3))),0)</f>
        <v/>
      </c>
      <c r="T262" s="161" t="inlineStr">
        <is>
          <t>Ouro + Corda de Vigia Orc + Crânio Troféu do Chefe Orc (chance rara)</t>
        </is>
      </c>
      <c r="U262" s="161" t="inlineStr">
        <is>
          <t>Vulnerável a Ignora Defesa — pele grossa, mas com pontos fracos previsíveis.</t>
        </is>
      </c>
      <c r="V262" s="242" t="inlineStr">
        <is>
          <t>DPS</t>
        </is>
      </c>
      <c r="W262" s="242" t="inlineStr">
        <is>
          <t>Acampamento de Guerra Orc</t>
        </is>
      </c>
      <c r="X262" s="243" t="n"/>
      <c r="Y262" s="243" t="n"/>
      <c r="Z262" s="243" t="n"/>
      <c r="AA262" s="243" t="n"/>
    </row>
    <row r="263">
      <c r="A263" s="161" t="inlineStr">
        <is>
          <t>Ferro Orquico</t>
        </is>
      </c>
      <c r="B263" s="161" t="inlineStr">
        <is>
          <t>Orc Veterano</t>
        </is>
      </c>
      <c r="C263" s="161" t="inlineStr">
        <is>
          <t>Comum</t>
        </is>
      </c>
      <c r="D263" s="161" t="n">
        <v>37</v>
      </c>
      <c r="E263" s="161">
        <f>ROUND(INDEX('Curva Mestra'!$F$20:$F$94,MATCH(D263,'Curva Mestra'!$A$20:$A$94,0)),0)</f>
        <v/>
      </c>
      <c r="F263" s="161">
        <f>ROUND(INDEX('Curva Mestra'!$C$20:$C$94,MATCH(D263,'Curva Mestra'!$A$20:$A$94,0))*INDEX($B$5:$B$8,MATCH(C263,$A$5:$A$8,0)),0)</f>
        <v/>
      </c>
      <c r="G263" s="161">
        <f>ROUND(INDEX('Curva Mestra'!$D$20:$D$94,MATCH(D263,'Curva Mestra'!$A$20:$A$94,0))+INDEX($C$5:$C$8,MATCH(C263,$A$5:$A$8,0)),0)</f>
        <v/>
      </c>
      <c r="H263" s="161" t="inlineStr">
        <is>
          <t>Orc Guerreiro corrompido pela infecção, mas conhece luta de verdade.</t>
        </is>
      </c>
      <c r="I263" s="161" t="inlineStr">
        <is>
          <t>Machadada Repetida</t>
        </is>
      </c>
      <c r="J263" s="161" t="inlineStr">
        <is>
          <t>Ataca 2x por turno, dano reduzido em cada.</t>
        </is>
      </c>
      <c r="K263" s="161" t="inlineStr">
        <is>
          <t>Sobreviveu a mais batalhas que qualquer outro do bando.</t>
        </is>
      </c>
      <c r="L263" s="161">
        <f>IF(C263="Comum",ROUND(E263*1.3,0),"—")</f>
        <v/>
      </c>
      <c r="M263" s="161">
        <f>IF(C263="Comum",ROUND(F263*1.15,0),"—")</f>
        <v/>
      </c>
      <c r="N263" s="161">
        <f>IF(C263="Comum",G263+2,"—")</f>
        <v/>
      </c>
      <c r="O263" s="161">
        <f>IF(C263="Comum",ROUND(E263*1.6,0),"—")</f>
        <v/>
      </c>
      <c r="P263" s="161">
        <f>IF(C263="Comum",ROUND(F263*1.3,0),"—")</f>
        <v/>
      </c>
      <c r="Q263" s="161">
        <f>IF(C263="Comum",G263+4,"—")</f>
        <v/>
      </c>
      <c r="R263" s="242" t="n"/>
      <c r="S263" s="161">
        <f>ROUND(3+0.6*D263+IF(C263="Comum",0,IF(C263="Elite",2,IF(C263="Boss",4,6))),0)</f>
        <v/>
      </c>
      <c r="T263" s="161" t="inlineStr">
        <is>
          <t>Ouro + Cicatriz de Orc Veterano</t>
        </is>
      </c>
      <c r="U263" s="161" t="inlineStr">
        <is>
          <t>Fragilidade</t>
        </is>
      </c>
      <c r="V263" s="161" t="inlineStr">
        <is>
          <t>DPS</t>
        </is>
      </c>
      <c r="W263" s="161" t="inlineStr">
        <is>
          <t>Acampamento de Guerra Orc</t>
        </is>
      </c>
      <c r="X263" s="243" t="n"/>
      <c r="Y263" s="243" t="n"/>
      <c r="Z263" s="243" t="n"/>
      <c r="AA263" s="242" t="n"/>
    </row>
    <row r="264">
      <c r="A264" s="161" t="inlineStr">
        <is>
          <t>Ferro Orquico</t>
        </is>
      </c>
      <c r="B264" s="161" t="inlineStr">
        <is>
          <t>Orc Rastreador</t>
        </is>
      </c>
      <c r="C264" s="161" t="inlineStr">
        <is>
          <t>Comum</t>
        </is>
      </c>
      <c r="D264" s="161" t="n">
        <v>37</v>
      </c>
      <c r="E264" s="161">
        <f>ROUND(INDEX('Curva Mestra'!$F$20:$F$94,MATCH(D264,'Curva Mestra'!$A$20:$A$94,0)),0)</f>
        <v/>
      </c>
      <c r="F264" s="161">
        <f>ROUND(INDEX('Curva Mestra'!$C$20:$C$94,MATCH(D264,'Curva Mestra'!$A$20:$A$94,0))*INDEX($B$5:$B$8,MATCH(C264,$A$5:$A$8,0)),0)</f>
        <v/>
      </c>
      <c r="G264" s="161">
        <f>ROUND(INDEX('Curva Mestra'!$D$20:$D$94,MATCH(D264,'Curva Mestra'!$A$20:$A$94,0))+INDEX($C$5:$C$8,MATCH(C264,$A$5:$A$8,0)),0)</f>
        <v/>
      </c>
      <c r="H264" s="161" t="inlineStr">
        <is>
          <t>Farejador do bando, encontra qualquer um que sangre.</t>
        </is>
      </c>
      <c r="I264" s="161" t="inlineStr">
        <is>
          <t>Faro de Sangue</t>
        </is>
      </c>
      <c r="J264" s="161" t="inlineStr">
        <is>
          <t>Ignora Defesa + acerta sempre alvo ferido.</t>
        </is>
      </c>
      <c r="K264" s="161" t="inlineStr">
        <is>
          <t>Rastreia presas feridas pra o resto do bando finalizar.</t>
        </is>
      </c>
      <c r="L264" s="161">
        <f>IF(C264="Comum",ROUND(E264*1.3,0),"—")</f>
        <v/>
      </c>
      <c r="M264" s="161">
        <f>IF(C264="Comum",ROUND(F264*1.15,0),"—")</f>
        <v/>
      </c>
      <c r="N264" s="161">
        <f>IF(C264="Comum",G264+2,"—")</f>
        <v/>
      </c>
      <c r="O264" s="161">
        <f>IF(C264="Comum",ROUND(E264*1.6,0),"—")</f>
        <v/>
      </c>
      <c r="P264" s="161">
        <f>IF(C264="Comum",ROUND(F264*1.3,0),"—")</f>
        <v/>
      </c>
      <c r="Q264" s="161">
        <f>IF(C264="Comum",G264+4,"—")</f>
        <v/>
      </c>
      <c r="R264" s="242" t="n"/>
      <c r="S264" s="161">
        <f>ROUND(3+0.6*D264+IF(C264="Comum",0,IF(C264="Elite",2,IF(C264="Boss",4,6))),0)</f>
        <v/>
      </c>
      <c r="T264" s="161" t="inlineStr">
        <is>
          <t>Ouro + Faro Treinado do Rastreador</t>
        </is>
      </c>
      <c r="U264" s="161" t="inlineStr">
        <is>
          <t>Lentidão</t>
        </is>
      </c>
      <c r="V264" s="161" t="inlineStr">
        <is>
          <t>Rastreador</t>
        </is>
      </c>
      <c r="W264" s="161" t="inlineStr">
        <is>
          <t>Trilha de Caça do Bando</t>
        </is>
      </c>
      <c r="X264" s="243" t="n"/>
      <c r="Y264" s="243" t="n"/>
      <c r="Z264" s="243" t="n"/>
      <c r="AA264" s="243" t="n"/>
    </row>
    <row r="265">
      <c r="A265" s="161" t="inlineStr">
        <is>
          <t>Ferro Orquico</t>
        </is>
      </c>
      <c r="B265" s="161" t="inlineStr">
        <is>
          <t>Berserker Contido</t>
        </is>
      </c>
      <c r="C265" s="161" t="inlineStr">
        <is>
          <t>Comum</t>
        </is>
      </c>
      <c r="D265" s="161" t="n">
        <v>37</v>
      </c>
      <c r="E265" s="161">
        <f>ROUND(INDEX('Curva Mestra'!$F$20:$F$94,MATCH(D265,'Curva Mestra'!$A$20:$A$94,0)),0)</f>
        <v/>
      </c>
      <c r="F265" s="161">
        <f>ROUND(INDEX('Curva Mestra'!$C$20:$C$94,MATCH(D265,'Curva Mestra'!$A$20:$A$94,0))*INDEX($B$5:$B$8,MATCH(C265,$A$5:$A$8,0)),0)</f>
        <v/>
      </c>
      <c r="G265" s="161">
        <f>ROUND(INDEX('Curva Mestra'!$D$20:$D$94,MATCH(D265,'Curva Mestra'!$A$20:$A$94,0))+INDEX($C$5:$C$8,MATCH(C265,$A$5:$A$8,0)),0)</f>
        <v/>
      </c>
      <c r="H265" s="161" t="inlineStr">
        <is>
          <t>Berserker mais jovem, ainda aprendendo a raiva de bando.</t>
        </is>
      </c>
      <c r="I265" s="161" t="inlineStr">
        <is>
          <t>Golpe Instável</t>
        </is>
      </c>
      <c r="J265" s="161" t="inlineStr">
        <is>
          <t>Nenhum — mas a 50% HP libera Fúria: dano +30% pelo resto do combate.</t>
        </is>
      </c>
      <c r="K265" s="161" t="inlineStr">
        <is>
          <t>Aprendeu a controlar a fúria, mas só até certo ponto.</t>
        </is>
      </c>
      <c r="L265" s="161">
        <f>IF(C265="Comum",ROUND(E265*1.3,0),"—")</f>
        <v/>
      </c>
      <c r="M265" s="161">
        <f>IF(C265="Comum",ROUND(F265*1.15,0),"—")</f>
        <v/>
      </c>
      <c r="N265" s="161">
        <f>IF(C265="Comum",G265+2,"—")</f>
        <v/>
      </c>
      <c r="O265" s="161">
        <f>IF(C265="Comum",ROUND(E265*1.6,0),"—")</f>
        <v/>
      </c>
      <c r="P265" s="161">
        <f>IF(C265="Comum",ROUND(F265*1.3,0),"—")</f>
        <v/>
      </c>
      <c r="Q265" s="161">
        <f>IF(C265="Comum",G265+4,"—")</f>
        <v/>
      </c>
      <c r="R265" s="242" t="n"/>
      <c r="S265" s="161">
        <f>ROUND(3+0.6*D265+IF(C265="Comum",0,IF(C265="Elite",2,IF(C265="Boss",4,6))),0)</f>
        <v/>
      </c>
      <c r="T265" s="161" t="inlineStr">
        <is>
          <t>Ouro + Corrente de Contenção do Berserker</t>
        </is>
      </c>
      <c r="U265" s="161" t="inlineStr">
        <is>
          <t>Ignora Resistência Mágica</t>
        </is>
      </c>
      <c r="V265" s="161" t="inlineStr">
        <is>
          <t>DPS</t>
        </is>
      </c>
      <c r="W265" s="161" t="inlineStr">
        <is>
          <t>Acampamento de Guerra Orc</t>
        </is>
      </c>
      <c r="X265" s="241" t="inlineStr">
        <is>
          <t>A 50% de HP entra em Fúria: +30% de dano pelo resto do combate.</t>
        </is>
      </c>
      <c r="Y265" s="243" t="n"/>
      <c r="Z265" s="243" t="n"/>
      <c r="AA265" s="243" t="n"/>
    </row>
    <row r="266">
      <c r="A266" s="161" t="inlineStr">
        <is>
          <t>Ferro Orquico</t>
        </is>
      </c>
      <c r="B266" s="161" t="inlineStr">
        <is>
          <t>Orc Veterano Ferido</t>
        </is>
      </c>
      <c r="C266" s="161" t="inlineStr">
        <is>
          <t>Comum</t>
        </is>
      </c>
      <c r="D266" s="161" t="n">
        <v>37</v>
      </c>
      <c r="E266" s="161">
        <f>ROUND(INDEX('Curva Mestra'!$F$20:$F$94,MATCH(D266,'Curva Mestra'!$A$20:$A$94,0)),0)</f>
        <v/>
      </c>
      <c r="F266" s="161">
        <f>ROUND(INDEX('Curva Mestra'!$C$20:$C$94,MATCH(D266,'Curva Mestra'!$A$20:$A$94,0))*INDEX($B$5:$B$8,MATCH(C266,$A$5:$A$8,0)),0)</f>
        <v/>
      </c>
      <c r="G266" s="161">
        <f>ROUND(INDEX('Curva Mestra'!$D$20:$D$94,MATCH(D266,'Curva Mestra'!$A$20:$A$94,0))+INDEX($C$5:$C$8,MATCH(C266,$A$5:$A$8,0)),0)</f>
        <v/>
      </c>
      <c r="H266" s="161" t="inlineStr">
        <is>
          <t>Veterano desgastado por anos de guerra.</t>
        </is>
      </c>
      <c r="I266" s="161" t="inlineStr">
        <is>
          <t>Machadada Cansada</t>
        </is>
      </c>
      <c r="J266" s="161" t="inlineStr">
        <is>
          <t>+15% de chance de acerto abaixo de 50% HP.</t>
        </is>
      </c>
      <c r="K266" s="161" t="inlineStr">
        <is>
          <t>Veterano que já não tem tanta força quanto antes.</t>
        </is>
      </c>
      <c r="L266" s="161">
        <f>IF(C266="Comum",ROUND(E266*1.3,0),"—")</f>
        <v/>
      </c>
      <c r="M266" s="161">
        <f>IF(C266="Comum",ROUND(F266*1.15,0),"—")</f>
        <v/>
      </c>
      <c r="N266" s="161">
        <f>IF(C266="Comum",G266+2,"—")</f>
        <v/>
      </c>
      <c r="O266" s="161">
        <f>IF(C266="Comum",ROUND(E266*1.6,0),"—")</f>
        <v/>
      </c>
      <c r="P266" s="161">
        <f>IF(C266="Comum",ROUND(F266*1.3,0),"—")</f>
        <v/>
      </c>
      <c r="Q266" s="161">
        <f>IF(C266="Comum",G266+4,"—")</f>
        <v/>
      </c>
      <c r="R266" s="242" t="n"/>
      <c r="S266" s="161">
        <f>ROUND(3+0.6*D266+IF(C266="Comum",0,IF(C266="Elite",2,IF(C266="Boss",4,6))),0)</f>
        <v/>
      </c>
      <c r="T266" s="161" t="inlineStr">
        <is>
          <t>Ouro + Bandagem de Veterano Ferido</t>
        </is>
      </c>
      <c r="U266" s="161" t="inlineStr">
        <is>
          <t>Fragilidade</t>
        </is>
      </c>
      <c r="V266" s="161" t="inlineStr">
        <is>
          <t>DPS</t>
        </is>
      </c>
      <c r="W266" s="161" t="inlineStr">
        <is>
          <t>Acampamento de Guerra Orc</t>
        </is>
      </c>
      <c r="X266" s="242" t="n"/>
      <c r="Y266" s="243" t="n"/>
      <c r="Z266" s="242" t="n"/>
      <c r="AA266" s="242" t="n"/>
    </row>
    <row r="267">
      <c r="A267" s="161" t="inlineStr">
        <is>
          <t>Ferro Orquico</t>
        </is>
      </c>
      <c r="B267" s="161" t="inlineStr">
        <is>
          <t>Orc Recruta Marcado</t>
        </is>
      </c>
      <c r="C267" s="161" t="inlineStr">
        <is>
          <t>Comum</t>
        </is>
      </c>
      <c r="D267" s="161" t="n">
        <v>38</v>
      </c>
      <c r="E267" s="161">
        <f>ROUND(INDEX('Curva Mestra'!$F$20:$F$94,MATCH(D267,'Curva Mestra'!$A$20:$A$94,0)),0)</f>
        <v/>
      </c>
      <c r="F267" s="161">
        <f>ROUND(INDEX('Curva Mestra'!$C$20:$C$94,MATCH(D267,'Curva Mestra'!$A$20:$A$94,0))*INDEX($B$5:$B$8,MATCH(C267,$A$5:$A$8,0)),0)</f>
        <v/>
      </c>
      <c r="G267" s="161">
        <f>ROUND(INDEX('Curva Mestra'!$D$20:$D$94,MATCH(D267,'Curva Mestra'!$A$20:$A$94,0))+INDEX($C$5:$C$8,MATCH(C267,$A$5:$A$8,0)),0)</f>
        <v/>
      </c>
      <c r="H267" s="161" t="inlineStr">
        <is>
          <t>Acampamento Orc, Bando de Ferro Órquico, região de Ferro Orquico.</t>
        </is>
      </c>
      <c r="I267" s="161" t="inlineStr">
        <is>
          <t>Golpe Desesperado</t>
        </is>
      </c>
      <c r="J267" s="161" t="inlineStr">
        <is>
          <t>Sem efeito especial — luta com medo, não com fúria de verdade.</t>
        </is>
      </c>
      <c r="K267" s="161" t="inlineStr">
        <is>
          <t>Jovem orc marcado à força pelo pacto do chefe com a Mão. Ainda não perdeu tudo — pode ser convencido a fugir.</t>
        </is>
      </c>
      <c r="L267" s="161">
        <f>IF(C267="Comum",ROUND(E267*1.3,0),"—")</f>
        <v/>
      </c>
      <c r="M267" s="161">
        <f>IF(C267="Comum",ROUND(F267*1.15,0),"—")</f>
        <v/>
      </c>
      <c r="N267" s="161">
        <f>IF(C267="Comum",G267+2,"—")</f>
        <v/>
      </c>
      <c r="O267" s="161">
        <f>IF(C267="Comum",ROUND(E267*1.6,0),"—")</f>
        <v/>
      </c>
      <c r="P267" s="161">
        <f>IF(C267="Comum",ROUND(F267*1.3,0),"—")</f>
        <v/>
      </c>
      <c r="Q267" s="161">
        <f>IF(C267="Comum",G267+4,"—")</f>
        <v/>
      </c>
      <c r="R267" s="161" t="inlineStr">
        <is>
          <t>O Recruta Marcado</t>
        </is>
      </c>
      <c r="S267" s="161">
        <f>ROUND(INDEX('Curva Mestra'!$D$20:$D$94,MATCH(D267,'Curva Mestra'!$A$20:$A$94,0))-IF(C267="Comum",9,IF(C267="Elite",6,IF(C267="Boss",4,3))),0)</f>
        <v/>
      </c>
      <c r="T267" s="161" t="inlineStr">
        <is>
          <t>Ouro + Marca Forçada do Recruta + Crânio Troféu do Chefe Orc (chance rara)</t>
        </is>
      </c>
      <c r="U267" s="161" t="inlineStr">
        <is>
          <t>Vulnerável a Ignora Defesa — pele grossa, mas com pontos fracos previsíveis.</t>
        </is>
      </c>
      <c r="V267" s="242" t="inlineStr">
        <is>
          <t>DPS</t>
        </is>
      </c>
      <c r="W267" s="242" t="inlineStr">
        <is>
          <t>Acampamento de Guerra Orc</t>
        </is>
      </c>
      <c r="X267" s="243" t="n"/>
      <c r="Y267" s="243" t="n"/>
      <c r="Z267" s="243" t="n"/>
      <c r="AA267" s="242" t="n"/>
    </row>
    <row r="268">
      <c r="A268" s="161" t="inlineStr">
        <is>
          <t>Ferro Orquico</t>
        </is>
      </c>
      <c r="B268" s="161" t="inlineStr">
        <is>
          <t>Lobo de Guerra Corrompido</t>
        </is>
      </c>
      <c r="C268" s="161" t="inlineStr">
        <is>
          <t>Comum</t>
        </is>
      </c>
      <c r="D268" s="161" t="n">
        <v>38</v>
      </c>
      <c r="E268" s="161">
        <f>ROUND(INDEX('Curva Mestra'!$F$20:$F$94,MATCH(D268,'Curva Mestra'!$A$20:$A$94,0)),0)</f>
        <v/>
      </c>
      <c r="F268" s="161">
        <f>ROUND(INDEX('Curva Mestra'!$C$20:$C$94,MATCH(D268,'Curva Mestra'!$A$20:$A$94,0))*INDEX($B$5:$B$8,MATCH(C268,$A$5:$A$8,0)),0)</f>
        <v/>
      </c>
      <c r="G268" s="161">
        <f>ROUND(INDEX('Curva Mestra'!$D$20:$D$94,MATCH(D268,'Curva Mestra'!$A$20:$A$94,0))+INDEX($C$5:$C$8,MATCH(C268,$A$5:$A$8,0)),0)</f>
        <v/>
      </c>
      <c r="H268" s="161" t="inlineStr">
        <is>
          <t>Acampamento Orc, Bando de Ferro Órquico, região de Ferro Orquico.</t>
        </is>
      </c>
      <c r="I268" s="161" t="inlineStr">
        <is>
          <t>Mordida em Bando</t>
        </is>
      </c>
      <c r="J268" s="161" t="inlineStr">
        <is>
          <t>Ganha +1 de Ataque para cada outro Lobo vivo no combate.</t>
        </is>
      </c>
      <c r="K268" s="161" t="inlineStr">
        <is>
          <t>Fera de guerra do bando — a corrupção deixou os lobos mais rápidos e mais cruéis, mas também mais fáceis de enlouquecer.</t>
        </is>
      </c>
      <c r="L268" s="161">
        <f>IF(C268="Comum",ROUND(E268*1.3,0),"—")</f>
        <v/>
      </c>
      <c r="M268" s="161">
        <f>IF(C268="Comum",ROUND(F268*1.15,0),"—")</f>
        <v/>
      </c>
      <c r="N268" s="161">
        <f>IF(C268="Comum",G268+2,"—")</f>
        <v/>
      </c>
      <c r="O268" s="161">
        <f>IF(C268="Comum",ROUND(E268*1.6,0),"—")</f>
        <v/>
      </c>
      <c r="P268" s="161">
        <f>IF(C268="Comum",ROUND(F268*1.3,0),"—")</f>
        <v/>
      </c>
      <c r="Q268" s="161">
        <f>IF(C268="Comum",G268+4,"—")</f>
        <v/>
      </c>
      <c r="R268" s="161" t="inlineStr">
        <is>
          <t>Lobos na Neblina</t>
        </is>
      </c>
      <c r="S268" s="161">
        <f>ROUND(INDEX('Curva Mestra'!$D$20:$D$94,MATCH(D268,'Curva Mestra'!$A$20:$A$94,0))-IF(C268="Comum",9,IF(C268="Elite",6,IF(C268="Boss",4,3))),0)</f>
        <v/>
      </c>
      <c r="T268" s="161" t="inlineStr">
        <is>
          <t>Ouro + Pelagem Corrompida de Lobo + Crânio Troféu do Chefe Orc (chance rara)</t>
        </is>
      </c>
      <c r="U268" s="161" t="inlineStr">
        <is>
          <t>Vulnerável a Ignora Defesa — pele grossa, mas com pontos fracos previsíveis.</t>
        </is>
      </c>
      <c r="V268" s="242" t="inlineStr">
        <is>
          <t>DPS</t>
        </is>
      </c>
      <c r="W268" s="242" t="inlineStr">
        <is>
          <t>Acampamento de Guerra Orc</t>
        </is>
      </c>
      <c r="X268" s="243" t="n"/>
      <c r="Y268" s="243" t="n"/>
      <c r="Z268" s="243" t="n"/>
      <c r="AA268" s="243" t="n"/>
    </row>
    <row r="269">
      <c r="A269" s="161" t="inlineStr">
        <is>
          <t>Ferro Orquico</t>
        </is>
      </c>
      <c r="B269" s="161" t="inlineStr">
        <is>
          <t>Campeão Cicatrizado Orc</t>
        </is>
      </c>
      <c r="C269" s="161" t="inlineStr">
        <is>
          <t>Elite</t>
        </is>
      </c>
      <c r="D269" s="161" t="n">
        <v>36</v>
      </c>
      <c r="E269" s="161">
        <f>ROUND(INDEX('Curva Mestra'!$G$20:$G$94,MATCH(D269,'Curva Mestra'!$A$20:$A$94,0)),0)</f>
        <v/>
      </c>
      <c r="F269" s="161">
        <f>ROUND(INDEX('Curva Mestra'!$C$20:$C$94,MATCH(D269,'Curva Mestra'!$A$20:$A$94,0))*INDEX($B$5:$B$8,MATCH(C269,$A$5:$A$8,0)),0)</f>
        <v/>
      </c>
      <c r="G269" s="161">
        <f>ROUND(INDEX('Curva Mestra'!$D$20:$D$94,MATCH(D269,'Curva Mestra'!$A$20:$A$94,0))+INDEX($C$5:$C$8,MATCH(C269,$A$5:$A$8,0)),0)</f>
        <v/>
      </c>
      <c r="H269" s="161" t="inlineStr">
        <is>
          <t>Acampamento Orc, Bando de Ferro Órquico, região de Ferro Orquico.</t>
        </is>
      </c>
      <c r="I269" s="161" t="inlineStr">
        <is>
          <t>Fúria de Três Golpes</t>
        </is>
      </c>
      <c r="J269" s="161" t="inlineStr">
        <is>
          <t>Ataca duas vezes no mesmo turno se estiver com menos de 50% de Vida. Também aplica: Ignora 1 ponto de Defesa do alvo.</t>
        </is>
      </c>
      <c r="K269" s="161" t="inlineStr">
        <is>
          <t>O maior duelista do bando, coberto de marcas de guerra — respeita força, não fé cega. É o tipo de orc que Malkor tenta convencer a desertar também.</t>
        </is>
      </c>
      <c r="L269" s="161">
        <f>IF(C269="Comum",ROUND(E269*1.3,0),"—")</f>
        <v/>
      </c>
      <c r="M269" s="161">
        <f>IF(C269="Comum",ROUND(F269*1.15,0),"—")</f>
        <v/>
      </c>
      <c r="N269" s="161">
        <f>IF(C269="Comum",G269+2,"—")</f>
        <v/>
      </c>
      <c r="O269" s="161">
        <f>IF(C269="Comum",ROUND(E269*1.6,0),"—")</f>
        <v/>
      </c>
      <c r="P269" s="161">
        <f>IF(C269="Comum",ROUND(F269*1.3,0),"—")</f>
        <v/>
      </c>
      <c r="Q269" s="161">
        <f>IF(C269="Comum",G269+4,"—")</f>
        <v/>
      </c>
      <c r="R269" s="161" t="inlineStr">
        <is>
          <t>O Voto de Malkor</t>
        </is>
      </c>
      <c r="S269" s="161">
        <f>ROUND(INDEX('Curva Mestra'!$D$20:$D$94,MATCH(D269,'Curva Mestra'!$A$20:$A$94,0))-IF(C269="Comum",9,IF(C269="Elite",6,IF(C269="Boss",4,3))),0)</f>
        <v/>
      </c>
      <c r="T269" s="161" t="inlineStr">
        <is>
          <t>Presa de Campeão Cicatrizado Orc + Ouro + Crânio Troféu do Chefe Orc (chance baixa)</t>
        </is>
      </c>
      <c r="U269" s="161" t="inlineStr">
        <is>
          <t>Vulnerável a Ignora Defesa — pele grossa, mas com pontos fracos previsíveis.</t>
        </is>
      </c>
      <c r="V269" s="242" t="inlineStr">
        <is>
          <t>DPS</t>
        </is>
      </c>
      <c r="W269" s="242" t="inlineStr">
        <is>
          <t>Acampamento de Guerra Orc</t>
        </is>
      </c>
      <c r="X269" s="243" t="n"/>
      <c r="Y269" s="242" t="n"/>
      <c r="Z269" s="243" t="n"/>
      <c r="AA269" s="243" t="n"/>
    </row>
    <row r="270">
      <c r="A270" s="161" t="inlineStr">
        <is>
          <t>Ferro Orquico</t>
        </is>
      </c>
      <c r="B270" s="161" t="inlineStr">
        <is>
          <t>Orc Berserker</t>
        </is>
      </c>
      <c r="C270" s="161" t="inlineStr">
        <is>
          <t>Elite</t>
        </is>
      </c>
      <c r="D270" s="161" t="n">
        <v>37</v>
      </c>
      <c r="E270" s="161">
        <f>ROUND(INDEX('Curva Mestra'!$G$20:$G$94,MATCH(D270,'Curva Mestra'!$A$20:$A$94,0)),0)</f>
        <v/>
      </c>
      <c r="F270" s="161">
        <f>ROUND(INDEX('Curva Mestra'!$C$20:$C$94,MATCH(D270,'Curva Mestra'!$A$20:$A$94,0))*INDEX($B$5:$B$8,MATCH(C270,$A$5:$A$8,0)),0)</f>
        <v/>
      </c>
      <c r="G270" s="161">
        <f>ROUND(INDEX('Curva Mestra'!$D$20:$D$94,MATCH(D270,'Curva Mestra'!$A$20:$A$94,0))+INDEX($C$5:$C$8,MATCH(C270,$A$5:$A$8,0)),0)</f>
        <v/>
      </c>
      <c r="H270" s="161" t="inlineStr">
        <is>
          <t>Encontro dificil dentro do tier Ferro Orquico</t>
        </is>
      </c>
      <c r="I270" s="161" t="inlineStr">
        <is>
          <t>Fúria Descontrolada</t>
        </is>
      </c>
      <c r="J270" s="161" t="inlineStr">
        <is>
          <t>Sangramento (1 dano/turno por 2 turnos) ao acertar.</t>
        </is>
      </c>
      <c r="K270" s="161" t="inlineStr">
        <is>
          <t>Entra em fúria ao ver sangue derramado — não sabe que parte dessa fúria vem do pacto do chefe com a Mão, não só do próprio temperamento.</t>
        </is>
      </c>
      <c r="L270" s="161">
        <f>IF(C270="Comum",ROUND(E270*1.3,0),"—")</f>
        <v/>
      </c>
      <c r="M270" s="161">
        <f>IF(C270="Comum",ROUND(F270*1.15,0),"—")</f>
        <v/>
      </c>
      <c r="N270" s="161">
        <f>IF(C270="Comum",G270+2,"—")</f>
        <v/>
      </c>
      <c r="O270" s="161">
        <f>IF(C270="Comum",ROUND(E270*1.6,0),"—")</f>
        <v/>
      </c>
      <c r="P270" s="161">
        <f>IF(C270="Comum",ROUND(F270*1.3,0),"—")</f>
        <v/>
      </c>
      <c r="Q270" s="161">
        <f>IF(C270="Comum",G270+4,"—")</f>
        <v/>
      </c>
      <c r="R270" s="161" t="inlineStr">
        <is>
          <t>A Guerra do Bando Orc</t>
        </is>
      </c>
      <c r="S270" s="161">
        <f>ROUND(INDEX('Curva Mestra'!$D$20:$D$94,MATCH(D270,'Curva Mestra'!$A$20:$A$94,0))-IF(C270="Comum",9,IF(C270="Elite",6,IF(C270="Boss",4,3))),0)</f>
        <v/>
      </c>
      <c r="T270" s="161" t="inlineStr">
        <is>
          <t>Presa de Orc Berserker + Ouro + Crânio Troféu do Chefe Orc (chance baixa)</t>
        </is>
      </c>
      <c r="U270" s="161" t="inlineStr">
        <is>
          <t>Vulnerável a Ignora Defesa — pele grossa, mas com pontos fracos previsíveis.</t>
        </is>
      </c>
      <c r="V270" s="242" t="inlineStr">
        <is>
          <t>DPS</t>
        </is>
      </c>
      <c r="W270" s="242" t="inlineStr">
        <is>
          <t>Acampamento de Guerra Orc</t>
        </is>
      </c>
      <c r="X270" s="243" t="n"/>
      <c r="Y270" s="243" t="n"/>
      <c r="Z270" s="243" t="n"/>
      <c r="AA270" s="243" t="n"/>
    </row>
    <row r="271">
      <c r="A271" s="161" t="inlineStr">
        <is>
          <t>Ferro Orquico</t>
        </is>
      </c>
      <c r="B271" s="161" t="inlineStr">
        <is>
          <t>Campeão Menor</t>
        </is>
      </c>
      <c r="C271" s="161" t="inlineStr">
        <is>
          <t>Elite</t>
        </is>
      </c>
      <c r="D271" s="161" t="n">
        <v>37</v>
      </c>
      <c r="E271" s="161">
        <f>ROUND(INDEX('Curva Mestra'!$G$20:$G$94,MATCH(D271,'Curva Mestra'!$A$20:$A$94,0)),0)</f>
        <v/>
      </c>
      <c r="F271" s="161">
        <f>ROUND(INDEX('Curva Mestra'!$C$20:$C$94,MATCH(D271,'Curva Mestra'!$A$20:$A$94,0))*INDEX($B$5:$B$8,MATCH(C271,$A$5:$A$8,0)),0)</f>
        <v/>
      </c>
      <c r="G271" s="161">
        <f>ROUND(INDEX('Curva Mestra'!$D$20:$D$94,MATCH(D271,'Curva Mestra'!$A$20:$A$94,0))+INDEX($C$5:$C$8,MATCH(C271,$A$5:$A$8,0)),0)</f>
        <v/>
      </c>
      <c r="H271" s="161" t="inlineStr">
        <is>
          <t>Segue os passos do Campeão Cicatrizado, sem as cicatrizes ainda.</t>
        </is>
      </c>
      <c r="I271" s="161" t="inlineStr">
        <is>
          <t>Golpe de Honra</t>
        </is>
      </c>
      <c r="J271" s="161" t="inlineStr">
        <is>
          <t>Ignora Defesa (moderado).</t>
        </is>
      </c>
      <c r="K271" s="161" t="inlineStr">
        <is>
          <t>Aspira ser Campeão Cicatrizado um dia — luta pra provar valor.</t>
        </is>
      </c>
      <c r="L271" s="161">
        <f>IF(C271="Comum",ROUND(E271*1.3,0),"—")</f>
        <v/>
      </c>
      <c r="M271" s="161">
        <f>IF(C271="Comum",ROUND(F271*1.15,0),"—")</f>
        <v/>
      </c>
      <c r="N271" s="161">
        <f>IF(C271="Comum",G271+2,"—")</f>
        <v/>
      </c>
      <c r="O271" s="161">
        <f>IF(C271="Comum",ROUND(E271*1.6,0),"—")</f>
        <v/>
      </c>
      <c r="P271" s="161">
        <f>IF(C271="Comum",ROUND(F271*1.3,0),"—")</f>
        <v/>
      </c>
      <c r="Q271" s="161">
        <f>IF(C271="Comum",G271+4,"—")</f>
        <v/>
      </c>
      <c r="R271" s="242" t="n"/>
      <c r="S271" s="161">
        <f>ROUND(3+0.6*D271+IF(C271="Comum",0,IF(C271="Elite",2,IF(C271="Boss",4,6))),0)</f>
        <v/>
      </c>
      <c r="T271" s="161" t="inlineStr">
        <is>
          <t>Ouro + Fragmento de Campeão Menor + Crânio Troféu do Chefe Orc (chance baixa)</t>
        </is>
      </c>
      <c r="U271" s="161" t="inlineStr">
        <is>
          <t>Fragilidade</t>
        </is>
      </c>
      <c r="V271" s="161" t="inlineStr">
        <is>
          <t>DPS</t>
        </is>
      </c>
      <c r="W271" s="161" t="inlineStr">
        <is>
          <t>Acampamento de Guerra Orc</t>
        </is>
      </c>
      <c r="X271" s="243" t="n"/>
      <c r="Y271" s="242" t="n"/>
      <c r="Z271" s="243" t="n"/>
      <c r="AA271" s="243" t="n"/>
    </row>
    <row r="272">
      <c r="A272" s="161" t="inlineStr">
        <is>
          <t>Ferro Orquico</t>
        </is>
      </c>
      <c r="B272" s="161" t="inlineStr">
        <is>
          <t>Corvo de Batalha</t>
        </is>
      </c>
      <c r="C272" s="161" t="inlineStr">
        <is>
          <t>Elite</t>
        </is>
      </c>
      <c r="D272" s="161" t="n">
        <v>37</v>
      </c>
      <c r="E272" s="161">
        <f>ROUND(INDEX('Curva Mestra'!$G$20:$G$94,MATCH(D272,'Curva Mestra'!$A$20:$A$94,0)),0)</f>
        <v/>
      </c>
      <c r="F272" s="161">
        <f>ROUND(INDEX('Curva Mestra'!$C$20:$C$94,MATCH(D272,'Curva Mestra'!$A$20:$A$94,0))*INDEX($B$5:$B$8,MATCH(C272,$A$5:$A$8,0)),0)</f>
        <v/>
      </c>
      <c r="G272" s="161">
        <f>ROUND(INDEX('Curva Mestra'!$D$20:$D$94,MATCH(D272,'Curva Mestra'!$A$20:$A$94,0))+INDEX($C$5:$C$8,MATCH(C272,$A$5:$A$8,0)),0)</f>
        <v/>
      </c>
      <c r="H272" s="161" t="inlineStr">
        <is>
          <t>Ave carniceira que aprendeu a seguir a guerra.</t>
        </is>
      </c>
      <c r="I272" s="161" t="inlineStr">
        <is>
          <t>Fuga com Troféu</t>
        </is>
      </c>
      <c r="J272" s="161" t="inlineStr">
        <is>
          <t>Não causa dano — foge no turno 3, carregando 1 item se sobreviver.</t>
        </is>
      </c>
      <c r="K272" s="161" t="inlineStr">
        <is>
          <t>Segue os bandos orcs, pega o que sobra depois da matança.</t>
        </is>
      </c>
      <c r="L272" s="161">
        <f>IF(C272="Comum",ROUND(E272*1.3,0),"—")</f>
        <v/>
      </c>
      <c r="M272" s="161">
        <f>IF(C272="Comum",ROUND(F272*1.15,0),"—")</f>
        <v/>
      </c>
      <c r="N272" s="161">
        <f>IF(C272="Comum",G272+2,"—")</f>
        <v/>
      </c>
      <c r="O272" s="161">
        <f>IF(C272="Comum",ROUND(E272*1.6,0),"—")</f>
        <v/>
      </c>
      <c r="P272" s="161">
        <f>IF(C272="Comum",ROUND(F272*1.3,0),"—")</f>
        <v/>
      </c>
      <c r="Q272" s="161">
        <f>IF(C272="Comum",G272+4,"—")</f>
        <v/>
      </c>
      <c r="R272" s="242" t="n"/>
      <c r="S272" s="161">
        <f>ROUND(3+0.6*D272+IF(C272="Comum",0,IF(C272="Elite",2,IF(C272="Boss",4,6))),0)</f>
        <v/>
      </c>
      <c r="T272" s="161" t="inlineStr">
        <is>
          <t>Ouro + Pena Negra de Corvo de Batalha</t>
        </is>
      </c>
      <c r="U272" s="161" t="inlineStr">
        <is>
          <t>Lentidão</t>
        </is>
      </c>
      <c r="V272" s="161" t="inlineStr">
        <is>
          <t>Superloot/Evasivo</t>
        </is>
      </c>
      <c r="W272" s="161" t="inlineStr">
        <is>
          <t>Acampamento de Guerra Orc, spawn raro (2%)</t>
        </is>
      </c>
      <c r="X272" s="243" t="n"/>
      <c r="Y272" s="243" t="n"/>
      <c r="Z272" s="243" t="n"/>
      <c r="AA272" s="241" t="inlineStr">
        <is>
          <t>Veio Profundo de Mithril (material de Tier 9) — correção: nome anterior 'Lingote de Ferro Órquico Refinado' não existia como material real; ajustado pra seguir a regra 141</t>
        </is>
      </c>
    </row>
    <row r="273">
      <c r="A273" s="161" t="inlineStr">
        <is>
          <t>Ferro Orquico</t>
        </is>
      </c>
      <c r="B273" s="161" t="inlineStr">
        <is>
          <t>Lobo Alfa Menor</t>
        </is>
      </c>
      <c r="C273" s="161" t="inlineStr">
        <is>
          <t>Elite</t>
        </is>
      </c>
      <c r="D273" s="161" t="n">
        <v>38</v>
      </c>
      <c r="E273" s="161">
        <f>ROUND(INDEX('Curva Mestra'!$G$20:$G$94,MATCH(D273,'Curva Mestra'!$A$20:$A$94,0)),0)</f>
        <v/>
      </c>
      <c r="F273" s="161">
        <f>ROUND(INDEX('Curva Mestra'!$C$20:$C$94,MATCH(D273,'Curva Mestra'!$A$20:$A$94,0))*INDEX($B$5:$B$8,MATCH(C273,$A$5:$A$8,0)),0)</f>
        <v/>
      </c>
      <c r="G273" s="161">
        <f>ROUND(INDEX('Curva Mestra'!$D$20:$D$94,MATCH(D273,'Curva Mestra'!$A$20:$A$94,0))+INDEX($C$5:$C$8,MATCH(C273,$A$5:$A$8,0)),0)</f>
        <v/>
      </c>
      <c r="H273" s="161" t="inlineStr">
        <is>
          <t>Alfa mais jovem, ainda provando seu lugar na matilha.</t>
        </is>
      </c>
      <c r="I273" s="161" t="inlineStr">
        <is>
          <t>Investida em Bando</t>
        </is>
      </c>
      <c r="J273" s="161" t="inlineStr">
        <is>
          <t>Ignora Defesa + concede +10% de acerto aos Lobos de Guerra próximos.</t>
        </is>
      </c>
      <c r="K273" s="161" t="inlineStr">
        <is>
          <t>Lidera a matilha que caça ao lado do bando orc.</t>
        </is>
      </c>
      <c r="L273" s="161">
        <f>IF(C273="Comum",ROUND(E273*1.3,0),"—")</f>
        <v/>
      </c>
      <c r="M273" s="161">
        <f>IF(C273="Comum",ROUND(F273*1.15,0),"—")</f>
        <v/>
      </c>
      <c r="N273" s="161">
        <f>IF(C273="Comum",G273+2,"—")</f>
        <v/>
      </c>
      <c r="O273" s="161">
        <f>IF(C273="Comum",ROUND(E273*1.6,0),"—")</f>
        <v/>
      </c>
      <c r="P273" s="161">
        <f>IF(C273="Comum",ROUND(F273*1.3,0),"—")</f>
        <v/>
      </c>
      <c r="Q273" s="161">
        <f>IF(C273="Comum",G273+4,"—")</f>
        <v/>
      </c>
      <c r="R273" s="242" t="n"/>
      <c r="S273" s="161">
        <f>ROUND(3+0.6*D273+IF(C273="Comum",0,IF(C273="Elite",2,IF(C273="Boss",4,6))),0)</f>
        <v/>
      </c>
      <c r="T273" s="161" t="inlineStr">
        <is>
          <t>Ouro + Fragmento de Lobo Alfa Menor + Crânio Troféu do Chefe Orc (chance baixa)</t>
        </is>
      </c>
      <c r="U273" s="161" t="inlineStr">
        <is>
          <t>Lentidão</t>
        </is>
      </c>
      <c r="V273" s="161" t="inlineStr">
        <is>
          <t>Suporte/DPS</t>
        </is>
      </c>
      <c r="W273" s="161" t="inlineStr">
        <is>
          <t>Trilha de Caça do Bando</t>
        </is>
      </c>
      <c r="X273" s="243" t="n"/>
      <c r="Y273" s="243" t="n"/>
      <c r="Z273" s="243" t="n"/>
      <c r="AA273" s="243" t="n"/>
    </row>
    <row r="274">
      <c r="A274" s="161" t="inlineStr">
        <is>
          <t>Ferro Orquico</t>
        </is>
      </c>
      <c r="B274" s="161" t="inlineStr">
        <is>
          <t>Totem de Guerra Falso</t>
        </is>
      </c>
      <c r="C274" s="161" t="inlineStr">
        <is>
          <t>Elite</t>
        </is>
      </c>
      <c r="D274" s="161" t="n">
        <v>38</v>
      </c>
      <c r="E274" s="161">
        <f>ROUND(INDEX('Curva Mestra'!$G$20:$G$94,MATCH(D274,'Curva Mestra'!$A$20:$A$94,0)),0)</f>
        <v/>
      </c>
      <c r="F274" s="161">
        <f>ROUND(INDEX('Curva Mestra'!$C$20:$C$94,MATCH(D274,'Curva Mestra'!$A$20:$A$94,0))*INDEX($B$5:$B$8,MATCH(C274,$A$5:$A$8,0)),0)</f>
        <v/>
      </c>
      <c r="G274" s="161">
        <f>ROUND(INDEX('Curva Mestra'!$D$20:$D$94,MATCH(D274,'Curva Mestra'!$A$20:$A$94,0))+INDEX($C$5:$C$8,MATCH(C274,$A$5:$A$8,0)),0)</f>
        <v/>
      </c>
      <c r="H274" s="161" t="inlineStr">
        <is>
          <t>Totem de guerra que não é bem um totem.</t>
        </is>
      </c>
      <c r="I274" s="161" t="inlineStr">
        <is>
          <t>Mordida do Totem</t>
        </is>
      </c>
      <c r="J274" s="161" t="inlineStr">
        <is>
          <t>Ignora Defesa + jogador perde 1 turno de surpresa.</t>
        </is>
      </c>
      <c r="K274" s="161" t="inlineStr">
        <is>
          <t>O bando planta totens-armadilha nas trilhas pra pegar batedores inimigos.</t>
        </is>
      </c>
      <c r="L274" s="161">
        <f>IF(C274="Comum",ROUND(E274*1.3,0),"—")</f>
        <v/>
      </c>
      <c r="M274" s="161">
        <f>IF(C274="Comum",ROUND(F274*1.15,0),"—")</f>
        <v/>
      </c>
      <c r="N274" s="161">
        <f>IF(C274="Comum",G274+2,"—")</f>
        <v/>
      </c>
      <c r="O274" s="161">
        <f>IF(C274="Comum",ROUND(E274*1.6,0),"—")</f>
        <v/>
      </c>
      <c r="P274" s="161">
        <f>IF(C274="Comum",ROUND(F274*1.3,0),"—")</f>
        <v/>
      </c>
      <c r="Q274" s="161">
        <f>IF(C274="Comum",G274+4,"—")</f>
        <v/>
      </c>
      <c r="R274" s="242" t="n"/>
      <c r="S274" s="161">
        <f>ROUND(3+0.6*D274+IF(C274="Comum",0,IF(C274="Elite",2,IF(C274="Boss",4,6))),0)</f>
        <v/>
      </c>
      <c r="T274" s="161" t="inlineStr">
        <is>
          <t>Ouro + Lingote de Ferro Órquico Bruto (chance alta, x2) + Fragmento de Totem Armadilhado</t>
        </is>
      </c>
      <c r="U274" s="161" t="inlineStr">
        <is>
          <t>Atordoamento</t>
        </is>
      </c>
      <c r="V274" s="161" t="inlineStr">
        <is>
          <t>Mímico</t>
        </is>
      </c>
      <c r="W274" s="161" t="inlineStr">
        <is>
          <t>Trilha de Caça do Bando, 5% ao interagir</t>
        </is>
      </c>
      <c r="X274" s="243" t="n"/>
      <c r="Y274" s="243" t="n"/>
      <c r="Z274" s="243" t="n"/>
      <c r="AA274" s="241" t="inlineStr">
        <is>
          <t>Lingote de Ferro Órquico Bruto x2 (falso — some ao ser revelado, sem uso real) — correção: nome anterior 'Presa de Campeão Cicatrizado Orc x2' reutilizava o troféu de outro Elite; ajustado pro material-base do próprio tier, seguindo o padrão de Mímico usado nos demais tiers</t>
        </is>
      </c>
    </row>
    <row r="275">
      <c r="A275" s="161" t="inlineStr">
        <is>
          <t>Ferro Orquico</t>
        </is>
      </c>
      <c r="B275" s="161" t="inlineStr">
        <is>
          <t>Xamã do Sangue Negro</t>
        </is>
      </c>
      <c r="C275" s="161" t="inlineStr">
        <is>
          <t>Elite</t>
        </is>
      </c>
      <c r="D275" s="161" t="n">
        <v>39</v>
      </c>
      <c r="E275" s="161">
        <f>ROUND(INDEX('Curva Mestra'!$G$20:$G$94,MATCH(D275,'Curva Mestra'!$A$20:$A$94,0)),0)</f>
        <v/>
      </c>
      <c r="F275" s="161">
        <f>ROUND(INDEX('Curva Mestra'!$C$20:$C$94,MATCH(D275,'Curva Mestra'!$A$20:$A$94,0))*INDEX($B$5:$B$8,MATCH(C275,$A$5:$A$8,0)),0)</f>
        <v/>
      </c>
      <c r="G275" s="161">
        <f>ROUND(INDEX('Curva Mestra'!$D$20:$D$94,MATCH(D275,'Curva Mestra'!$A$20:$A$94,0))+INDEX($C$5:$C$8,MATCH(C275,$A$5:$A$8,0)),0)</f>
        <v/>
      </c>
      <c r="H275" s="161" t="inlineStr">
        <is>
          <t>Acampamento Orc, Bando de Ferro Órquico, região de Ferro Orquico.</t>
        </is>
      </c>
      <c r="I275" s="161" t="inlineStr">
        <is>
          <t>Ritual de Fortalecimento</t>
        </is>
      </c>
      <c r="J275" s="161" t="inlineStr">
        <is>
          <t>Concede +2 de Defesa a todos os orcs aliados no início do combate.</t>
        </is>
      </c>
      <c r="K275" s="161" t="inlineStr">
        <is>
          <t>Canaliza o pacto do chefe com a Mão pra fortalecer o bando inteiro — é a fonte do poder "artificial" que Malkor denuncia.</t>
        </is>
      </c>
      <c r="L275" s="161">
        <f>IF(C275="Comum",ROUND(E275*1.3,0),"—")</f>
        <v/>
      </c>
      <c r="M275" s="161">
        <f>IF(C275="Comum",ROUND(F275*1.15,0),"—")</f>
        <v/>
      </c>
      <c r="N275" s="161">
        <f>IF(C275="Comum",G275+2,"—")</f>
        <v/>
      </c>
      <c r="O275" s="161">
        <f>IF(C275="Comum",ROUND(E275*1.6,0),"—")</f>
        <v/>
      </c>
      <c r="P275" s="161">
        <f>IF(C275="Comum",ROUND(F275*1.3,0),"—")</f>
        <v/>
      </c>
      <c r="Q275" s="161">
        <f>IF(C275="Comum",G275+4,"—")</f>
        <v/>
      </c>
      <c r="R275" s="161" t="inlineStr">
        <is>
          <t>O Xamã do Sangue Negro</t>
        </is>
      </c>
      <c r="S275" s="161">
        <f>ROUND(INDEX('Curva Mestra'!$D$20:$D$94,MATCH(D275,'Curva Mestra'!$A$20:$A$94,0))-IF(C275="Comum",9,IF(C275="Elite",6,IF(C275="Boss",4,3))),0)</f>
        <v/>
      </c>
      <c r="T275" s="161" t="inlineStr">
        <is>
          <t>Amostra de Carne de Xamã do Sangue Negro + Ouro + Crânio Troféu do Chefe Orc (chance baixa)</t>
        </is>
      </c>
      <c r="U275" s="161" t="inlineStr">
        <is>
          <t>Vulnerável a Fogo — a carne corrompida queima rápido demais pra se regenerar.</t>
        </is>
      </c>
      <c r="V275" s="242" t="inlineStr">
        <is>
          <t>Suporte</t>
        </is>
      </c>
      <c r="W275" s="242" t="inlineStr">
        <is>
          <t>Acampamento de Guerra Orc</t>
        </is>
      </c>
      <c r="X275" s="243" t="n"/>
      <c r="Y275" s="243" t="n"/>
      <c r="Z275" s="243" t="n"/>
      <c r="AA275" s="243" t="n"/>
    </row>
    <row r="276">
      <c r="A276" s="161" t="inlineStr">
        <is>
          <t>Ferro Orquico</t>
        </is>
      </c>
      <c r="B276" s="161" t="inlineStr">
        <is>
          <t>Grok, o Que Recusou a Guerra</t>
        </is>
      </c>
      <c r="C276" s="161" t="inlineStr">
        <is>
          <t>Elite</t>
        </is>
      </c>
      <c r="D276" s="161" t="n">
        <v>39</v>
      </c>
      <c r="E276" s="161">
        <f>ROUND(INDEX('Curva Mestra'!$G$20:$G$94,MATCH(D276,'Curva Mestra'!$A$20:$A$94,0)),0)</f>
        <v/>
      </c>
      <c r="F276" s="161">
        <f>ROUND(INDEX('Curva Mestra'!$C$20:$C$94,MATCH(D276,'Curva Mestra'!$A$20:$A$94,0))*INDEX($B$5:$B$8,MATCH(C276,$A$5:$A$8,0)),0)</f>
        <v/>
      </c>
      <c r="G276" s="161">
        <f>ROUND(INDEX('Curva Mestra'!$D$20:$D$94,MATCH(D276,'Curva Mestra'!$A$20:$A$94,0))+INDEX($C$5:$C$8,MATCH(C276,$A$5:$A$8,0)),0)</f>
        <v/>
      </c>
      <c r="H276" s="161" t="inlineStr">
        <is>
          <t>Ex-Campeão que decidiu que a guerra não valia a marca.</t>
        </is>
      </c>
      <c r="I276" s="161" t="inlineStr">
        <is>
          <t>Machado Deposto</t>
        </is>
      </c>
      <c r="J276" s="161" t="inlineStr">
        <is>
          <t>Ignora Defesa + Rouba Vida (10%) — só ataca se atacado primeiro.</t>
        </is>
      </c>
      <c r="K276" s="161" t="inlineStr">
        <is>
          <t>Foi Campeão do bando. Parou de lutar quando entendeu o que a marca fazia com eles.</t>
        </is>
      </c>
      <c r="L276" s="161">
        <f>IF(C276="Comum",ROUND(E276*1.3,0),"—")</f>
        <v/>
      </c>
      <c r="M276" s="161">
        <f>IF(C276="Comum",ROUND(F276*1.15,0),"—")</f>
        <v/>
      </c>
      <c r="N276" s="161">
        <f>IF(C276="Comum",G276+2,"—")</f>
        <v/>
      </c>
      <c r="O276" s="161">
        <f>IF(C276="Comum",ROUND(E276*1.6,0),"—")</f>
        <v/>
      </c>
      <c r="P276" s="161">
        <f>IF(C276="Comum",ROUND(F276*1.3,0),"—")</f>
        <v/>
      </c>
      <c r="Q276" s="161">
        <f>IF(C276="Comum",G276+4,"—")</f>
        <v/>
      </c>
      <c r="R276" s="242" t="n"/>
      <c r="S276" s="161">
        <f>ROUND(3+0.6*D276+IF(C276="Comum",0,IF(C276="Elite",2,IF(C276="Boss",4,6))),0)</f>
        <v/>
      </c>
      <c r="T276" s="161" t="inlineStr">
        <is>
          <t>Ouro + Fragmento do Campeão Deposto + Crânio Troféu do Chefe Orc (chance baixa)</t>
        </is>
      </c>
      <c r="U276" s="161" t="inlineStr">
        <is>
          <t>Lentidão</t>
        </is>
      </c>
      <c r="V276" s="161" t="inlineStr">
        <is>
          <t>Nomeado / Mini-Boss</t>
        </is>
      </c>
      <c r="W276" s="161" t="inlineStr">
        <is>
          <t>Acampamento de Guerra Orc, spawn raro (4%)</t>
        </is>
      </c>
      <c r="X276" s="241" t="inlineStr">
        <is>
          <t>A 30% de HP, para de lutar e oferece se juntar ao jogador contra o próprio bando (vira aliado se aceito).</t>
        </is>
      </c>
      <c r="Y276" s="243" t="n"/>
      <c r="Z276" s="241" t="inlineStr">
        <is>
          <t>O bando o considera traidor — atacá-lo dá reputação negativa com Orcs, positiva com Milícia dos Desamparados.</t>
        </is>
      </c>
      <c r="AA276" s="241" t="inlineStr">
        <is>
          <t>Machado do Campeão Deposto (se derrotado em vez de recrutado) [ver Artefatos e Relíquias]</t>
        </is>
      </c>
    </row>
    <row r="277">
      <c r="A277" s="161" t="inlineStr">
        <is>
          <t>Ferro Orquico</t>
        </is>
      </c>
      <c r="B277" s="161" t="inlineStr">
        <is>
          <t>Orc Berserker Ritualizado</t>
        </is>
      </c>
      <c r="C277" s="161" t="inlineStr">
        <is>
          <t>Elite</t>
        </is>
      </c>
      <c r="D277" s="161" t="n">
        <v>39</v>
      </c>
      <c r="E277" s="161">
        <f>ROUND(INDEX('Curva Mestra'!$G$20:$G$94,MATCH(D277,'Curva Mestra'!$A$20:$A$94,0)),0)</f>
        <v/>
      </c>
      <c r="F277" s="161">
        <f>ROUND(INDEX('Curva Mestra'!$C$20:$C$94,MATCH(D277,'Curva Mestra'!$A$20:$A$94,0))*INDEX($B$5:$B$8,MATCH(C277,$A$5:$A$8,0)),0)</f>
        <v/>
      </c>
      <c r="G277" s="161">
        <f>ROUND(INDEX('Curva Mestra'!$D$20:$D$94,MATCH(D277,'Curva Mestra'!$A$20:$A$94,0))+INDEX($C$5:$C$8,MATCH(C277,$A$5:$A$8,0)),0)</f>
        <v/>
      </c>
      <c r="H277" s="161" t="inlineStr">
        <is>
          <t>Guerreiro que passou pelo ritual completo do Sangue Negro.</t>
        </is>
      </c>
      <c r="I277" s="161" t="inlineStr">
        <is>
          <t>Fúria do Sangue Negro</t>
        </is>
      </c>
      <c r="J277" s="161" t="inlineStr">
        <is>
          <t>Ignora Resistência Mágica + Ignora Defesa — só aparece durante ritual ativo do Xamã.</t>
        </is>
      </c>
      <c r="K277" s="161" t="inlineStr">
        <is>
          <t>Bebeu do ritual do Sangue Negro antes da batalha.</t>
        </is>
      </c>
      <c r="L277" s="161">
        <f>IF(C277="Comum",ROUND(E277*1.3,0),"—")</f>
        <v/>
      </c>
      <c r="M277" s="161">
        <f>IF(C277="Comum",ROUND(F277*1.15,0),"—")</f>
        <v/>
      </c>
      <c r="N277" s="161">
        <f>IF(C277="Comum",G277+2,"—")</f>
        <v/>
      </c>
      <c r="O277" s="161">
        <f>IF(C277="Comum",ROUND(E277*1.6,0),"—")</f>
        <v/>
      </c>
      <c r="P277" s="161">
        <f>IF(C277="Comum",ROUND(F277*1.3,0),"—")</f>
        <v/>
      </c>
      <c r="Q277" s="161">
        <f>IF(C277="Comum",G277+4,"—")</f>
        <v/>
      </c>
      <c r="R277" s="242" t="n"/>
      <c r="S277" s="161">
        <f>ROUND(3+0.6*D277+IF(C277="Comum",0,IF(C277="Elite",2,IF(C277="Boss",4,6))),0)</f>
        <v/>
      </c>
      <c r="T277" s="161" t="inlineStr">
        <is>
          <t>Ouro + Fragmento de Berserker Ritualizado + Crânio Troféu do Chefe Orc (chance baixa)</t>
        </is>
      </c>
      <c r="U277" s="161" t="inlineStr">
        <is>
          <t>Fragilidade</t>
        </is>
      </c>
      <c r="V277" s="161" t="inlineStr">
        <is>
          <t>Condicional/DPS</t>
        </is>
      </c>
      <c r="W277" s="161" t="inlineStr">
        <is>
          <t>Acampamento de Guerra Orc, só com ritual do Xamã ativo</t>
        </is>
      </c>
      <c r="X277" s="243" t="n"/>
      <c r="Y277" s="242" t="n"/>
      <c r="Z277" s="243" t="n"/>
      <c r="AA277" s="243" t="n"/>
    </row>
    <row r="278">
      <c r="A278" s="161" t="inlineStr">
        <is>
          <t>Ferro Orquico</t>
        </is>
      </c>
      <c r="B278" s="161" t="inlineStr">
        <is>
          <t>Chefe do Bando Orc</t>
        </is>
      </c>
      <c r="C278" s="161" t="inlineStr">
        <is>
          <t>Boss</t>
        </is>
      </c>
      <c r="D278" s="161" t="n">
        <v>39</v>
      </c>
      <c r="E278" s="161">
        <f>ROUND(INDEX('Curva Mestra'!$H$20:$H$94,MATCH(D278,'Curva Mestra'!$A$20:$A$94,0)),0)</f>
        <v/>
      </c>
      <c r="F278" s="161">
        <f>ROUND(INDEX('Curva Mestra'!$C$20:$C$94,MATCH(D278,'Curva Mestra'!$A$20:$A$94,0))*INDEX($B$5:$B$8,MATCH(C278,$A$5:$A$8,0)),0)</f>
        <v/>
      </c>
      <c r="G278" s="161">
        <f>ROUND(INDEX('Curva Mestra'!$D$20:$D$94,MATCH(D278,'Curva Mestra'!$A$20:$A$94,0))+INDEX($C$5:$C$8,MATCH(C278,$A$5:$A$8,0)),0)</f>
        <v/>
      </c>
      <c r="H278" s="161" t="inlineStr">
        <is>
          <t>Chefe / marco final do tier Ferro Orquico</t>
        </is>
      </c>
      <c r="I278" s="161" t="inlineStr">
        <is>
          <t>Golpe do Comando</t>
        </is>
      </c>
      <c r="J278" s="161" t="inlineStr">
        <is>
          <t>Ignora 1 ponto de Defesa do alvo.</t>
        </is>
      </c>
      <c r="K278" s="161" t="inlineStr">
        <is>
          <t>Aceitou o sangue da Mão Carmesim pra ganhar força artificial — Malkor desertou no dia em que percebeu o que o chefe tinha se tornado.</t>
        </is>
      </c>
      <c r="L278" s="161">
        <f>IF(C278="Comum",ROUND(E278*1.3,0),"—")</f>
        <v/>
      </c>
      <c r="M278" s="161">
        <f>IF(C278="Comum",ROUND(F278*1.15,0),"—")</f>
        <v/>
      </c>
      <c r="N278" s="161">
        <f>IF(C278="Comum",G278+2,"—")</f>
        <v/>
      </c>
      <c r="O278" s="161">
        <f>IF(C278="Comum",ROUND(E278*1.6,0),"—")</f>
        <v/>
      </c>
      <c r="P278" s="161">
        <f>IF(C278="Comum",ROUND(F278*1.3,0),"—")</f>
        <v/>
      </c>
      <c r="Q278" s="161">
        <f>IF(C278="Comum",G278+4,"—")</f>
        <v/>
      </c>
      <c r="R278" s="161" t="inlineStr">
        <is>
          <t>A Guerra do Bando Orc</t>
        </is>
      </c>
      <c r="S278" s="161">
        <f>ROUND(INDEX('Curva Mestra'!$D$20:$D$94,MATCH(D278,'Curva Mestra'!$A$20:$A$94,0))-IF(C278="Comum",9,IF(C278="Elite",6,IF(C278="Boss",4,3))),0)</f>
        <v/>
      </c>
      <c r="T278" s="161" t="inlineStr">
        <is>
          <t>Presa de Chefe do Bando Orc + Essência de Chefe do Bando Orc + Ouro + Crânio Troféu do Chefe Orc (chance baixa)</t>
        </is>
      </c>
      <c r="U278" s="161" t="inlineStr">
        <is>
          <t>Vulnerável a Ignora Defesa — pele grossa, mas com pontos fracos previsíveis.</t>
        </is>
      </c>
      <c r="V278" s="242" t="inlineStr">
        <is>
          <t>DPS</t>
        </is>
      </c>
      <c r="W278" s="242" t="inlineStr">
        <is>
          <t>Acampamento de Guerra Orc</t>
        </is>
      </c>
      <c r="X278" s="243" t="n"/>
      <c r="Y278" s="243" t="n"/>
      <c r="Z278" s="243" t="n"/>
      <c r="AA278" s="243" t="n"/>
    </row>
    <row r="279">
      <c r="A279" s="161" t="inlineStr">
        <is>
          <t>Ferro Orquico</t>
        </is>
      </c>
      <c r="B279" s="161" t="inlineStr">
        <is>
          <t>O Guardião do Estandarte</t>
        </is>
      </c>
      <c r="C279" s="161" t="inlineStr">
        <is>
          <t>Boss</t>
        </is>
      </c>
      <c r="D279" s="161" t="n">
        <v>40</v>
      </c>
      <c r="E279" s="161">
        <f>ROUND(INDEX('Curva Mestra'!$H$20:$H$94,MATCH(D279,'Curva Mestra'!$A$20:$A$94,0)),0)</f>
        <v/>
      </c>
      <c r="F279" s="161">
        <f>ROUND(INDEX('Curva Mestra'!$C$20:$C$94,MATCH(D279,'Curva Mestra'!$A$20:$A$94,0))*INDEX($B$5:$B$8,MATCH(C279,$A$5:$A$8,0)),0)</f>
        <v/>
      </c>
      <c r="G279" s="161">
        <f>ROUND(INDEX('Curva Mestra'!$D$20:$D$94,MATCH(D279,'Curva Mestra'!$A$20:$A$94,0))+INDEX($C$5:$C$8,MATCH(C279,$A$5:$A$8,0)),0)</f>
        <v/>
      </c>
      <c r="H279" s="161" t="inlineStr">
        <is>
          <t>Acampamento Orc, Bando de Ferro Órquico, região de Ferro Orquico.</t>
        </is>
      </c>
      <c r="I279" s="161" t="inlineStr">
        <is>
          <t>Grito de Guerra Eterno</t>
        </is>
      </c>
      <c r="J279" s="161" t="inlineStr">
        <is>
          <t>Concede +1 de Ataque a todos os orcs vivos na batalha, uma vez por combate. Também aplica: Sangramento (1 dano/turno por 2 turnos) ao acertar.</t>
        </is>
      </c>
      <c r="K279" s="161" t="inlineStr">
        <is>
          <t>Protege "O Estandarte do Bando Despedaçado" — o símbolo sob o qual três clãs lutaram até o último guerreiro cair, antes da corrupção chegar.</t>
        </is>
      </c>
      <c r="L279" s="161">
        <f>IF(C279="Comum",ROUND(E279*1.3,0),"—")</f>
        <v/>
      </c>
      <c r="M279" s="161">
        <f>IF(C279="Comum",ROUND(F279*1.15,0),"—")</f>
        <v/>
      </c>
      <c r="N279" s="161">
        <f>IF(C279="Comum",G279+2,"—")</f>
        <v/>
      </c>
      <c r="O279" s="161">
        <f>IF(C279="Comum",ROUND(E279*1.6,0),"—")</f>
        <v/>
      </c>
      <c r="P279" s="161">
        <f>IF(C279="Comum",ROUND(F279*1.3,0),"—")</f>
        <v/>
      </c>
      <c r="Q279" s="161">
        <f>IF(C279="Comum",G279+4,"—")</f>
        <v/>
      </c>
      <c r="R279" s="161" t="inlineStr">
        <is>
          <t>O Estandarte Despedaçado</t>
        </is>
      </c>
      <c r="S279" s="161">
        <f>ROUND(INDEX('Curva Mestra'!$D$20:$D$94,MATCH(D279,'Curva Mestra'!$A$20:$A$94,0))-IF(C279="Comum",9,IF(C279="Elite",6,IF(C279="Boss",4,3))),0)</f>
        <v/>
      </c>
      <c r="T279" s="161" t="inlineStr">
        <is>
          <t>Núcleo de O Guardião do Estandarte + Essência de O Guardião do Estandarte + Ouro + Crânio Troféu do Chefe Orc (chance baixa)</t>
        </is>
      </c>
      <c r="U279" s="161" t="inlineStr">
        <is>
          <t>Vulnerável a Ignora Resistência Mágica — segue ordens antigas, sem vontade própria pra resistir.</t>
        </is>
      </c>
      <c r="V279" s="242" t="inlineStr">
        <is>
          <t>DPS</t>
        </is>
      </c>
      <c r="W279" s="242" t="inlineStr">
        <is>
          <t>Acampamento de Guerra Orc</t>
        </is>
      </c>
      <c r="X279" s="243" t="n"/>
      <c r="Y279" s="243" t="n"/>
      <c r="Z279" s="243" t="n"/>
      <c r="AA279" s="243" t="inlineStr">
        <is>
          <t>O Estandarte do Bando Despedaçado</t>
        </is>
      </c>
    </row>
    <row r="280">
      <c r="A280" s="161" t="inlineStr">
        <is>
          <t>Mithril</t>
        </is>
      </c>
      <c r="B280" s="161" t="inlineStr">
        <is>
          <t>Náufrago Escondido</t>
        </is>
      </c>
      <c r="C280" s="161" t="inlineStr">
        <is>
          <t>Comum</t>
        </is>
      </c>
      <c r="D280" s="161" t="n">
        <v>38</v>
      </c>
      <c r="E280" s="161">
        <f>ROUND(INDEX('Curva Mestra'!$F$20:$F$94,MATCH(D280,'Curva Mestra'!$A$20:$A$94,0)),0)</f>
        <v/>
      </c>
      <c r="F280" s="161">
        <f>ROUND(INDEX('Curva Mestra'!$C$20:$C$94,MATCH(D280,'Curva Mestra'!$A$20:$A$94,0))*INDEX($B$5:$B$8,MATCH(C280,$A$5:$A$8,0)),0)</f>
        <v/>
      </c>
      <c r="G280" s="161">
        <f>ROUND(INDEX('Curva Mestra'!$D$20:$D$94,MATCH(D280,'Curva Mestra'!$A$20:$A$94,0))+INDEX($C$5:$C$8,MATCH(C280,$A$5:$A$8,0)),0)</f>
        <v/>
      </c>
      <c r="H280" s="161" t="inlineStr">
        <is>
          <t>Último sobrevivente lúcido, ainda se escondendo.</t>
        </is>
      </c>
      <c r="I280" s="161" t="inlineStr">
        <is>
          <t>(não ataca)</t>
        </is>
      </c>
      <c r="J280" s="161" t="inlineStr">
        <is>
          <t>Não-hostil: se poupado, ensina uma Receita de mergulho exclusiva.</t>
        </is>
      </c>
      <c r="K280" s="161" t="inlineStr">
        <is>
          <t>Sobrevive escondido numa bolsa de ar há semanas, evitando a assimilação.</t>
        </is>
      </c>
      <c r="L280" s="161">
        <f>IF(C280="Comum",ROUND(E280*1.3,0),"—")</f>
        <v/>
      </c>
      <c r="M280" s="161">
        <f>IF(C280="Comum",ROUND(F280*1.15,0),"—")</f>
        <v/>
      </c>
      <c r="N280" s="161">
        <f>IF(C280="Comum",G280+2,"—")</f>
        <v/>
      </c>
      <c r="O280" s="161">
        <f>IF(C280="Comum",ROUND(E280*1.6,0),"—")</f>
        <v/>
      </c>
      <c r="P280" s="161">
        <f>IF(C280="Comum",ROUND(F280*1.3,0),"—")</f>
        <v/>
      </c>
      <c r="Q280" s="161">
        <f>IF(C280="Comum",G280+4,"—")</f>
        <v/>
      </c>
      <c r="R280" s="242" t="n"/>
      <c r="S280" s="161">
        <f>ROUND(3+0.6*D280+IF(C280="Comum",0,IF(C280="Elite",2,IF(C280="Boss",4,6))),0)</f>
        <v/>
      </c>
      <c r="T280" s="161" t="inlineStr">
        <is>
          <t>Ouro + Diário Encharcado do Náufrago</t>
        </is>
      </c>
      <c r="U280" s="161" t="inlineStr">
        <is>
          <t>Sem fraqueza óbvia — precisa de Knowledge alto pra descobrir algo específico.</t>
        </is>
      </c>
      <c r="V280" s="161" t="inlineStr">
        <is>
          <t>Não-hostil</t>
        </is>
      </c>
      <c r="W280" s="161" t="inlineStr">
        <is>
          <t>Lago Sem Sol</t>
        </is>
      </c>
      <c r="X280" s="243" t="n"/>
      <c r="Y280" s="241" t="inlineStr">
        <is>
          <t>Ensina uma Receita se poupado.</t>
        </is>
      </c>
      <c r="Z280" s="243" t="n"/>
      <c r="AA280" s="243" t="n"/>
    </row>
    <row r="281">
      <c r="A281" s="161" t="inlineStr">
        <is>
          <t>Mithril</t>
        </is>
      </c>
      <c r="B281" s="161" t="inlineStr">
        <is>
          <t>Marinheiro Recém-Afogado</t>
        </is>
      </c>
      <c r="C281" s="161" t="inlineStr">
        <is>
          <t>Comum</t>
        </is>
      </c>
      <c r="D281" s="161" t="n">
        <v>40</v>
      </c>
      <c r="E281" s="161">
        <f>ROUND(INDEX('Curva Mestra'!$F$20:$F$94,MATCH(D281,'Curva Mestra'!$A$20:$A$94,0)),0)</f>
        <v/>
      </c>
      <c r="F281" s="161">
        <f>ROUND(INDEX('Curva Mestra'!$C$20:$C$94,MATCH(D281,'Curva Mestra'!$A$20:$A$94,0))*INDEX($B$5:$B$8,MATCH(C281,$A$5:$A$8,0)),0)</f>
        <v/>
      </c>
      <c r="G281" s="161">
        <f>ROUND(INDEX('Curva Mestra'!$D$20:$D$94,MATCH(D281,'Curva Mestra'!$A$20:$A$94,0))+INDEX($C$5:$C$8,MATCH(C281,$A$5:$A$8,0)),0)</f>
        <v/>
      </c>
      <c r="H281" s="161" t="inlineStr">
        <is>
          <t>Ainda meio-humano, a fusão não terminou.</t>
        </is>
      </c>
      <c r="I281" s="161" t="inlineStr">
        <is>
          <t>Golpe Trêmulo</t>
        </is>
      </c>
      <c r="J281" s="161" t="inlineStr">
        <is>
          <t>Nenhum — 20% de chance de hesitar se abordado sem hostilidade.</t>
        </is>
      </c>
      <c r="K281" s="161" t="inlineStr">
        <is>
          <t>Caiu na água há pouco tempo — a assimilação ainda não terminou.</t>
        </is>
      </c>
      <c r="L281" s="161">
        <f>IF(C281="Comum",ROUND(E281*1.3,0),"—")</f>
        <v/>
      </c>
      <c r="M281" s="161">
        <f>IF(C281="Comum",ROUND(F281*1.15,0),"—")</f>
        <v/>
      </c>
      <c r="N281" s="161">
        <f>IF(C281="Comum",G281+2,"—")</f>
        <v/>
      </c>
      <c r="O281" s="161">
        <f>IF(C281="Comum",ROUND(E281*1.6,0),"—")</f>
        <v/>
      </c>
      <c r="P281" s="161">
        <f>IF(C281="Comum",ROUND(F281*1.3,0),"—")</f>
        <v/>
      </c>
      <c r="Q281" s="161">
        <f>IF(C281="Comum",G281+4,"—")</f>
        <v/>
      </c>
      <c r="R281" s="242" t="n"/>
      <c r="S281" s="161">
        <f>ROUND(3+0.6*D281+IF(C281="Comum",0,IF(C281="Elite",2,IF(C281="Boss",4,6))),0)</f>
        <v/>
      </c>
      <c r="T281" s="161" t="inlineStr">
        <is>
          <t>Ouro + Corda Encharcada de Marinheiro</t>
        </is>
      </c>
      <c r="U281" s="161" t="inlineStr">
        <is>
          <t>Atordoamento</t>
        </is>
      </c>
      <c r="V281" s="161" t="inlineStr">
        <is>
          <t>Não-hostil condicional</t>
        </is>
      </c>
      <c r="W281" s="161" t="inlineStr">
        <is>
          <t>Lago Sem Sol</t>
        </is>
      </c>
      <c r="X281" s="243" t="n"/>
      <c r="Y281" s="241" t="inlineStr">
        <is>
          <t>Se abordado em paz, pode ser resgatado antes da assimilação completar (quest).</t>
        </is>
      </c>
      <c r="Z281" s="243" t="n"/>
      <c r="AA281" s="242" t="n"/>
    </row>
    <row r="282">
      <c r="A282" s="161" t="inlineStr">
        <is>
          <t>Mithril</t>
        </is>
      </c>
      <c r="B282" s="161" t="inlineStr">
        <is>
          <t>Zelote da Fusão Recém-Nascido</t>
        </is>
      </c>
      <c r="C282" s="161" t="inlineStr">
        <is>
          <t>Comum</t>
        </is>
      </c>
      <c r="D282" s="161" t="n">
        <v>40</v>
      </c>
      <c r="E282" s="161">
        <f>ROUND(INDEX('Curva Mestra'!$F$20:$F$94,MATCH(D282,'Curva Mestra'!$A$20:$A$94,0)),0)</f>
        <v/>
      </c>
      <c r="F282" s="161">
        <f>ROUND(INDEX('Curva Mestra'!$C$20:$C$94,MATCH(D282,'Curva Mestra'!$A$20:$A$94,0))*INDEX($B$5:$B$8,MATCH(C282,$A$5:$A$8,0)),0)</f>
        <v/>
      </c>
      <c r="G282" s="161">
        <f>ROUND(INDEX('Curva Mestra'!$D$20:$D$94,MATCH(D282,'Curva Mestra'!$A$20:$A$94,0))+INDEX($C$5:$C$8,MATCH(C282,$A$5:$A$8,0)),0)</f>
        <v/>
      </c>
      <c r="H282" s="161" t="inlineStr">
        <is>
          <t>Criatura que só existe durante a maré alta.</t>
        </is>
      </c>
      <c r="I282" s="161" t="inlineStr">
        <is>
          <t>Toque Instável</t>
        </is>
      </c>
      <c r="J282" s="161" t="inlineStr">
        <is>
          <t>Queimadura — só aparece durante maré alta.</t>
        </is>
      </c>
      <c r="K282" s="161" t="inlineStr">
        <is>
          <t>A Fusão só se completa quando a maré sobe — ele nasceu literalmente da água alta.</t>
        </is>
      </c>
      <c r="L282" s="161">
        <f>IF(C282="Comum",ROUND(E282*1.3,0),"—")</f>
        <v/>
      </c>
      <c r="M282" s="161">
        <f>IF(C282="Comum",ROUND(F282*1.15,0),"—")</f>
        <v/>
      </c>
      <c r="N282" s="161">
        <f>IF(C282="Comum",G282+2,"—")</f>
        <v/>
      </c>
      <c r="O282" s="161">
        <f>IF(C282="Comum",ROUND(E282*1.6,0),"—")</f>
        <v/>
      </c>
      <c r="P282" s="161">
        <f>IF(C282="Comum",ROUND(F282*1.3,0),"—")</f>
        <v/>
      </c>
      <c r="Q282" s="161">
        <f>IF(C282="Comum",G282+4,"—")</f>
        <v/>
      </c>
      <c r="R282" s="242" t="n"/>
      <c r="S282" s="161">
        <f>ROUND(3+0.6*D282+IF(C282="Comum",0,IF(C282="Elite",2,IF(C282="Boss",4,6))),0)</f>
        <v/>
      </c>
      <c r="T282" s="161" t="inlineStr">
        <is>
          <t>Ouro + Símbolo Molhado da Fusão</t>
        </is>
      </c>
      <c r="U282" s="161" t="inlineStr">
        <is>
          <t>Ignora Resistência Mágica</t>
        </is>
      </c>
      <c r="V282" s="161" t="inlineStr">
        <is>
          <t>Condicional</t>
        </is>
      </c>
      <c r="W282" s="161" t="inlineStr">
        <is>
          <t>Lago Sem Sol, só em maré alta</t>
        </is>
      </c>
      <c r="X282" s="243" t="n"/>
      <c r="Y282" s="243" t="n"/>
      <c r="Z282" s="243" t="n"/>
      <c r="AA282" s="242" t="n"/>
    </row>
    <row r="283">
      <c r="A283" s="161" t="inlineStr">
        <is>
          <t>Mithril</t>
        </is>
      </c>
      <c r="B283" s="161" t="inlineStr">
        <is>
          <t>Cristal Recém-Formado</t>
        </is>
      </c>
      <c r="C283" s="161" t="inlineStr">
        <is>
          <t>Comum</t>
        </is>
      </c>
      <c r="D283" s="161" t="n">
        <v>40</v>
      </c>
      <c r="E283" s="161">
        <f>ROUND(INDEX('Curva Mestra'!$F$20:$F$94,MATCH(D283,'Curva Mestra'!$A$20:$A$94,0)),0)</f>
        <v/>
      </c>
      <c r="F283" s="161">
        <f>ROUND(INDEX('Curva Mestra'!$C$20:$C$94,MATCH(D283,'Curva Mestra'!$A$20:$A$94,0))*INDEX($B$5:$B$8,MATCH(C283,$A$5:$A$8,0)),0)</f>
        <v/>
      </c>
      <c r="G283" s="161">
        <f>ROUND(INDEX('Curva Mestra'!$D$20:$D$94,MATCH(D283,'Curva Mestra'!$A$20:$A$94,0))+INDEX($C$5:$C$8,MATCH(C283,$A$5:$A$8,0)),0)</f>
        <v/>
      </c>
      <c r="H283" s="161" t="inlineStr">
        <is>
          <t>Cristal recém-formado no veio.</t>
        </is>
      </c>
      <c r="I283" s="161" t="inlineStr">
        <is>
          <t>Estilhaço Muito Fraco</t>
        </is>
      </c>
      <c r="J283" s="161" t="inlineStr">
        <is>
          <t>Nenhum efeito adicional.</t>
        </is>
      </c>
      <c r="K283" s="161" t="inlineStr">
        <is>
          <t>Fragmento mais novo ainda que o Cristal Jovem.</t>
        </is>
      </c>
      <c r="L283" s="161">
        <f>IF(C283="Comum",ROUND(E283*1.3,0),"—")</f>
        <v/>
      </c>
      <c r="M283" s="161">
        <f>IF(C283="Comum",ROUND(F283*1.15,0),"—")</f>
        <v/>
      </c>
      <c r="N283" s="161">
        <f>IF(C283="Comum",G283+2,"—")</f>
        <v/>
      </c>
      <c r="O283" s="161">
        <f>IF(C283="Comum",ROUND(E283*1.6,0),"—")</f>
        <v/>
      </c>
      <c r="P283" s="161">
        <f>IF(C283="Comum",ROUND(F283*1.3,0),"—")</f>
        <v/>
      </c>
      <c r="Q283" s="161">
        <f>IF(C283="Comum",G283+4,"—")</f>
        <v/>
      </c>
      <c r="R283" s="242" t="n"/>
      <c r="S283" s="161">
        <f>ROUND(3+0.6*D283+IF(C283="Comum",0,IF(C283="Elite",2,IF(C283="Boss",4,6))),0)</f>
        <v/>
      </c>
      <c r="T283" s="161" t="inlineStr">
        <is>
          <t>Ouro + Fragmento de Cristal Recém-Formado</t>
        </is>
      </c>
      <c r="U283" s="161" t="inlineStr">
        <is>
          <t>Fragilidade</t>
        </is>
      </c>
      <c r="V283" s="161" t="inlineStr">
        <is>
          <t>DPS fraco</t>
        </is>
      </c>
      <c r="W283" s="161" t="inlineStr">
        <is>
          <t>Veio Profundo de Mithril</t>
        </is>
      </c>
      <c r="X283" s="243" t="n"/>
      <c r="Y283" s="243" t="n"/>
      <c r="Z283" s="243" t="n"/>
      <c r="AA283" s="243" t="n"/>
    </row>
    <row r="284">
      <c r="A284" s="161" t="inlineStr">
        <is>
          <t>Mithril</t>
        </is>
      </c>
      <c r="B284" s="161" t="inlineStr">
        <is>
          <t>Acólito da Fusão Menor</t>
        </is>
      </c>
      <c r="C284" s="161" t="inlineStr">
        <is>
          <t>Comum</t>
        </is>
      </c>
      <c r="D284" s="161" t="n">
        <v>40</v>
      </c>
      <c r="E284" s="161">
        <f>ROUND(INDEX('Curva Mestra'!$F$20:$F$94,MATCH(D284,'Curva Mestra'!$A$20:$A$94,0)),0)</f>
        <v/>
      </c>
      <c r="F284" s="161">
        <f>ROUND(INDEX('Curva Mestra'!$C$20:$C$94,MATCH(D284,'Curva Mestra'!$A$20:$A$94,0))*INDEX($B$5:$B$8,MATCH(C284,$A$5:$A$8,0)),0)</f>
        <v/>
      </c>
      <c r="G284" s="161">
        <f>ROUND(INDEX('Curva Mestra'!$D$20:$D$94,MATCH(D284,'Curva Mestra'!$A$20:$A$94,0))+INDEX($C$5:$C$8,MATCH(C284,$A$5:$A$8,0)),0)</f>
        <v/>
      </c>
      <c r="H284" s="161" t="inlineStr">
        <is>
          <t>Recém-recém-convertido ao culto da Fusão.</t>
        </is>
      </c>
      <c r="I284" s="161" t="inlineStr">
        <is>
          <t>Toque Muito Hesitante</t>
        </is>
      </c>
      <c r="J284" s="161" t="inlineStr">
        <is>
          <t>Nenhum efeito adicional.</t>
        </is>
      </c>
      <c r="K284" s="161" t="inlineStr">
        <is>
          <t>Mais novo ainda que o Acólito da Fusão.</t>
        </is>
      </c>
      <c r="L284" s="161">
        <f>IF(C284="Comum",ROUND(E284*1.3,0),"—")</f>
        <v/>
      </c>
      <c r="M284" s="161">
        <f>IF(C284="Comum",ROUND(F284*1.15,0),"—")</f>
        <v/>
      </c>
      <c r="N284" s="161">
        <f>IF(C284="Comum",G284+2,"—")</f>
        <v/>
      </c>
      <c r="O284" s="161">
        <f>IF(C284="Comum",ROUND(E284*1.6,0),"—")</f>
        <v/>
      </c>
      <c r="P284" s="161">
        <f>IF(C284="Comum",ROUND(F284*1.3,0),"—")</f>
        <v/>
      </c>
      <c r="Q284" s="161">
        <f>IF(C284="Comum",G284+4,"—")</f>
        <v/>
      </c>
      <c r="R284" s="242" t="n"/>
      <c r="S284" s="161">
        <f>ROUND(3+0.6*D284+IF(C284="Comum",0,IF(C284="Elite",2,IF(C284="Boss",4,6))),0)</f>
        <v/>
      </c>
      <c r="T284" s="161" t="inlineStr">
        <is>
          <t>Ouro + Manto Encharcado de Acólito Menor</t>
        </is>
      </c>
      <c r="U284" s="161" t="inlineStr">
        <is>
          <t>Ignora Defesa</t>
        </is>
      </c>
      <c r="V284" s="161" t="inlineStr">
        <is>
          <t>DPS fraco</t>
        </is>
      </c>
      <c r="W284" s="161" t="inlineStr">
        <is>
          <t>Profundezas de Mithril</t>
        </is>
      </c>
      <c r="X284" s="242" t="n"/>
      <c r="Y284" s="243" t="n"/>
      <c r="Z284" s="243" t="n"/>
      <c r="AA284" s="242" t="n"/>
    </row>
    <row r="285">
      <c r="A285" s="161" t="inlineStr">
        <is>
          <t>Mithril</t>
        </is>
      </c>
      <c r="B285" s="161" t="inlineStr">
        <is>
          <t>Devorador de Afogados Jovem</t>
        </is>
      </c>
      <c r="C285" s="161" t="inlineStr">
        <is>
          <t>Comum</t>
        </is>
      </c>
      <c r="D285" s="161" t="n">
        <v>40</v>
      </c>
      <c r="E285" s="161">
        <f>ROUND(INDEX('Curva Mestra'!$F$20:$F$94,MATCH(D285,'Curva Mestra'!$A$20:$A$94,0)),0)</f>
        <v/>
      </c>
      <c r="F285" s="161">
        <f>ROUND(INDEX('Curva Mestra'!$C$20:$C$94,MATCH(D285,'Curva Mestra'!$A$20:$A$94,0))*INDEX($B$5:$B$8,MATCH(C285,$A$5:$A$8,0)),0)</f>
        <v/>
      </c>
      <c r="G285" s="161">
        <f>ROUND(INDEX('Curva Mestra'!$D$20:$D$94,MATCH(D285,'Curva Mestra'!$A$20:$A$94,0))+INDEX($C$5:$C$8,MATCH(C285,$A$5:$A$8,0)),0)</f>
        <v/>
      </c>
      <c r="H285" s="161" t="inlineStr">
        <is>
          <t>Criatura jovem que já aprendeu a esperar por restos.</t>
        </is>
      </c>
      <c r="I285" s="161" t="inlineStr">
        <is>
          <t>Mordida Funda Fraca</t>
        </is>
      </c>
      <c r="J285" s="161" t="inlineStr">
        <is>
          <t>Cura 3 HP se houver cadáver no local.</t>
        </is>
      </c>
      <c r="K285" s="161" t="inlineStr">
        <is>
          <t>Variante jovem do Devorador de Afogados.</t>
        </is>
      </c>
      <c r="L285" s="161">
        <f>IF(C285="Comum",ROUND(E285*1.3,0),"—")</f>
        <v/>
      </c>
      <c r="M285" s="161">
        <f>IF(C285="Comum",ROUND(F285*1.15,0),"—")</f>
        <v/>
      </c>
      <c r="N285" s="161">
        <f>IF(C285="Comum",G285+2,"—")</f>
        <v/>
      </c>
      <c r="O285" s="161">
        <f>IF(C285="Comum",ROUND(E285*1.6,0),"—")</f>
        <v/>
      </c>
      <c r="P285" s="161">
        <f>IF(C285="Comum",ROUND(F285*1.3,0),"—")</f>
        <v/>
      </c>
      <c r="Q285" s="161">
        <f>IF(C285="Comum",G285+4,"—")</f>
        <v/>
      </c>
      <c r="R285" s="242" t="n"/>
      <c r="S285" s="161">
        <f>ROUND(3+0.6*D285+IF(C285="Comum",0,IF(C285="Elite",2,IF(C285="Boss",4,6))),0)</f>
        <v/>
      </c>
      <c r="T285" s="161" t="inlineStr">
        <is>
          <t>Ouro + Presa Jovem de Devorador de Afogados</t>
        </is>
      </c>
      <c r="U285" s="161" t="inlineStr">
        <is>
          <t>Atordoamento</t>
        </is>
      </c>
      <c r="V285" s="161" t="inlineStr">
        <is>
          <t>Necrófago</t>
        </is>
      </c>
      <c r="W285" s="161" t="inlineStr">
        <is>
          <t>Lago Sem Sol, após combate vencido</t>
        </is>
      </c>
      <c r="X285" s="243" t="n"/>
      <c r="Y285" s="243" t="n"/>
      <c r="Z285" s="243" t="n"/>
      <c r="AA285" s="243" t="n"/>
    </row>
    <row r="286">
      <c r="A286" s="161" t="inlineStr">
        <is>
          <t>Mithril</t>
        </is>
      </c>
      <c r="B286" s="161" t="inlineStr">
        <is>
          <t>Cristal Vivo</t>
        </is>
      </c>
      <c r="C286" s="161" t="inlineStr">
        <is>
          <t>Comum</t>
        </is>
      </c>
      <c r="D286" s="161" t="n">
        <v>41</v>
      </c>
      <c r="E286" s="161">
        <f>ROUND(INDEX('Curva Mestra'!$F$20:$F$94,MATCH(D286,'Curva Mestra'!$A$20:$A$94,0)),0)</f>
        <v/>
      </c>
      <c r="F286" s="161">
        <f>ROUND(INDEX('Curva Mestra'!$C$20:$C$94,MATCH(D286,'Curva Mestra'!$A$20:$A$94,0))*INDEX($B$5:$B$8,MATCH(C286,$A$5:$A$8,0)),0)</f>
        <v/>
      </c>
      <c r="G286" s="161">
        <f>ROUND(INDEX('Curva Mestra'!$D$20:$D$94,MATCH(D286,'Curva Mestra'!$A$20:$A$94,0))+INDEX($C$5:$C$8,MATCH(C286,$A$5:$A$8,0)),0)</f>
        <v/>
      </c>
      <c r="H286" s="161" t="inlineStr">
        <is>
          <t>Ronda a regiao do tier Mithril</t>
        </is>
      </c>
      <c r="I286" s="161" t="inlineStr">
        <is>
          <t>Estilhaço Cortante</t>
        </is>
      </c>
      <c r="J286" s="161" t="inlineStr">
        <is>
          <t>Sem efeito mecânico além do dano — ataque direto.</t>
        </is>
      </c>
      <c r="K286" s="161" t="inlineStr">
        <is>
          <t>Fragmento mineral que absorveu mithril dissolvido na água — brilha no escuro absoluto das cavernas.</t>
        </is>
      </c>
      <c r="L286" s="161">
        <f>IF(C286="Comum",ROUND(E286*1.3,0),"—")</f>
        <v/>
      </c>
      <c r="M286" s="161">
        <f>IF(C286="Comum",ROUND(F286*1.15,0),"—")</f>
        <v/>
      </c>
      <c r="N286" s="161">
        <f>IF(C286="Comum",G286+2,"—")</f>
        <v/>
      </c>
      <c r="O286" s="161">
        <f>IF(C286="Comum",ROUND(E286*1.6,0),"—")</f>
        <v/>
      </c>
      <c r="P286" s="161">
        <f>IF(C286="Comum",ROUND(F286*1.3,0),"—")</f>
        <v/>
      </c>
      <c r="Q286" s="161">
        <f>IF(C286="Comum",G286+4,"—")</f>
        <v/>
      </c>
      <c r="R286" s="161" t="inlineStr">
        <is>
          <t>Ecos no Escuro</t>
        </is>
      </c>
      <c r="S286" s="161">
        <f>ROUND(INDEX('Curva Mestra'!$D$20:$D$94,MATCH(D286,'Curva Mestra'!$A$20:$A$94,0))-IF(C286="Comum",9,IF(C286="Elite",6,IF(C286="Boss",4,3))),0)</f>
        <v/>
      </c>
      <c r="T286" s="161" t="inlineStr">
        <is>
          <t>Ouro + Fragmento de Cristal Vivo + Núcleo de Cristal Elemental (chance rara)</t>
        </is>
      </c>
      <c r="U286" s="161" t="inlineStr">
        <is>
          <t>Vulnerável a impacto contundente (Maça/Machado) — racha com facilidade.</t>
        </is>
      </c>
      <c r="V286" s="242" t="inlineStr">
        <is>
          <t>DPS</t>
        </is>
      </c>
      <c r="W286" s="242" t="inlineStr">
        <is>
          <t>Lago Sem Sol</t>
        </is>
      </c>
      <c r="X286" s="243" t="n"/>
      <c r="Y286" s="242" t="n"/>
      <c r="Z286" s="243" t="n"/>
      <c r="AA286" s="243" t="n"/>
    </row>
    <row r="287">
      <c r="A287" s="161" t="inlineStr">
        <is>
          <t>Mithril</t>
        </is>
      </c>
      <c r="B287" s="161" t="inlineStr">
        <is>
          <t>Cristal Jovem</t>
        </is>
      </c>
      <c r="C287" s="161" t="inlineStr">
        <is>
          <t>Comum</t>
        </is>
      </c>
      <c r="D287" s="161" t="n">
        <v>41</v>
      </c>
      <c r="E287" s="161">
        <f>ROUND(INDEX('Curva Mestra'!$F$20:$F$94,MATCH(D287,'Curva Mestra'!$A$20:$A$94,0)),0)</f>
        <v/>
      </c>
      <c r="F287" s="161">
        <f>ROUND(INDEX('Curva Mestra'!$C$20:$C$94,MATCH(D287,'Curva Mestra'!$A$20:$A$94,0))*INDEX($B$5:$B$8,MATCH(C287,$A$5:$A$8,0)),0)</f>
        <v/>
      </c>
      <c r="G287" s="161">
        <f>ROUND(INDEX('Curva Mestra'!$D$20:$D$94,MATCH(D287,'Curva Mestra'!$A$20:$A$94,0))+INDEX($C$5:$C$8,MATCH(C287,$A$5:$A$8,0)),0)</f>
        <v/>
      </c>
      <c r="H287" s="161" t="inlineStr">
        <is>
          <t>Cristal ainda pequeno, mal formado.</t>
        </is>
      </c>
      <c r="I287" s="161" t="inlineStr">
        <is>
          <t>Estilhaço Fraco</t>
        </is>
      </c>
      <c r="J287" s="161" t="inlineStr">
        <is>
          <t>Nenhum efeito adicional.</t>
        </is>
      </c>
      <c r="K287" s="161" t="inlineStr">
        <is>
          <t>Fragmento recém-formado do mesmo veio profundo.</t>
        </is>
      </c>
      <c r="L287" s="161">
        <f>IF(C287="Comum",ROUND(E287*1.3,0),"—")</f>
        <v/>
      </c>
      <c r="M287" s="161">
        <f>IF(C287="Comum",ROUND(F287*1.15,0),"—")</f>
        <v/>
      </c>
      <c r="N287" s="161">
        <f>IF(C287="Comum",G287+2,"—")</f>
        <v/>
      </c>
      <c r="O287" s="161">
        <f>IF(C287="Comum",ROUND(E287*1.6,0),"—")</f>
        <v/>
      </c>
      <c r="P287" s="161">
        <f>IF(C287="Comum",ROUND(F287*1.3,0),"—")</f>
        <v/>
      </c>
      <c r="Q287" s="161">
        <f>IF(C287="Comum",G287+4,"—")</f>
        <v/>
      </c>
      <c r="R287" s="242" t="n"/>
      <c r="S287" s="161">
        <f>ROUND(3+0.6*D287+IF(C287="Comum",0,IF(C287="Elite",2,IF(C287="Boss",4,6))),0)</f>
        <v/>
      </c>
      <c r="T287" s="161" t="inlineStr">
        <is>
          <t>Ouro + Fragmento de Cristal Jovem</t>
        </is>
      </c>
      <c r="U287" s="161" t="inlineStr">
        <is>
          <t>Fragilidade</t>
        </is>
      </c>
      <c r="V287" s="161" t="inlineStr">
        <is>
          <t>DPS fraco</t>
        </is>
      </c>
      <c r="W287" s="161" t="inlineStr">
        <is>
          <t>Veio Profundo de Mithril</t>
        </is>
      </c>
      <c r="X287" s="243" t="n"/>
      <c r="Y287" s="243" t="n"/>
      <c r="Z287" s="243" t="n"/>
      <c r="AA287" s="243" t="n"/>
    </row>
    <row r="288">
      <c r="A288" s="161" t="inlineStr">
        <is>
          <t>Mithril</t>
        </is>
      </c>
      <c r="B288" s="161" t="inlineStr">
        <is>
          <t>Cardume Abissal</t>
        </is>
      </c>
      <c r="C288" s="161" t="inlineStr">
        <is>
          <t>Comum</t>
        </is>
      </c>
      <c r="D288" s="161" t="n">
        <v>41</v>
      </c>
      <c r="E288" s="161">
        <f>ROUND(INDEX('Curva Mestra'!$F$20:$F$94,MATCH(D288,'Curva Mestra'!$A$20:$A$94,0)),0)</f>
        <v/>
      </c>
      <c r="F288" s="161">
        <f>ROUND(INDEX('Curva Mestra'!$C$20:$C$94,MATCH(D288,'Curva Mestra'!$A$20:$A$94,0))*INDEX($B$5:$B$8,MATCH(C288,$A$5:$A$8,0)),0)</f>
        <v/>
      </c>
      <c r="G288" s="161">
        <f>ROUND(INDEX('Curva Mestra'!$D$20:$D$94,MATCH(D288,'Curva Mestra'!$A$20:$A$94,0))+INDEX($C$5:$C$8,MATCH(C288,$A$5:$A$8,0)),0)</f>
        <v/>
      </c>
      <c r="H288" s="161" t="inlineStr">
        <is>
          <t>Cardume pequeno que segue os maiores.</t>
        </is>
      </c>
      <c r="I288" s="161" t="inlineStr">
        <is>
          <t>Mordidas Múltiplas</t>
        </is>
      </c>
      <c r="J288" s="161" t="inlineStr">
        <is>
          <t>Nenhum — sempre em grupo de 3-4.</t>
        </is>
      </c>
      <c r="K288" s="161" t="inlineStr">
        <is>
          <t>Peixes menores que se corromperam junto com o Peixe-Abissal maior.</t>
        </is>
      </c>
      <c r="L288" s="161">
        <f>IF(C288="Comum",ROUND(E288*1.3,0),"—")</f>
        <v/>
      </c>
      <c r="M288" s="161">
        <f>IF(C288="Comum",ROUND(F288*1.15,0),"—")</f>
        <v/>
      </c>
      <c r="N288" s="161">
        <f>IF(C288="Comum",G288+2,"—")</f>
        <v/>
      </c>
      <c r="O288" s="161">
        <f>IF(C288="Comum",ROUND(E288*1.6,0),"—")</f>
        <v/>
      </c>
      <c r="P288" s="161">
        <f>IF(C288="Comum",ROUND(F288*1.3,0),"—")</f>
        <v/>
      </c>
      <c r="Q288" s="161">
        <f>IF(C288="Comum",G288+4,"—")</f>
        <v/>
      </c>
      <c r="R288" s="242" t="n"/>
      <c r="S288" s="161">
        <f>ROUND(3+0.6*D288+IF(C288="Comum",0,IF(C288="Elite",2,IF(C288="Boss",4,6))),0)</f>
        <v/>
      </c>
      <c r="T288" s="161" t="inlineStr">
        <is>
          <t>Ouro + Escama de Cardume Abissal</t>
        </is>
      </c>
      <c r="U288" s="161" t="inlineStr">
        <is>
          <t>Queimadura</t>
        </is>
      </c>
      <c r="V288" s="161" t="inlineStr">
        <is>
          <t>Enxame</t>
        </is>
      </c>
      <c r="W288" s="161" t="inlineStr">
        <is>
          <t>Lago Sem Sol</t>
        </is>
      </c>
      <c r="X288" s="243" t="n"/>
      <c r="Y288" s="243" t="n"/>
      <c r="Z288" s="243" t="n"/>
      <c r="AA288" s="243" t="n"/>
    </row>
    <row r="289">
      <c r="A289" s="161" t="inlineStr">
        <is>
          <t>Mithril</t>
        </is>
      </c>
      <c r="B289" s="161" t="inlineStr">
        <is>
          <t>Acólito da Fusão</t>
        </is>
      </c>
      <c r="C289" s="161" t="inlineStr">
        <is>
          <t>Comum</t>
        </is>
      </c>
      <c r="D289" s="161" t="n">
        <v>41</v>
      </c>
      <c r="E289" s="161">
        <f>ROUND(INDEX('Curva Mestra'!$F$20:$F$94,MATCH(D289,'Curva Mestra'!$A$20:$A$94,0)),0)</f>
        <v/>
      </c>
      <c r="F289" s="161">
        <f>ROUND(INDEX('Curva Mestra'!$C$20:$C$94,MATCH(D289,'Curva Mestra'!$A$20:$A$94,0))*INDEX($B$5:$B$8,MATCH(C289,$A$5:$A$8,0)),0)</f>
        <v/>
      </c>
      <c r="G289" s="161">
        <f>ROUND(INDEX('Curva Mestra'!$D$20:$D$94,MATCH(D289,'Curva Mestra'!$A$20:$A$94,0))+INDEX($C$5:$C$8,MATCH(C289,$A$5:$A$8,0)),0)</f>
        <v/>
      </c>
      <c r="H289" s="161" t="inlineStr">
        <is>
          <t>Recém-convertido ao culto da Fusão.</t>
        </is>
      </c>
      <c r="I289" s="161" t="inlineStr">
        <is>
          <t>Toque Hesitante</t>
        </is>
      </c>
      <c r="J289" s="161" t="inlineStr">
        <is>
          <t>Nenhum efeito adicional.</t>
        </is>
      </c>
      <c r="K289" s="161" t="inlineStr">
        <is>
          <t>Ouviu o Profeta da Fusão pregar e seguiu, sem entender direito o que isso significava.</t>
        </is>
      </c>
      <c r="L289" s="161">
        <f>IF(C289="Comum",ROUND(E289*1.3,0),"—")</f>
        <v/>
      </c>
      <c r="M289" s="161">
        <f>IF(C289="Comum",ROUND(F289*1.15,0),"—")</f>
        <v/>
      </c>
      <c r="N289" s="161">
        <f>IF(C289="Comum",G289+2,"—")</f>
        <v/>
      </c>
      <c r="O289" s="161">
        <f>IF(C289="Comum",ROUND(E289*1.6,0),"—")</f>
        <v/>
      </c>
      <c r="P289" s="161">
        <f>IF(C289="Comum",ROUND(F289*1.3,0),"—")</f>
        <v/>
      </c>
      <c r="Q289" s="161">
        <f>IF(C289="Comum",G289+4,"—")</f>
        <v/>
      </c>
      <c r="R289" s="242" t="n"/>
      <c r="S289" s="161">
        <f>ROUND(3+0.6*D289+IF(C289="Comum",0,IF(C289="Elite",2,IF(C289="Boss",4,6))),0)</f>
        <v/>
      </c>
      <c r="T289" s="161" t="inlineStr">
        <is>
          <t>Ouro + Manto de Acólito da Fusão</t>
        </is>
      </c>
      <c r="U289" s="161" t="inlineStr">
        <is>
          <t>Ignora Defesa</t>
        </is>
      </c>
      <c r="V289" s="161" t="inlineStr">
        <is>
          <t>DPS fraco</t>
        </is>
      </c>
      <c r="W289" s="161" t="inlineStr">
        <is>
          <t>Profundezas de Mithril</t>
        </is>
      </c>
      <c r="X289" s="243" t="n"/>
      <c r="Y289" s="243" t="n"/>
      <c r="Z289" s="243" t="n"/>
      <c r="AA289" s="243" t="n"/>
    </row>
    <row r="290">
      <c r="A290" s="161" t="inlineStr">
        <is>
          <t>Mithril</t>
        </is>
      </c>
      <c r="B290" s="161" t="inlineStr">
        <is>
          <t>Morcego Jovem das Profundezas</t>
        </is>
      </c>
      <c r="C290" s="161" t="inlineStr">
        <is>
          <t>Comum</t>
        </is>
      </c>
      <c r="D290" s="161" t="n">
        <v>41</v>
      </c>
      <c r="E290" s="161">
        <f>ROUND(INDEX('Curva Mestra'!$F$20:$F$94,MATCH(D290,'Curva Mestra'!$A$20:$A$94,0)),0)</f>
        <v/>
      </c>
      <c r="F290" s="161">
        <f>ROUND(INDEX('Curva Mestra'!$C$20:$C$94,MATCH(D290,'Curva Mestra'!$A$20:$A$94,0))*INDEX($B$5:$B$8,MATCH(C290,$A$5:$A$8,0)),0)</f>
        <v/>
      </c>
      <c r="G290" s="161">
        <f>ROUND(INDEX('Curva Mestra'!$D$20:$D$94,MATCH(D290,'Curva Mestra'!$A$20:$A$94,0))+INDEX($C$5:$C$8,MATCH(C290,$A$5:$A$8,0)),0)</f>
        <v/>
      </c>
      <c r="H290" s="161" t="inlineStr">
        <is>
          <t>Morcego jovem, ainda aprendendo a ecolocalizar.</t>
        </is>
      </c>
      <c r="I290" s="161" t="inlineStr">
        <is>
          <t>Investida Fraca</t>
        </is>
      </c>
      <c r="J290" s="161" t="inlineStr">
        <is>
          <t>Nenhum efeito adicional.</t>
        </is>
      </c>
      <c r="K290" s="161" t="inlineStr">
        <is>
          <t>Filhote da colônia de morcegos abissais.</t>
        </is>
      </c>
      <c r="L290" s="161">
        <f>IF(C290="Comum",ROUND(E290*1.3,0),"—")</f>
        <v/>
      </c>
      <c r="M290" s="161">
        <f>IF(C290="Comum",ROUND(F290*1.15,0),"—")</f>
        <v/>
      </c>
      <c r="N290" s="161">
        <f>IF(C290="Comum",G290+2,"—")</f>
        <v/>
      </c>
      <c r="O290" s="161">
        <f>IF(C290="Comum",ROUND(E290*1.6,0),"—")</f>
        <v/>
      </c>
      <c r="P290" s="161">
        <f>IF(C290="Comum",ROUND(F290*1.3,0),"—")</f>
        <v/>
      </c>
      <c r="Q290" s="161">
        <f>IF(C290="Comum",G290+4,"—")</f>
        <v/>
      </c>
      <c r="R290" s="242" t="n"/>
      <c r="S290" s="161">
        <f>ROUND(3+0.6*D290+IF(C290="Comum",0,IF(C290="Elite",2,IF(C290="Boss",4,6))),0)</f>
        <v/>
      </c>
      <c r="T290" s="161" t="inlineStr">
        <is>
          <t>Ouro + Asa de Morcego Jovem</t>
        </is>
      </c>
      <c r="U290" s="161" t="inlineStr">
        <is>
          <t>Atordoamento</t>
        </is>
      </c>
      <c r="V290" s="161" t="inlineStr">
        <is>
          <t>DPS fraco</t>
        </is>
      </c>
      <c r="W290" s="161" t="inlineStr">
        <is>
          <t>Profundezas de Mithril</t>
        </is>
      </c>
      <c r="X290" s="243" t="n"/>
      <c r="Y290" s="243" t="n"/>
      <c r="Z290" s="243" t="n"/>
      <c r="AA290" s="243" t="n"/>
    </row>
    <row r="291">
      <c r="A291" s="161" t="inlineStr">
        <is>
          <t>Mithril</t>
        </is>
      </c>
      <c r="B291" s="161" t="inlineStr">
        <is>
          <t>Marinheiro Assimilado Menor</t>
        </is>
      </c>
      <c r="C291" s="161" t="inlineStr">
        <is>
          <t>Comum</t>
        </is>
      </c>
      <c r="D291" s="161" t="n">
        <v>41</v>
      </c>
      <c r="E291" s="161">
        <f>ROUND(INDEX('Curva Mestra'!$F$20:$F$94,MATCH(D291,'Curva Mestra'!$A$20:$A$94,0)),0)</f>
        <v/>
      </c>
      <c r="F291" s="161">
        <f>ROUND(INDEX('Curva Mestra'!$C$20:$C$94,MATCH(D291,'Curva Mestra'!$A$20:$A$94,0))*INDEX($B$5:$B$8,MATCH(C291,$A$5:$A$8,0)),0)</f>
        <v/>
      </c>
      <c r="G291" s="161">
        <f>ROUND(INDEX('Curva Mestra'!$D$20:$D$94,MATCH(D291,'Curva Mestra'!$A$20:$A$94,0))+INDEX($C$5:$C$8,MATCH(C291,$A$5:$A$8,0)),0)</f>
        <v/>
      </c>
      <c r="H291" s="161" t="inlineStr">
        <is>
          <t>Marinheiro em estágio inicial de assimilação.</t>
        </is>
      </c>
      <c r="I291" s="161" t="inlineStr">
        <is>
          <t>Abraço Fraco</t>
        </is>
      </c>
      <c r="J291" s="161" t="inlineStr">
        <is>
          <t>Nenhum efeito adicional.</t>
        </is>
      </c>
      <c r="K291" s="161" t="inlineStr">
        <is>
          <t>Assimilação mais recente que o Marinheiro Assimilado original.</t>
        </is>
      </c>
      <c r="L291" s="161">
        <f>IF(C291="Comum",ROUND(E291*1.3,0),"—")</f>
        <v/>
      </c>
      <c r="M291" s="161">
        <f>IF(C291="Comum",ROUND(F291*1.15,0),"—")</f>
        <v/>
      </c>
      <c r="N291" s="161">
        <f>IF(C291="Comum",G291+2,"—")</f>
        <v/>
      </c>
      <c r="O291" s="161">
        <f>IF(C291="Comum",ROUND(E291*1.6,0),"—")</f>
        <v/>
      </c>
      <c r="P291" s="161">
        <f>IF(C291="Comum",ROUND(F291*1.3,0),"—")</f>
        <v/>
      </c>
      <c r="Q291" s="161">
        <f>IF(C291="Comum",G291+4,"—")</f>
        <v/>
      </c>
      <c r="R291" s="242" t="n"/>
      <c r="S291" s="161">
        <f>ROUND(3+0.6*D291+IF(C291="Comum",0,IF(C291="Elite",2,IF(C291="Boss",4,6))),0)</f>
        <v/>
      </c>
      <c r="T291" s="161" t="inlineStr">
        <is>
          <t>Ouro + Carne-Raiz Menor de Marinheiro</t>
        </is>
      </c>
      <c r="U291" s="161" t="inlineStr">
        <is>
          <t>Ignora Defesa</t>
        </is>
      </c>
      <c r="V291" s="161" t="inlineStr">
        <is>
          <t>DPS</t>
        </is>
      </c>
      <c r="W291" s="161" t="inlineStr">
        <is>
          <t>Lago Sem Sol</t>
        </is>
      </c>
      <c r="X291" s="243" t="n"/>
      <c r="Y291" s="243" t="n"/>
      <c r="Z291" s="243" t="n"/>
      <c r="AA291" s="243" t="n"/>
    </row>
    <row r="292">
      <c r="A292" s="161" t="inlineStr">
        <is>
          <t>Mithril</t>
        </is>
      </c>
      <c r="B292" s="161" t="inlineStr">
        <is>
          <t>Cardume Menor</t>
        </is>
      </c>
      <c r="C292" s="161" t="inlineStr">
        <is>
          <t>Comum</t>
        </is>
      </c>
      <c r="D292" s="161" t="n">
        <v>41</v>
      </c>
      <c r="E292" s="161">
        <f>ROUND(INDEX('Curva Mestra'!$F$20:$F$94,MATCH(D292,'Curva Mestra'!$A$20:$A$94,0)),0)</f>
        <v/>
      </c>
      <c r="F292" s="161">
        <f>ROUND(INDEX('Curva Mestra'!$C$20:$C$94,MATCH(D292,'Curva Mestra'!$A$20:$A$94,0))*INDEX($B$5:$B$8,MATCH(C292,$A$5:$A$8,0)),0)</f>
        <v/>
      </c>
      <c r="G292" s="161">
        <f>ROUND(INDEX('Curva Mestra'!$D$20:$D$94,MATCH(D292,'Curva Mestra'!$A$20:$A$94,0))+INDEX($C$5:$C$8,MATCH(C292,$A$5:$A$8,0)),0)</f>
        <v/>
      </c>
      <c r="H292" s="161" t="inlineStr">
        <is>
          <t>Fragmento pequeno de um cardume maior.</t>
        </is>
      </c>
      <c r="I292" s="161" t="inlineStr">
        <is>
          <t>Mordidas Fracas</t>
        </is>
      </c>
      <c r="J292" s="161" t="inlineStr">
        <is>
          <t>Nenhum — grupo menor que o Cardume Abissal (2 unidades).</t>
        </is>
      </c>
      <c r="K292" s="161" t="inlineStr">
        <is>
          <t>Cardume pequeno, separado do grupo principal.</t>
        </is>
      </c>
      <c r="L292" s="161">
        <f>IF(C292="Comum",ROUND(E292*1.3,0),"—")</f>
        <v/>
      </c>
      <c r="M292" s="161">
        <f>IF(C292="Comum",ROUND(F292*1.15,0),"—")</f>
        <v/>
      </c>
      <c r="N292" s="161">
        <f>IF(C292="Comum",G292+2,"—")</f>
        <v/>
      </c>
      <c r="O292" s="161">
        <f>IF(C292="Comum",ROUND(E292*1.6,0),"—")</f>
        <v/>
      </c>
      <c r="P292" s="161">
        <f>IF(C292="Comum",ROUND(F292*1.3,0),"—")</f>
        <v/>
      </c>
      <c r="Q292" s="161">
        <f>IF(C292="Comum",G292+4,"—")</f>
        <v/>
      </c>
      <c r="R292" s="242" t="n"/>
      <c r="S292" s="161">
        <f>ROUND(3+0.6*D292+IF(C292="Comum",0,IF(C292="Elite",2,IF(C292="Boss",4,6))),0)</f>
        <v/>
      </c>
      <c r="T292" s="161" t="inlineStr">
        <is>
          <t>Ouro + Escama de Cardume Menor</t>
        </is>
      </c>
      <c r="U292" s="161" t="inlineStr">
        <is>
          <t>Queimadura</t>
        </is>
      </c>
      <c r="V292" s="161" t="inlineStr">
        <is>
          <t>Enxame</t>
        </is>
      </c>
      <c r="W292" s="161" t="inlineStr">
        <is>
          <t>Lago Sem Sol</t>
        </is>
      </c>
      <c r="X292" s="243" t="n"/>
      <c r="Y292" s="243" t="n"/>
      <c r="Z292" s="243" t="n"/>
      <c r="AA292" s="243" t="n"/>
    </row>
    <row r="293">
      <c r="A293" s="161" t="inlineStr">
        <is>
          <t>Mithril</t>
        </is>
      </c>
      <c r="B293" s="161" t="inlineStr">
        <is>
          <t>Peixe-Lanterna Solitário</t>
        </is>
      </c>
      <c r="C293" s="161" t="inlineStr">
        <is>
          <t>Comum</t>
        </is>
      </c>
      <c r="D293" s="161" t="n">
        <v>41</v>
      </c>
      <c r="E293" s="161">
        <f>ROUND(INDEX('Curva Mestra'!$F$20:$F$94,MATCH(D293,'Curva Mestra'!$A$20:$A$94,0)),0)</f>
        <v/>
      </c>
      <c r="F293" s="161">
        <f>ROUND(INDEX('Curva Mestra'!$C$20:$C$94,MATCH(D293,'Curva Mestra'!$A$20:$A$94,0))*INDEX($B$5:$B$8,MATCH(C293,$A$5:$A$8,0)),0)</f>
        <v/>
      </c>
      <c r="G293" s="161">
        <f>ROUND(INDEX('Curva Mestra'!$D$20:$D$94,MATCH(D293,'Curva Mestra'!$A$20:$A$94,0))+INDEX($C$5:$C$8,MATCH(C293,$A$5:$A$8,0)),0)</f>
        <v/>
      </c>
      <c r="H293" s="161" t="inlineStr">
        <is>
          <t>Variante independente do Peixe-Lanterna Parasita.</t>
        </is>
      </c>
      <c r="I293" s="161" t="inlineStr">
        <is>
          <t>Luz Fraca</t>
        </is>
      </c>
      <c r="J293" s="161" t="inlineStr">
        <is>
          <t>Atordoamento fraco (15%) — não precisa do Peixe-Abissal por perto.</t>
        </is>
      </c>
      <c r="K293" s="161" t="inlineStr">
        <is>
          <t>Peixe-lanterna que aprendeu a atrair presas sozinho.</t>
        </is>
      </c>
      <c r="L293" s="161">
        <f>IF(C293="Comum",ROUND(E293*1.3,0),"—")</f>
        <v/>
      </c>
      <c r="M293" s="161">
        <f>IF(C293="Comum",ROUND(F293*1.15,0),"—")</f>
        <v/>
      </c>
      <c r="N293" s="161">
        <f>IF(C293="Comum",G293+2,"—")</f>
        <v/>
      </c>
      <c r="O293" s="161">
        <f>IF(C293="Comum",ROUND(E293*1.6,0),"—")</f>
        <v/>
      </c>
      <c r="P293" s="161">
        <f>IF(C293="Comum",ROUND(F293*1.3,0),"—")</f>
        <v/>
      </c>
      <c r="Q293" s="161">
        <f>IF(C293="Comum",G293+4,"—")</f>
        <v/>
      </c>
      <c r="R293" s="242" t="n"/>
      <c r="S293" s="161">
        <f>ROUND(3+0.6*D293+IF(C293="Comum",0,IF(C293="Elite",2,IF(C293="Boss",4,6))),0)</f>
        <v/>
      </c>
      <c r="T293" s="161" t="inlineStr">
        <is>
          <t>Ouro + Lanterna Bioluminescente Solitária</t>
        </is>
      </c>
      <c r="U293" s="161" t="inlineStr">
        <is>
          <t>Queimadura</t>
        </is>
      </c>
      <c r="V293" s="161" t="inlineStr">
        <is>
          <t>Controle</t>
        </is>
      </c>
      <c r="W293" s="161" t="inlineStr">
        <is>
          <t>Lago Sem Sol</t>
        </is>
      </c>
      <c r="X293" s="243" t="n"/>
      <c r="Y293" s="242" t="n"/>
      <c r="Z293" s="242" t="n"/>
      <c r="AA293" s="243" t="n"/>
    </row>
    <row r="294">
      <c r="A294" s="161" t="inlineStr">
        <is>
          <t>Mithril</t>
        </is>
      </c>
      <c r="B294" s="161" t="inlineStr">
        <is>
          <t>Golem Menor de Mithril Jovem</t>
        </is>
      </c>
      <c r="C294" s="161" t="inlineStr">
        <is>
          <t>Comum</t>
        </is>
      </c>
      <c r="D294" s="161" t="n">
        <v>41</v>
      </c>
      <c r="E294" s="161">
        <f>ROUND(INDEX('Curva Mestra'!$F$20:$F$94,MATCH(D294,'Curva Mestra'!$A$20:$A$94,0)),0)</f>
        <v/>
      </c>
      <c r="F294" s="161">
        <f>ROUND(INDEX('Curva Mestra'!$C$20:$C$94,MATCH(D294,'Curva Mestra'!$A$20:$A$94,0))*INDEX($B$5:$B$8,MATCH(C294,$A$5:$A$8,0)),0)</f>
        <v/>
      </c>
      <c r="G294" s="161">
        <f>ROUND(INDEX('Curva Mestra'!$D$20:$D$94,MATCH(D294,'Curva Mestra'!$A$20:$A$94,0))+INDEX($C$5:$C$8,MATCH(C294,$A$5:$A$8,0)),0)</f>
        <v/>
      </c>
      <c r="H294" s="161" t="inlineStr">
        <is>
          <t>Golem em miniatura, recém-formado.</t>
        </is>
      </c>
      <c r="I294" s="161" t="inlineStr">
        <is>
          <t>Punho Cristalino Fraco</t>
        </is>
      </c>
      <c r="J294" s="161" t="inlineStr">
        <is>
          <t>Nenhum efeito adicional.</t>
        </is>
      </c>
      <c r="K294" s="161" t="inlineStr">
        <is>
          <t>Fragmento ainda menor do Golem Menor de Mithril.</t>
        </is>
      </c>
      <c r="L294" s="161">
        <f>IF(C294="Comum",ROUND(E294*1.3,0),"—")</f>
        <v/>
      </c>
      <c r="M294" s="161">
        <f>IF(C294="Comum",ROUND(F294*1.15,0),"—")</f>
        <v/>
      </c>
      <c r="N294" s="161">
        <f>IF(C294="Comum",G294+2,"—")</f>
        <v/>
      </c>
      <c r="O294" s="161">
        <f>IF(C294="Comum",ROUND(E294*1.6,0),"—")</f>
        <v/>
      </c>
      <c r="P294" s="161">
        <f>IF(C294="Comum",ROUND(F294*1.3,0),"—")</f>
        <v/>
      </c>
      <c r="Q294" s="161">
        <f>IF(C294="Comum",G294+4,"—")</f>
        <v/>
      </c>
      <c r="R294" s="242" t="n"/>
      <c r="S294" s="161">
        <f>ROUND(3+0.6*D294+IF(C294="Comum",0,IF(C294="Elite",2,IF(C294="Boss",4,6))),0)</f>
        <v/>
      </c>
      <c r="T294" s="161" t="inlineStr">
        <is>
          <t>Ouro + Fragmento de Golem Jovem de Mithril</t>
        </is>
      </c>
      <c r="U294" s="161" t="inlineStr">
        <is>
          <t>Ignora Resistência Mágica</t>
        </is>
      </c>
      <c r="V294" s="161" t="inlineStr">
        <is>
          <t>Tanque</t>
        </is>
      </c>
      <c r="W294" s="161" t="inlineStr">
        <is>
          <t>Veio Profundo de Mithril</t>
        </is>
      </c>
      <c r="X294" s="243" t="n"/>
      <c r="Y294" s="243" t="n"/>
      <c r="Z294" s="243" t="n"/>
      <c r="AA294" s="243" t="n"/>
    </row>
    <row r="295">
      <c r="A295" s="161" t="inlineStr">
        <is>
          <t>Mithril</t>
        </is>
      </c>
      <c r="B295" s="161" t="inlineStr">
        <is>
          <t>Morcego das Profundezas</t>
        </is>
      </c>
      <c r="C295" s="161" t="inlineStr">
        <is>
          <t>Comum</t>
        </is>
      </c>
      <c r="D295" s="161" t="n">
        <v>42</v>
      </c>
      <c r="E295" s="161">
        <f>ROUND(INDEX('Curva Mestra'!$F$20:$F$94,MATCH(D295,'Curva Mestra'!$A$20:$A$94,0)),0)</f>
        <v/>
      </c>
      <c r="F295" s="161">
        <f>ROUND(INDEX('Curva Mestra'!$C$20:$C$94,MATCH(D295,'Curva Mestra'!$A$20:$A$94,0))*INDEX($B$5:$B$8,MATCH(C295,$A$5:$A$8,0)),0)</f>
        <v/>
      </c>
      <c r="G295" s="161">
        <f>ROUND(INDEX('Curva Mestra'!$D$20:$D$94,MATCH(D295,'Curva Mestra'!$A$20:$A$94,0))+INDEX($C$5:$C$8,MATCH(C295,$A$5:$A$8,0)),0)</f>
        <v/>
      </c>
      <c r="H295" s="161" t="inlineStr">
        <is>
          <t>Ronda a regiao do tier Mithril</t>
        </is>
      </c>
      <c r="I295" s="161" t="inlineStr">
        <is>
          <t>Investida Sônica</t>
        </is>
      </c>
      <c r="J295" s="161" t="inlineStr">
        <is>
          <t>Sem efeito mecânico além do dano — ataque direto.</t>
        </is>
      </c>
      <c r="K295" s="161" t="inlineStr">
        <is>
          <t>Ataca os navegadores do Almirante Malakor nas rotas mais estreitas — ele navega por eco justamente por causa deles.</t>
        </is>
      </c>
      <c r="L295" s="161">
        <f>IF(C295="Comum",ROUND(E295*1.3,0),"—")</f>
        <v/>
      </c>
      <c r="M295" s="161">
        <f>IF(C295="Comum",ROUND(F295*1.15,0),"—")</f>
        <v/>
      </c>
      <c r="N295" s="161">
        <f>IF(C295="Comum",G295+2,"—")</f>
        <v/>
      </c>
      <c r="O295" s="161">
        <f>IF(C295="Comum",ROUND(E295*1.6,0),"—")</f>
        <v/>
      </c>
      <c r="P295" s="161">
        <f>IF(C295="Comum",ROUND(F295*1.3,0),"—")</f>
        <v/>
      </c>
      <c r="Q295" s="161">
        <f>IF(C295="Comum",G295+4,"—")</f>
        <v/>
      </c>
      <c r="R295" s="161" t="inlineStr">
        <is>
          <t>Ecos no Escuro</t>
        </is>
      </c>
      <c r="S295" s="161">
        <f>ROUND(INDEX('Curva Mestra'!$D$20:$D$94,MATCH(D295,'Curva Mestra'!$A$20:$A$94,0))-IF(C295="Comum",9,IF(C295="Elite",6,IF(C295="Boss",4,3))),0)</f>
        <v/>
      </c>
      <c r="T295" s="161" t="inlineStr">
        <is>
          <t>Ouro + Asa de Morcego das Profundezas + Núcleo de Cristal Elemental (chance rara)</t>
        </is>
      </c>
      <c r="U295" s="161" t="inlineStr">
        <is>
          <t>Vulnerável a Ignora Defesa — pele grossa, mas com pontos fracos previsíveis.</t>
        </is>
      </c>
      <c r="V295" s="242" t="inlineStr">
        <is>
          <t>DPS</t>
        </is>
      </c>
      <c r="W295" s="242" t="inlineStr">
        <is>
          <t>Lago Sem Sol</t>
        </is>
      </c>
      <c r="X295" s="243" t="n"/>
      <c r="Y295" s="243" t="n"/>
      <c r="Z295" s="243" t="n"/>
      <c r="AA295" s="242" t="n"/>
    </row>
    <row r="296">
      <c r="A296" s="161" t="inlineStr">
        <is>
          <t>Mithril</t>
        </is>
      </c>
      <c r="B296" s="161" t="inlineStr">
        <is>
          <t>Morcego Ecolocalizador</t>
        </is>
      </c>
      <c r="C296" s="161" t="inlineStr">
        <is>
          <t>Comum</t>
        </is>
      </c>
      <c r="D296" s="161" t="n">
        <v>42</v>
      </c>
      <c r="E296" s="161">
        <f>ROUND(INDEX('Curva Mestra'!$F$20:$F$94,MATCH(D296,'Curva Mestra'!$A$20:$A$94,0)),0)</f>
        <v/>
      </c>
      <c r="F296" s="161">
        <f>ROUND(INDEX('Curva Mestra'!$C$20:$C$94,MATCH(D296,'Curva Mestra'!$A$20:$A$94,0))*INDEX($B$5:$B$8,MATCH(C296,$A$5:$A$8,0)),0)</f>
        <v/>
      </c>
      <c r="G296" s="161">
        <f>ROUND(INDEX('Curva Mestra'!$D$20:$D$94,MATCH(D296,'Curva Mestra'!$A$20:$A$94,0))+INDEX($C$5:$C$8,MATCH(C296,$A$5:$A$8,0)),0)</f>
        <v/>
      </c>
      <c r="H296" s="161" t="inlineStr">
        <is>
          <t>Guia da colônia de morcegos das profundezas.</t>
        </is>
      </c>
      <c r="I296" s="161" t="inlineStr">
        <is>
          <t>Guincho Certeiro</t>
        </is>
      </c>
      <c r="J296" s="161" t="inlineStr">
        <is>
          <t>Ignora Defesa (usa som pra mirar no escuro).</t>
        </is>
      </c>
      <c r="K296" s="161" t="inlineStr">
        <is>
          <t>Caça em grupos inteiros de morcegos, guia pelo som.</t>
        </is>
      </c>
      <c r="L296" s="161">
        <f>IF(C296="Comum",ROUND(E296*1.3,0),"—")</f>
        <v/>
      </c>
      <c r="M296" s="161">
        <f>IF(C296="Comum",ROUND(F296*1.15,0),"—")</f>
        <v/>
      </c>
      <c r="N296" s="161">
        <f>IF(C296="Comum",G296+2,"—")</f>
        <v/>
      </c>
      <c r="O296" s="161">
        <f>IF(C296="Comum",ROUND(E296*1.6,0),"—")</f>
        <v/>
      </c>
      <c r="P296" s="161">
        <f>IF(C296="Comum",ROUND(F296*1.3,0),"—")</f>
        <v/>
      </c>
      <c r="Q296" s="161">
        <f>IF(C296="Comum",G296+4,"—")</f>
        <v/>
      </c>
      <c r="R296" s="242" t="n"/>
      <c r="S296" s="161">
        <f>ROUND(3+0.6*D296+IF(C296="Comum",0,IF(C296="Elite",2,IF(C296="Boss",4,6))),0)</f>
        <v/>
      </c>
      <c r="T296" s="161" t="inlineStr">
        <is>
          <t>Ouro + Sonar Orgânico de Morcego</t>
        </is>
      </c>
      <c r="U296" s="161" t="inlineStr">
        <is>
          <t>Atordoamento</t>
        </is>
      </c>
      <c r="V296" s="161" t="inlineStr">
        <is>
          <t>Batedor</t>
        </is>
      </c>
      <c r="W296" s="161" t="inlineStr">
        <is>
          <t>Profundezas de Mithril</t>
        </is>
      </c>
      <c r="X296" s="243" t="n"/>
      <c r="Y296" s="243" t="n"/>
      <c r="Z296" s="243" t="n"/>
      <c r="AA296" s="242" t="n"/>
    </row>
    <row r="297">
      <c r="A297" s="161" t="inlineStr">
        <is>
          <t>Mithril</t>
        </is>
      </c>
      <c r="B297" s="161" t="inlineStr">
        <is>
          <t>Peixe-Lanterna Parasita</t>
        </is>
      </c>
      <c r="C297" s="161" t="inlineStr">
        <is>
          <t>Comum</t>
        </is>
      </c>
      <c r="D297" s="161" t="n">
        <v>42</v>
      </c>
      <c r="E297" s="161">
        <f>ROUND(INDEX('Curva Mestra'!$F$20:$F$94,MATCH(D297,'Curva Mestra'!$A$20:$A$94,0)),0)</f>
        <v/>
      </c>
      <c r="F297" s="161">
        <f>ROUND(INDEX('Curva Mestra'!$C$20:$C$94,MATCH(D297,'Curva Mestra'!$A$20:$A$94,0))*INDEX($B$5:$B$8,MATCH(C297,$A$5:$A$8,0)),0)</f>
        <v/>
      </c>
      <c r="G297" s="161">
        <f>ROUND(INDEX('Curva Mestra'!$D$20:$D$94,MATCH(D297,'Curva Mestra'!$A$20:$A$94,0))+INDEX($C$5:$C$8,MATCH(C297,$A$5:$A$8,0)),0)</f>
        <v/>
      </c>
      <c r="H297" s="161" t="inlineStr">
        <is>
          <t>Parasita luminoso das profundezas.</t>
        </is>
      </c>
      <c r="I297" s="161" t="inlineStr">
        <is>
          <t>Luz Hipnótica</t>
        </is>
      </c>
      <c r="J297" s="161" t="inlineStr">
        <is>
          <t>Atordoamento (20%) — só aparece com Peixe-Abissal Corrompido.</t>
        </is>
      </c>
      <c r="K297" s="161" t="inlineStr">
        <is>
          <t>Vive colado ao Peixe-Abissal, usa a luz dele pra atrair presas.</t>
        </is>
      </c>
      <c r="L297" s="161">
        <f>IF(C297="Comum",ROUND(E297*1.3,0),"—")</f>
        <v/>
      </c>
      <c r="M297" s="161">
        <f>IF(C297="Comum",ROUND(F297*1.15,0),"—")</f>
        <v/>
      </c>
      <c r="N297" s="161">
        <f>IF(C297="Comum",G297+2,"—")</f>
        <v/>
      </c>
      <c r="O297" s="161">
        <f>IF(C297="Comum",ROUND(E297*1.6,0),"—")</f>
        <v/>
      </c>
      <c r="P297" s="161">
        <f>IF(C297="Comum",ROUND(F297*1.3,0),"—")</f>
        <v/>
      </c>
      <c r="Q297" s="161">
        <f>IF(C297="Comum",G297+4,"—")</f>
        <v/>
      </c>
      <c r="R297" s="242" t="n"/>
      <c r="S297" s="161">
        <f>ROUND(3+0.6*D297+IF(C297="Comum",0,IF(C297="Elite",2,IF(C297="Boss",4,6))),0)</f>
        <v/>
      </c>
      <c r="T297" s="161" t="inlineStr">
        <is>
          <t>Ouro + Lanterna Parasita Extraída</t>
        </is>
      </c>
      <c r="U297" s="161" t="inlineStr">
        <is>
          <t>Queimadura</t>
        </is>
      </c>
      <c r="V297" s="161" t="inlineStr">
        <is>
          <t>Parasita</t>
        </is>
      </c>
      <c r="W297" s="161" t="inlineStr">
        <is>
          <t>Lago Sem Sol, só com Peixe-Abissal presente</t>
        </is>
      </c>
      <c r="X297" s="242" t="n"/>
      <c r="Y297" s="243" t="n"/>
      <c r="Z297" s="243" t="n"/>
      <c r="AA297" s="242" t="n"/>
    </row>
    <row r="298">
      <c r="A298" s="161" t="inlineStr">
        <is>
          <t>Mithril</t>
        </is>
      </c>
      <c r="B298" s="161" t="inlineStr">
        <is>
          <t>Golem Menor de Mithril</t>
        </is>
      </c>
      <c r="C298" s="161" t="inlineStr">
        <is>
          <t>Comum</t>
        </is>
      </c>
      <c r="D298" s="161" t="n">
        <v>42</v>
      </c>
      <c r="E298" s="161">
        <f>ROUND(INDEX('Curva Mestra'!$F$20:$F$94,MATCH(D298,'Curva Mestra'!$A$20:$A$94,0)),0)</f>
        <v/>
      </c>
      <c r="F298" s="161">
        <f>ROUND(INDEX('Curva Mestra'!$C$20:$C$94,MATCH(D298,'Curva Mestra'!$A$20:$A$94,0))*INDEX($B$5:$B$8,MATCH(C298,$A$5:$A$8,0)),0)</f>
        <v/>
      </c>
      <c r="G298" s="161">
        <f>ROUND(INDEX('Curva Mestra'!$D$20:$D$94,MATCH(D298,'Curva Mestra'!$A$20:$A$94,0))+INDEX($C$5:$C$8,MATCH(C298,$A$5:$A$8,0)),0)</f>
        <v/>
      </c>
      <c r="H298" s="161" t="inlineStr">
        <is>
          <t>Golem pequeno, ainda funcional.</t>
        </is>
      </c>
      <c r="I298" s="161" t="inlineStr">
        <is>
          <t>Punho Cristalino</t>
        </is>
      </c>
      <c r="J298" s="161" t="inlineStr">
        <is>
          <t>Nenhum efeito adicional — resistente.</t>
        </is>
      </c>
      <c r="K298" s="161" t="inlineStr">
        <is>
          <t>Fragmento pequeno do Golem de Mithril maior.</t>
        </is>
      </c>
      <c r="L298" s="161">
        <f>IF(C298="Comum",ROUND(E298*1.3,0),"—")</f>
        <v/>
      </c>
      <c r="M298" s="161">
        <f>IF(C298="Comum",ROUND(F298*1.15,0),"—")</f>
        <v/>
      </c>
      <c r="N298" s="161">
        <f>IF(C298="Comum",G298+2,"—")</f>
        <v/>
      </c>
      <c r="O298" s="161">
        <f>IF(C298="Comum",ROUND(E298*1.6,0),"—")</f>
        <v/>
      </c>
      <c r="P298" s="161">
        <f>IF(C298="Comum",ROUND(F298*1.3,0),"—")</f>
        <v/>
      </c>
      <c r="Q298" s="161">
        <f>IF(C298="Comum",G298+4,"—")</f>
        <v/>
      </c>
      <c r="R298" s="242" t="n"/>
      <c r="S298" s="161">
        <f>ROUND(3+0.6*D298+IF(C298="Comum",0,IF(C298="Elite",2,IF(C298="Boss",4,6))),0)</f>
        <v/>
      </c>
      <c r="T298" s="161" t="inlineStr">
        <is>
          <t>Ouro + Fragmento de Golem Menor de Mithril</t>
        </is>
      </c>
      <c r="U298" s="161" t="inlineStr">
        <is>
          <t>Ignora Resistência Mágica</t>
        </is>
      </c>
      <c r="V298" s="161" t="inlineStr">
        <is>
          <t>Tanque</t>
        </is>
      </c>
      <c r="W298" s="161" t="inlineStr">
        <is>
          <t>Veio Profundo de Mithril</t>
        </is>
      </c>
      <c r="X298" s="243" t="n"/>
      <c r="Y298" s="243" t="n"/>
      <c r="Z298" s="243" t="n"/>
      <c r="AA298" s="243" t="n"/>
    </row>
    <row r="299">
      <c r="A299" s="161" t="inlineStr">
        <is>
          <t>Mithril</t>
        </is>
      </c>
      <c r="B299" s="161" t="inlineStr">
        <is>
          <t>Devorador de Afogados</t>
        </is>
      </c>
      <c r="C299" s="161" t="inlineStr">
        <is>
          <t>Comum</t>
        </is>
      </c>
      <c r="D299" s="161" t="n">
        <v>42</v>
      </c>
      <c r="E299" s="161">
        <f>ROUND(INDEX('Curva Mestra'!$F$20:$F$94,MATCH(D299,'Curva Mestra'!$A$20:$A$94,0)),0)</f>
        <v/>
      </c>
      <c r="F299" s="161">
        <f>ROUND(INDEX('Curva Mestra'!$C$20:$C$94,MATCH(D299,'Curva Mestra'!$A$20:$A$94,0))*INDEX($B$5:$B$8,MATCH(C299,$A$5:$A$8,0)),0)</f>
        <v/>
      </c>
      <c r="G299" s="161">
        <f>ROUND(INDEX('Curva Mestra'!$D$20:$D$94,MATCH(D299,'Curva Mestra'!$A$20:$A$94,0))+INDEX($C$5:$C$8,MATCH(C299,$A$5:$A$8,0)),0)</f>
        <v/>
      </c>
      <c r="H299" s="161" t="inlineStr">
        <is>
          <t>Criatura que vive do que o lago engole.</t>
        </is>
      </c>
      <c r="I299" s="161" t="inlineStr">
        <is>
          <t>Mordida Funda</t>
        </is>
      </c>
      <c r="J299" s="161" t="inlineStr">
        <is>
          <t>Cura 5 HP se houver cadáver no local.</t>
        </is>
      </c>
      <c r="K299" s="161" t="inlineStr">
        <is>
          <t>Come o que resta de quem não sobrevive às profundezas.</t>
        </is>
      </c>
      <c r="L299" s="161">
        <f>IF(C299="Comum",ROUND(E299*1.3,0),"—")</f>
        <v/>
      </c>
      <c r="M299" s="161">
        <f>IF(C299="Comum",ROUND(F299*1.15,0),"—")</f>
        <v/>
      </c>
      <c r="N299" s="161">
        <f>IF(C299="Comum",G299+2,"—")</f>
        <v/>
      </c>
      <c r="O299" s="161">
        <f>IF(C299="Comum",ROUND(E299*1.6,0),"—")</f>
        <v/>
      </c>
      <c r="P299" s="161">
        <f>IF(C299="Comum",ROUND(F299*1.3,0),"—")</f>
        <v/>
      </c>
      <c r="Q299" s="161">
        <f>IF(C299="Comum",G299+4,"—")</f>
        <v/>
      </c>
      <c r="R299" s="242" t="n"/>
      <c r="S299" s="161">
        <f>ROUND(3+0.6*D299+IF(C299="Comum",0,IF(C299="Elite",2,IF(C299="Boss",4,6))),0)</f>
        <v/>
      </c>
      <c r="T299" s="161" t="inlineStr">
        <is>
          <t>Ouro + Presa de Devorador de Afogados</t>
        </is>
      </c>
      <c r="U299" s="161" t="inlineStr">
        <is>
          <t>Atordoamento</t>
        </is>
      </c>
      <c r="V299" s="161" t="inlineStr">
        <is>
          <t>Necrófago</t>
        </is>
      </c>
      <c r="W299" s="161" t="inlineStr">
        <is>
          <t>Lago Sem Sol, após combate vencido</t>
        </is>
      </c>
      <c r="X299" s="243" t="n"/>
      <c r="Y299" s="243" t="n"/>
      <c r="Z299" s="243" t="n"/>
      <c r="AA299" s="243" t="n"/>
    </row>
    <row r="300">
      <c r="A300" s="161" t="inlineStr">
        <is>
          <t>Mithril</t>
        </is>
      </c>
      <c r="B300" s="161" t="inlineStr">
        <is>
          <t>Peixe-Abissal Jovem</t>
        </is>
      </c>
      <c r="C300" s="161" t="inlineStr">
        <is>
          <t>Comum</t>
        </is>
      </c>
      <c r="D300" s="161" t="n">
        <v>42</v>
      </c>
      <c r="E300" s="161">
        <f>ROUND(INDEX('Curva Mestra'!$F$20:$F$94,MATCH(D300,'Curva Mestra'!$A$20:$A$94,0)),0)</f>
        <v/>
      </c>
      <c r="F300" s="161">
        <f>ROUND(INDEX('Curva Mestra'!$C$20:$C$94,MATCH(D300,'Curva Mestra'!$A$20:$A$94,0))*INDEX($B$5:$B$8,MATCH(C300,$A$5:$A$8,0)),0)</f>
        <v/>
      </c>
      <c r="G300" s="161">
        <f>ROUND(INDEX('Curva Mestra'!$D$20:$D$94,MATCH(D300,'Curva Mestra'!$A$20:$A$94,0))+INDEX($C$5:$C$8,MATCH(C300,$A$5:$A$8,0)),0)</f>
        <v/>
      </c>
      <c r="H300" s="161" t="inlineStr">
        <is>
          <t>Peixe abissal jovem.</t>
        </is>
      </c>
      <c r="I300" s="161" t="inlineStr">
        <is>
          <t>Mordida Fraca</t>
        </is>
      </c>
      <c r="J300" s="161" t="inlineStr">
        <is>
          <t>Nenhum efeito adicional.</t>
        </is>
      </c>
      <c r="K300" s="161" t="inlineStr">
        <is>
          <t>Peixe jovem, ainda não tão corrompido quanto os adultos.</t>
        </is>
      </c>
      <c r="L300" s="161">
        <f>IF(C300="Comum",ROUND(E300*1.3,0),"—")</f>
        <v/>
      </c>
      <c r="M300" s="161">
        <f>IF(C300="Comum",ROUND(F300*1.15,0),"—")</f>
        <v/>
      </c>
      <c r="N300" s="161">
        <f>IF(C300="Comum",G300+2,"—")</f>
        <v/>
      </c>
      <c r="O300" s="161">
        <f>IF(C300="Comum",ROUND(E300*1.6,0),"—")</f>
        <v/>
      </c>
      <c r="P300" s="161">
        <f>IF(C300="Comum",ROUND(F300*1.3,0),"—")</f>
        <v/>
      </c>
      <c r="Q300" s="161">
        <f>IF(C300="Comum",G300+4,"—")</f>
        <v/>
      </c>
      <c r="R300" s="242" t="n"/>
      <c r="S300" s="161">
        <f>ROUND(3+0.6*D300+IF(C300="Comum",0,IF(C300="Elite",2,IF(C300="Boss",4,6))),0)</f>
        <v/>
      </c>
      <c r="T300" s="161" t="inlineStr">
        <is>
          <t>Ouro + Escama de Peixe-Abissal Jovem</t>
        </is>
      </c>
      <c r="U300" s="161" t="inlineStr">
        <is>
          <t>Ignora Resistência Mágica</t>
        </is>
      </c>
      <c r="V300" s="161" t="inlineStr">
        <is>
          <t>DPS fraco</t>
        </is>
      </c>
      <c r="W300" s="161" t="inlineStr">
        <is>
          <t>Lago Sem Sol</t>
        </is>
      </c>
      <c r="X300" s="243" t="n"/>
      <c r="Y300" s="243" t="n"/>
      <c r="Z300" s="243" t="n"/>
      <c r="AA300" s="243" t="n"/>
    </row>
    <row r="301">
      <c r="A301" s="161" t="inlineStr">
        <is>
          <t>Mithril</t>
        </is>
      </c>
      <c r="B301" s="161" t="inlineStr">
        <is>
          <t>Golem de Mithril Rachado</t>
        </is>
      </c>
      <c r="C301" s="161" t="inlineStr">
        <is>
          <t>Comum</t>
        </is>
      </c>
      <c r="D301" s="161" t="n">
        <v>42</v>
      </c>
      <c r="E301" s="161">
        <f>ROUND(INDEX('Curva Mestra'!$F$20:$F$94,MATCH(D301,'Curva Mestra'!$A$20:$A$94,0)),0)</f>
        <v/>
      </c>
      <c r="F301" s="161">
        <f>ROUND(INDEX('Curva Mestra'!$C$20:$C$94,MATCH(D301,'Curva Mestra'!$A$20:$A$94,0))*INDEX($B$5:$B$8,MATCH(C301,$A$5:$A$8,0)),0)</f>
        <v/>
      </c>
      <c r="G301" s="161">
        <f>ROUND(INDEX('Curva Mestra'!$D$20:$D$94,MATCH(D301,'Curva Mestra'!$A$20:$A$94,0))+INDEX($C$5:$C$8,MATCH(C301,$A$5:$A$8,0)),0)</f>
        <v/>
      </c>
      <c r="H301" s="161" t="inlineStr">
        <is>
          <t>Golem desgastado pelo tempo nas profundezas.</t>
        </is>
      </c>
      <c r="I301" s="161" t="inlineStr">
        <is>
          <t>Punho Rachado de Mithril</t>
        </is>
      </c>
      <c r="J301" s="161" t="inlineStr">
        <is>
          <t>Fragilidade — mais fácil de danificar que o normal.</t>
        </is>
      </c>
      <c r="K301" s="161" t="inlineStr">
        <is>
          <t>Golem antigo, com fissuras visíveis no cristal.</t>
        </is>
      </c>
      <c r="L301" s="161">
        <f>IF(C301="Comum",ROUND(E301*1.3,0),"—")</f>
        <v/>
      </c>
      <c r="M301" s="161">
        <f>IF(C301="Comum",ROUND(F301*1.15,0),"—")</f>
        <v/>
      </c>
      <c r="N301" s="161">
        <f>IF(C301="Comum",G301+2,"—")</f>
        <v/>
      </c>
      <c r="O301" s="161">
        <f>IF(C301="Comum",ROUND(E301*1.6,0),"—")</f>
        <v/>
      </c>
      <c r="P301" s="161">
        <f>IF(C301="Comum",ROUND(F301*1.3,0),"—")</f>
        <v/>
      </c>
      <c r="Q301" s="161">
        <f>IF(C301="Comum",G301+4,"—")</f>
        <v/>
      </c>
      <c r="R301" s="242" t="n"/>
      <c r="S301" s="161">
        <f>ROUND(3+0.6*D301+IF(C301="Comum",0,IF(C301="Elite",2,IF(C301="Boss",4,6))),0)</f>
        <v/>
      </c>
      <c r="T301" s="161" t="inlineStr">
        <is>
          <t>Ouro + Fragmento de Golem Rachado</t>
        </is>
      </c>
      <c r="U301" s="161" t="inlineStr">
        <is>
          <t>Ignora Resistência Mágica</t>
        </is>
      </c>
      <c r="V301" s="161" t="inlineStr">
        <is>
          <t>Tanque</t>
        </is>
      </c>
      <c r="W301" s="161" t="inlineStr">
        <is>
          <t>Veio Profundo de Mithril</t>
        </is>
      </c>
      <c r="X301" s="243" t="n"/>
      <c r="Y301" s="243" t="n"/>
      <c r="Z301" s="243" t="n"/>
      <c r="AA301" s="243" t="n"/>
    </row>
    <row r="302">
      <c r="A302" s="161" t="inlineStr">
        <is>
          <t>Mithril</t>
        </is>
      </c>
      <c r="B302" s="161" t="inlineStr">
        <is>
          <t>Peixe-Abissal Corrompido</t>
        </is>
      </c>
      <c r="C302" s="161" t="inlineStr">
        <is>
          <t>Comum</t>
        </is>
      </c>
      <c r="D302" s="161" t="n">
        <v>43</v>
      </c>
      <c r="E302" s="161">
        <f>ROUND(INDEX('Curva Mestra'!$F$20:$F$94,MATCH(D302,'Curva Mestra'!$A$20:$A$94,0)),0)</f>
        <v/>
      </c>
      <c r="F302" s="161">
        <f>ROUND(INDEX('Curva Mestra'!$C$20:$C$94,MATCH(D302,'Curva Mestra'!$A$20:$A$94,0))*INDEX($B$5:$B$8,MATCH(C302,$A$5:$A$8,0)),0)</f>
        <v/>
      </c>
      <c r="G302" s="161">
        <f>ROUND(INDEX('Curva Mestra'!$D$20:$D$94,MATCH(D302,'Curva Mestra'!$A$20:$A$94,0))+INDEX($C$5:$C$8,MATCH(C302,$A$5:$A$8,0)),0)</f>
        <v/>
      </c>
      <c r="H302" s="161" t="inlineStr">
        <is>
          <t>Principado Abissal, Os Navegadores do Abismo, região de Mithril.</t>
        </is>
      </c>
      <c r="I302" s="161" t="inlineStr">
        <is>
          <t>Mordida das Profundezas</t>
        </is>
      </c>
      <c r="J302" s="161" t="inlineStr">
        <is>
          <t>Sem efeito especial — ataca em cardume, é a quantidade que assusta.</t>
        </is>
      </c>
      <c r="K302" s="161" t="inlineStr">
        <is>
          <t>Peixe nativo do Mar Sem Sol, mutado pelas primeiras experiências do Culto da Assimilação jogadas na água.</t>
        </is>
      </c>
      <c r="L302" s="161">
        <f>IF(C302="Comum",ROUND(E302*1.3,0),"—")</f>
        <v/>
      </c>
      <c r="M302" s="161">
        <f>IF(C302="Comum",ROUND(F302*1.15,0),"—")</f>
        <v/>
      </c>
      <c r="N302" s="161">
        <f>IF(C302="Comum",G302+2,"—")</f>
        <v/>
      </c>
      <c r="O302" s="161">
        <f>IF(C302="Comum",ROUND(E302*1.6,0),"—")</f>
        <v/>
      </c>
      <c r="P302" s="161">
        <f>IF(C302="Comum",ROUND(F302*1.3,0),"—")</f>
        <v/>
      </c>
      <c r="Q302" s="161">
        <f>IF(C302="Comum",G302+4,"—")</f>
        <v/>
      </c>
      <c r="R302" s="161" t="inlineStr">
        <is>
          <t>Ecos no Escuro</t>
        </is>
      </c>
      <c r="S302" s="161">
        <f>ROUND(INDEX('Curva Mestra'!$D$20:$D$94,MATCH(D302,'Curva Mestra'!$A$20:$A$94,0))-IF(C302="Comum",9,IF(C302="Elite",6,IF(C302="Boss",4,3))),0)</f>
        <v/>
      </c>
      <c r="T302" s="161" t="inlineStr">
        <is>
          <t>Ouro + Escama Corrompida de Peixe-Abissal + Núcleo de Cristal Elemental (chance rara)</t>
        </is>
      </c>
      <c r="U302" s="161" t="inlineStr">
        <is>
          <t>Vulnerável a Fogo — a carne corrompida queima rápido demais pra se regenerar.</t>
        </is>
      </c>
      <c r="V302" s="242" t="inlineStr">
        <is>
          <t>DPS</t>
        </is>
      </c>
      <c r="W302" s="242" t="inlineStr">
        <is>
          <t>Lago Sem Sol</t>
        </is>
      </c>
      <c r="X302" s="242" t="n"/>
      <c r="Y302" s="243" t="n"/>
      <c r="Z302" s="243" t="n"/>
      <c r="AA302" s="243" t="n"/>
    </row>
    <row r="303">
      <c r="A303" s="161" t="inlineStr">
        <is>
          <t>Mithril</t>
        </is>
      </c>
      <c r="B303" s="161" t="inlineStr">
        <is>
          <t>Marinheiro Assimilado</t>
        </is>
      </c>
      <c r="C303" s="161" t="inlineStr">
        <is>
          <t>Comum</t>
        </is>
      </c>
      <c r="D303" s="161" t="n">
        <v>44</v>
      </c>
      <c r="E303" s="161">
        <f>ROUND(INDEX('Curva Mestra'!$F$20:$F$94,MATCH(D303,'Curva Mestra'!$A$20:$A$94,0)),0)</f>
        <v/>
      </c>
      <c r="F303" s="161">
        <f>ROUND(INDEX('Curva Mestra'!$C$20:$C$94,MATCH(D303,'Curva Mestra'!$A$20:$A$94,0))*INDEX($B$5:$B$8,MATCH(C303,$A$5:$A$8,0)),0)</f>
        <v/>
      </c>
      <c r="G303" s="161">
        <f>ROUND(INDEX('Curva Mestra'!$D$20:$D$94,MATCH(D303,'Curva Mestra'!$A$20:$A$94,0))+INDEX($C$5:$C$8,MATCH(C303,$A$5:$A$8,0)),0)</f>
        <v/>
      </c>
      <c r="H303" s="161" t="inlineStr">
        <is>
          <t>Principado Abissal, Os Navegadores do Abismo, região de Mithril.</t>
        </is>
      </c>
      <c r="I303" s="161" t="inlineStr">
        <is>
          <t>Abraço de Raízes</t>
        </is>
      </c>
      <c r="J303" s="161" t="inlineStr">
        <is>
          <t>Tenta imobilizar o alvo por 1 turno.</t>
        </is>
      </c>
      <c r="K303" s="161" t="inlineStr">
        <is>
          <t>Navegador que aceitou se fundir com carne-raiz por acreditar no Culto da Assimilação — "não somos vítimas, somos parte do corpo supremo".</t>
        </is>
      </c>
      <c r="L303" s="161">
        <f>IF(C303="Comum",ROUND(E303*1.3,0),"—")</f>
        <v/>
      </c>
      <c r="M303" s="161">
        <f>IF(C303="Comum",ROUND(F303*1.15,0),"—")</f>
        <v/>
      </c>
      <c r="N303" s="161">
        <f>IF(C303="Comum",G303+2,"—")</f>
        <v/>
      </c>
      <c r="O303" s="161">
        <f>IF(C303="Comum",ROUND(E303*1.6,0),"—")</f>
        <v/>
      </c>
      <c r="P303" s="161">
        <f>IF(C303="Comum",ROUND(F303*1.3,0),"—")</f>
        <v/>
      </c>
      <c r="Q303" s="161">
        <f>IF(C303="Comum",G303+4,"—")</f>
        <v/>
      </c>
      <c r="R303" s="161" t="inlineStr">
        <is>
          <t>O Profeta da Fusão</t>
        </is>
      </c>
      <c r="S303" s="161">
        <f>ROUND(INDEX('Curva Mestra'!$D$20:$D$94,MATCH(D303,'Curva Mestra'!$A$20:$A$94,0))-IF(C303="Comum",9,IF(C303="Elite",6,IF(C303="Boss",4,3))),0)</f>
        <v/>
      </c>
      <c r="T303" s="161" t="inlineStr">
        <is>
          <t>Ouro + Carne-Raiz de Marinheiro Assimilado + Núcleo de Cristal Elemental (chance rara)</t>
        </is>
      </c>
      <c r="U303" s="161" t="inlineStr">
        <is>
          <t>Vulnerável a Fogo — a carne corrompida queima rápido demais pra se regenerar.</t>
        </is>
      </c>
      <c r="V303" s="242" t="inlineStr">
        <is>
          <t>Controle</t>
        </is>
      </c>
      <c r="W303" s="242" t="inlineStr">
        <is>
          <t>Lago Sem Sol</t>
        </is>
      </c>
      <c r="X303" s="243" t="n"/>
      <c r="Y303" s="242" t="n"/>
      <c r="Z303" s="243" t="n"/>
      <c r="AA303" s="243" t="n"/>
    </row>
    <row r="304">
      <c r="A304" s="161" t="inlineStr">
        <is>
          <t>Mithril</t>
        </is>
      </c>
      <c r="B304" s="161" t="inlineStr">
        <is>
          <t>Golem de Mithril</t>
        </is>
      </c>
      <c r="C304" s="161" t="inlineStr">
        <is>
          <t>Elite</t>
        </is>
      </c>
      <c r="D304" s="161" t="n">
        <v>42</v>
      </c>
      <c r="E304" s="161">
        <f>ROUND(INDEX('Curva Mestra'!$G$20:$G$94,MATCH(D304,'Curva Mestra'!$A$20:$A$94,0)),0)</f>
        <v/>
      </c>
      <c r="F304" s="161">
        <f>ROUND(INDEX('Curva Mestra'!$C$20:$C$94,MATCH(D304,'Curva Mestra'!$A$20:$A$94,0))*INDEX($B$5:$B$8,MATCH(C304,$A$5:$A$8,0)),0)</f>
        <v/>
      </c>
      <c r="G304" s="161">
        <f>ROUND(INDEX('Curva Mestra'!$D$20:$D$94,MATCH(D304,'Curva Mestra'!$A$20:$A$94,0))+INDEX($C$5:$C$8,MATCH(C304,$A$5:$A$8,0)),0)</f>
        <v/>
      </c>
      <c r="H304" s="161" t="inlineStr">
        <is>
          <t>Encontro dificil dentro do tier Mithril</t>
        </is>
      </c>
      <c r="I304" s="161" t="inlineStr">
        <is>
          <t>Punho de Mithril</t>
        </is>
      </c>
      <c r="J304" s="161" t="inlineStr">
        <is>
          <t>Ignora toda Resistência Mágica do alvo nesse golpe.</t>
        </is>
      </c>
      <c r="K304" s="161" t="inlineStr">
        <is>
          <t>Construído pelos primeiros mineradores do Porto — hoje protege veios de minério que ninguém mais tem coragem de explorar.</t>
        </is>
      </c>
      <c r="L304" s="161">
        <f>IF(C304="Comum",ROUND(E304*1.3,0),"—")</f>
        <v/>
      </c>
      <c r="M304" s="161">
        <f>IF(C304="Comum",ROUND(F304*1.15,0),"—")</f>
        <v/>
      </c>
      <c r="N304" s="161">
        <f>IF(C304="Comum",G304+2,"—")</f>
        <v/>
      </c>
      <c r="O304" s="161">
        <f>IF(C304="Comum",ROUND(E304*1.6,0),"—")</f>
        <v/>
      </c>
      <c r="P304" s="161">
        <f>IF(C304="Comum",ROUND(F304*1.3,0),"—")</f>
        <v/>
      </c>
      <c r="Q304" s="161">
        <f>IF(C304="Comum",G304+4,"—")</f>
        <v/>
      </c>
      <c r="R304" s="161" t="inlineStr">
        <is>
          <t>O Coração de Mithril Resfriado</t>
        </is>
      </c>
      <c r="S304" s="161">
        <f>ROUND(INDEX('Curva Mestra'!$D$20:$D$94,MATCH(D304,'Curva Mestra'!$A$20:$A$94,0))-IF(C304="Comum",9,IF(C304="Elite",6,IF(C304="Boss",4,3))),0)</f>
        <v/>
      </c>
      <c r="T304" s="161" t="inlineStr">
        <is>
          <t>Núcleo de Golem de Mithril + Ouro + Núcleo de Cristal Elemental (chance baixa)</t>
        </is>
      </c>
      <c r="U304" s="161" t="inlineStr">
        <is>
          <t>Vulnerável a Atordoamento — travas mecânicas emperram com o dobro de chance.</t>
        </is>
      </c>
      <c r="V304" s="242" t="inlineStr">
        <is>
          <t>DPS</t>
        </is>
      </c>
      <c r="W304" s="242" t="inlineStr">
        <is>
          <t>Lago Sem Sol</t>
        </is>
      </c>
      <c r="X304" s="243" t="n"/>
      <c r="Y304" s="243" t="n"/>
      <c r="Z304" s="243" t="n"/>
      <c r="AA304" s="243" t="n"/>
    </row>
    <row r="305">
      <c r="A305" s="161" t="inlineStr">
        <is>
          <t>Mithril</t>
        </is>
      </c>
      <c r="B305" s="161" t="inlineStr">
        <is>
          <t>Cristal Ressonante</t>
        </is>
      </c>
      <c r="C305" s="161" t="inlineStr">
        <is>
          <t>Elite</t>
        </is>
      </c>
      <c r="D305" s="161" t="n">
        <v>43</v>
      </c>
      <c r="E305" s="161">
        <f>ROUND(INDEX('Curva Mestra'!$G$20:$G$94,MATCH(D305,'Curva Mestra'!$A$20:$A$94,0)),0)</f>
        <v/>
      </c>
      <c r="F305" s="161">
        <f>ROUND(INDEX('Curva Mestra'!$C$20:$C$94,MATCH(D305,'Curva Mestra'!$A$20:$A$94,0))*INDEX($B$5:$B$8,MATCH(C305,$A$5:$A$8,0)),0)</f>
        <v/>
      </c>
      <c r="G305" s="161">
        <f>ROUND(INDEX('Curva Mestra'!$D$20:$D$94,MATCH(D305,'Curva Mestra'!$A$20:$A$94,0))+INDEX($C$5:$C$8,MATCH(C305,$A$5:$A$8,0)),0)</f>
        <v/>
      </c>
      <c r="H305" s="161" t="inlineStr">
        <is>
          <t>Cristal maior, ressoa com toda a colônia ao redor.</t>
        </is>
      </c>
      <c r="I305" s="161" t="inlineStr">
        <is>
          <t>Ressonância Dissonante</t>
        </is>
      </c>
      <c r="J305" s="161" t="inlineStr">
        <is>
          <t>Atordoamento em área (20%, afeta todos no combate).</t>
        </is>
      </c>
      <c r="K305" s="161" t="inlineStr">
        <is>
          <t>Vibra na mesma frequência de outros cristais próximos.</t>
        </is>
      </c>
      <c r="L305" s="161">
        <f>IF(C305="Comum",ROUND(E305*1.3,0),"—")</f>
        <v/>
      </c>
      <c r="M305" s="161">
        <f>IF(C305="Comum",ROUND(F305*1.15,0),"—")</f>
        <v/>
      </c>
      <c r="N305" s="161">
        <f>IF(C305="Comum",G305+2,"—")</f>
        <v/>
      </c>
      <c r="O305" s="161">
        <f>IF(C305="Comum",ROUND(E305*1.6,0),"—")</f>
        <v/>
      </c>
      <c r="P305" s="161">
        <f>IF(C305="Comum",ROUND(F305*1.3,0),"—")</f>
        <v/>
      </c>
      <c r="Q305" s="161">
        <f>IF(C305="Comum",G305+4,"—")</f>
        <v/>
      </c>
      <c r="R305" s="242" t="n"/>
      <c r="S305" s="161">
        <f>ROUND(3+0.6*D305+IF(C305="Comum",0,IF(C305="Elite",2,IF(C305="Boss",4,6))),0)</f>
        <v/>
      </c>
      <c r="T305" s="161" t="inlineStr">
        <is>
          <t>Ouro + Fragmento de Cristal Ressonante + Núcleo de Cristal Elemental (chance baixa)</t>
        </is>
      </c>
      <c r="U305" s="161" t="inlineStr">
        <is>
          <t>Ignora Resistência Mágica</t>
        </is>
      </c>
      <c r="V305" s="161" t="inlineStr">
        <is>
          <t>Controle</t>
        </is>
      </c>
      <c r="W305" s="161" t="inlineStr">
        <is>
          <t>Veio Profundo de Mithril</t>
        </is>
      </c>
      <c r="X305" s="243" t="n"/>
      <c r="Y305" s="243" t="n"/>
      <c r="Z305" s="243" t="n"/>
      <c r="AA305" s="243" t="n"/>
    </row>
    <row r="306">
      <c r="A306" s="161" t="inlineStr">
        <is>
          <t>Mithril</t>
        </is>
      </c>
      <c r="B306" s="161" t="inlineStr">
        <is>
          <t>Ostra-Armadilha</t>
        </is>
      </c>
      <c r="C306" s="161" t="inlineStr">
        <is>
          <t>Elite</t>
        </is>
      </c>
      <c r="D306" s="161" t="n">
        <v>43</v>
      </c>
      <c r="E306" s="161">
        <f>ROUND(INDEX('Curva Mestra'!$G$20:$G$94,MATCH(D306,'Curva Mestra'!$A$20:$A$94,0)),0)</f>
        <v/>
      </c>
      <c r="F306" s="161">
        <f>ROUND(INDEX('Curva Mestra'!$C$20:$C$94,MATCH(D306,'Curva Mestra'!$A$20:$A$94,0))*INDEX($B$5:$B$8,MATCH(C306,$A$5:$A$8,0)),0)</f>
        <v/>
      </c>
      <c r="G306" s="161">
        <f>ROUND(INDEX('Curva Mestra'!$D$20:$D$94,MATCH(D306,'Curva Mestra'!$A$20:$A$94,0))+INDEX($C$5:$C$8,MATCH(C306,$A$5:$A$8,0)),0)</f>
        <v/>
      </c>
      <c r="H306" s="161" t="inlineStr">
        <is>
          <t>Molusco gigante disfarçado de tesouro.</t>
        </is>
      </c>
      <c r="I306" s="161" t="inlineStr">
        <is>
          <t>Mordida da Concha</t>
        </is>
      </c>
      <c r="J306" s="161" t="inlineStr">
        <is>
          <t>Ignora Defesa + jogador perde 1 turno de surpresa.</t>
        </is>
      </c>
      <c r="K306" s="161" t="inlineStr">
        <is>
          <t>Parece tesouro no fundo do lago, mas é predadora.</t>
        </is>
      </c>
      <c r="L306" s="161">
        <f>IF(C306="Comum",ROUND(E306*1.3,0),"—")</f>
        <v/>
      </c>
      <c r="M306" s="161">
        <f>IF(C306="Comum",ROUND(F306*1.15,0),"—")</f>
        <v/>
      </c>
      <c r="N306" s="161">
        <f>IF(C306="Comum",G306+2,"—")</f>
        <v/>
      </c>
      <c r="O306" s="161">
        <f>IF(C306="Comum",ROUND(E306*1.6,0),"—")</f>
        <v/>
      </c>
      <c r="P306" s="161">
        <f>IF(C306="Comum",ROUND(F306*1.3,0),"—")</f>
        <v/>
      </c>
      <c r="Q306" s="161">
        <f>IF(C306="Comum",G306+4,"—")</f>
        <v/>
      </c>
      <c r="R306" s="242" t="n"/>
      <c r="S306" s="161">
        <f>ROUND(3+0.6*D306+IF(C306="Comum",0,IF(C306="Elite",2,IF(C306="Boss",4,6))),0)</f>
        <v/>
      </c>
      <c r="T306" s="161" t="inlineStr">
        <is>
          <t>Ouro + Núcleo de Cristal Elemental (chance alta, x2) + Fragmento de Concha Armadilhada</t>
        </is>
      </c>
      <c r="U306" s="161" t="inlineStr">
        <is>
          <t>Atordoamento</t>
        </is>
      </c>
      <c r="V306" s="161" t="inlineStr">
        <is>
          <t>Mímico</t>
        </is>
      </c>
      <c r="W306" s="161" t="inlineStr">
        <is>
          <t>Lago Sem Sol, 5% ao coletar</t>
        </is>
      </c>
      <c r="X306" s="243" t="n"/>
      <c r="Y306" s="243" t="n"/>
      <c r="Z306" s="243" t="n"/>
      <c r="AA306" s="241" t="inlineStr">
        <is>
          <t>Núcleo de Cristal Elemental x2 (falso — some ao ser revelado, sem uso real)</t>
        </is>
      </c>
    </row>
    <row r="307">
      <c r="A307" s="161" t="inlineStr">
        <is>
          <t>Mithril</t>
        </is>
      </c>
      <c r="B307" s="161" t="inlineStr">
        <is>
          <t>Peixe Dourado das Profundezas</t>
        </is>
      </c>
      <c r="C307" s="161" t="inlineStr">
        <is>
          <t>Elite</t>
        </is>
      </c>
      <c r="D307" s="161" t="n">
        <v>43</v>
      </c>
      <c r="E307" s="161">
        <f>ROUND(INDEX('Curva Mestra'!$G$20:$G$94,MATCH(D307,'Curva Mestra'!$A$20:$A$94,0)),0)</f>
        <v/>
      </c>
      <c r="F307" s="161">
        <f>ROUND(INDEX('Curva Mestra'!$C$20:$C$94,MATCH(D307,'Curva Mestra'!$A$20:$A$94,0))*INDEX($B$5:$B$8,MATCH(C307,$A$5:$A$8,0)),0)</f>
        <v/>
      </c>
      <c r="G307" s="161">
        <f>ROUND(INDEX('Curva Mestra'!$D$20:$D$94,MATCH(D307,'Curva Mestra'!$A$20:$A$94,0))+INDEX($C$5:$C$8,MATCH(C307,$A$5:$A$8,0)),0)</f>
        <v/>
      </c>
      <c r="H307" s="161" t="inlineStr">
        <is>
          <t>Peixe raro que a corrupção não conseguiu apagar o brilho.</t>
        </is>
      </c>
      <c r="I307" s="161" t="inlineStr">
        <is>
          <t>Fuga nas Correntes</t>
        </is>
      </c>
      <c r="J307" s="161" t="inlineStr">
        <is>
          <t>Não causa dano — foge no turno 3.</t>
        </is>
      </c>
      <c r="K307" s="161" t="inlineStr">
        <is>
          <t>Raro entre os peixes abissais, brilha mesmo no escuro total.</t>
        </is>
      </c>
      <c r="L307" s="161">
        <f>IF(C307="Comum",ROUND(E307*1.3,0),"—")</f>
        <v/>
      </c>
      <c r="M307" s="161">
        <f>IF(C307="Comum",ROUND(F307*1.15,0),"—")</f>
        <v/>
      </c>
      <c r="N307" s="161">
        <f>IF(C307="Comum",G307+2,"—")</f>
        <v/>
      </c>
      <c r="O307" s="161">
        <f>IF(C307="Comum",ROUND(E307*1.6,0),"—")</f>
        <v/>
      </c>
      <c r="P307" s="161">
        <f>IF(C307="Comum",ROUND(F307*1.3,0),"—")</f>
        <v/>
      </c>
      <c r="Q307" s="161">
        <f>IF(C307="Comum",G307+4,"—")</f>
        <v/>
      </c>
      <c r="R307" s="242" t="n"/>
      <c r="S307" s="161">
        <f>ROUND(3+0.6*D307+IF(C307="Comum",0,IF(C307="Elite",2,IF(C307="Boss",4,6))),0)</f>
        <v/>
      </c>
      <c r="T307" s="161" t="inlineStr">
        <is>
          <t>Ouro + Escama Dourada de Peixe das Profundezas</t>
        </is>
      </c>
      <c r="U307" s="161" t="inlineStr">
        <is>
          <t>Lentidão</t>
        </is>
      </c>
      <c r="V307" s="161" t="inlineStr">
        <is>
          <t>Superloot/Evasivo</t>
        </is>
      </c>
      <c r="W307" s="161" t="inlineStr">
        <is>
          <t>Lago Sem Sol, spawn raro (2%)</t>
        </is>
      </c>
      <c r="X307" s="243" t="n"/>
      <c r="Y307" s="243" t="n"/>
      <c r="Z307" s="243" t="n"/>
      <c r="AA307" s="241" t="inlineStr">
        <is>
          <t>Rocha Negra de Ébano (material de Tier 10)</t>
        </is>
      </c>
    </row>
    <row r="308">
      <c r="A308" s="161" t="inlineStr">
        <is>
          <t>Mithril</t>
        </is>
      </c>
      <c r="B308" s="161" t="inlineStr">
        <is>
          <t>Capitão Assimilado Menor</t>
        </is>
      </c>
      <c r="C308" s="161" t="inlineStr">
        <is>
          <t>Elite</t>
        </is>
      </c>
      <c r="D308" s="161" t="n">
        <v>43</v>
      </c>
      <c r="E308" s="161">
        <f>ROUND(INDEX('Curva Mestra'!$G$20:$G$94,MATCH(D308,'Curva Mestra'!$A$20:$A$94,0)),0)</f>
        <v/>
      </c>
      <c r="F308" s="161">
        <f>ROUND(INDEX('Curva Mestra'!$C$20:$C$94,MATCH(D308,'Curva Mestra'!$A$20:$A$94,0))*INDEX($B$5:$B$8,MATCH(C308,$A$5:$A$8,0)),0)</f>
        <v/>
      </c>
      <c r="G308" s="161">
        <f>ROUND(INDEX('Curva Mestra'!$D$20:$D$94,MATCH(D308,'Curva Mestra'!$A$20:$A$94,0))+INDEX($C$5:$C$8,MATCH(C308,$A$5:$A$8,0)),0)</f>
        <v/>
      </c>
      <c r="H308" s="161" t="inlineStr">
        <is>
          <t>Oficial de baixa patente, assimilado como o resto da tripulação.</t>
        </is>
      </c>
      <c r="I308" s="161" t="inlineStr">
        <is>
          <t>Ordem Fraca</t>
        </is>
      </c>
      <c r="J308" s="161" t="inlineStr">
        <is>
          <t>Ignora Resistência Mágica (leve) + concede +5% de acerto a Marinheiros próximos.</t>
        </is>
      </c>
      <c r="K308" s="161" t="inlineStr">
        <is>
          <t>Oficial menor, não o capitão principal.</t>
        </is>
      </c>
      <c r="L308" s="161">
        <f>IF(C308="Comum",ROUND(E308*1.3,0),"—")</f>
        <v/>
      </c>
      <c r="M308" s="161">
        <f>IF(C308="Comum",ROUND(F308*1.15,0),"—")</f>
        <v/>
      </c>
      <c r="N308" s="161">
        <f>IF(C308="Comum",G308+2,"—")</f>
        <v/>
      </c>
      <c r="O308" s="161">
        <f>IF(C308="Comum",ROUND(E308*1.6,0),"—")</f>
        <v/>
      </c>
      <c r="P308" s="161">
        <f>IF(C308="Comum",ROUND(F308*1.3,0),"—")</f>
        <v/>
      </c>
      <c r="Q308" s="161">
        <f>IF(C308="Comum",G308+4,"—")</f>
        <v/>
      </c>
      <c r="R308" s="242" t="n"/>
      <c r="S308" s="161">
        <f>ROUND(3+0.6*D308+IF(C308="Comum",0,IF(C308="Elite",2,IF(C308="Boss",4,6))),0)</f>
        <v/>
      </c>
      <c r="T308" s="161" t="inlineStr">
        <is>
          <t>Ouro + Fragmento de Capitão Assimilado Menor + Núcleo de Cristal Elemental (chance baixa)</t>
        </is>
      </c>
      <c r="U308" s="161" t="inlineStr">
        <is>
          <t>Ignora Defesa</t>
        </is>
      </c>
      <c r="V308" s="161" t="inlineStr">
        <is>
          <t>Suporte</t>
        </is>
      </c>
      <c r="W308" s="161" t="inlineStr">
        <is>
          <t>Lago Sem Sol</t>
        </is>
      </c>
      <c r="X308" s="243" t="n"/>
      <c r="Y308" s="243" t="n"/>
      <c r="Z308" s="243" t="n"/>
      <c r="AA308" s="243" t="n"/>
    </row>
    <row r="309">
      <c r="A309" s="161" t="inlineStr">
        <is>
          <t>Mithril</t>
        </is>
      </c>
      <c r="B309" s="161" t="inlineStr">
        <is>
          <t>Cirurgião Renegado</t>
        </is>
      </c>
      <c r="C309" s="161" t="inlineStr">
        <is>
          <t>Elite</t>
        </is>
      </c>
      <c r="D309" s="161" t="n">
        <v>44</v>
      </c>
      <c r="E309" s="161">
        <f>ROUND(INDEX('Curva Mestra'!$G$20:$G$94,MATCH(D309,'Curva Mestra'!$A$20:$A$94,0)),0)</f>
        <v/>
      </c>
      <c r="F309" s="161">
        <f>ROUND(INDEX('Curva Mestra'!$C$20:$C$94,MATCH(D309,'Curva Mestra'!$A$20:$A$94,0))*INDEX($B$5:$B$8,MATCH(C309,$A$5:$A$8,0)),0)</f>
        <v/>
      </c>
      <c r="G309" s="161">
        <f>ROUND(INDEX('Curva Mestra'!$D$20:$D$94,MATCH(D309,'Curva Mestra'!$A$20:$A$94,0))+INDEX($C$5:$C$8,MATCH(C309,$A$5:$A$8,0)),0)</f>
        <v/>
      </c>
      <c r="H309" s="161" t="inlineStr">
        <is>
          <t>Principado Abissal, Os Navegadores do Abismo, região de Mithril.</t>
        </is>
      </c>
      <c r="I309" s="161" t="inlineStr">
        <is>
          <t>Corte Preciso</t>
        </is>
      </c>
      <c r="J309" s="161" t="inlineStr">
        <is>
          <t>Ignora 1 ponto de Defesa do alvo.</t>
        </is>
      </c>
      <c r="K309" s="161" t="inlineStr">
        <is>
          <t>Discípulo do Dr. Corvus que foi longe demais — opera em sujeitos vivos "em nome da ciência". O próprio Corvus não sabe até onde ele chegou.</t>
        </is>
      </c>
      <c r="L309" s="161">
        <f>IF(C309="Comum",ROUND(E309*1.3,0),"—")</f>
        <v/>
      </c>
      <c r="M309" s="161">
        <f>IF(C309="Comum",ROUND(F309*1.15,0),"—")</f>
        <v/>
      </c>
      <c r="N309" s="161">
        <f>IF(C309="Comum",G309+2,"—")</f>
        <v/>
      </c>
      <c r="O309" s="161">
        <f>IF(C309="Comum",ROUND(E309*1.6,0),"—")</f>
        <v/>
      </c>
      <c r="P309" s="161">
        <f>IF(C309="Comum",ROUND(F309*1.3,0),"—")</f>
        <v/>
      </c>
      <c r="Q309" s="161">
        <f>IF(C309="Comum",G309+4,"—")</f>
        <v/>
      </c>
      <c r="R309" s="161" t="inlineStr">
        <is>
          <t>As Amostras do Dr. Corvus</t>
        </is>
      </c>
      <c r="S309" s="161">
        <f>ROUND(INDEX('Curva Mestra'!$D$20:$D$94,MATCH(D309,'Curva Mestra'!$A$20:$A$94,0))-IF(C309="Comum",9,IF(C309="Elite",6,IF(C309="Boss",4,3))),0)</f>
        <v/>
      </c>
      <c r="T309" s="161" t="inlineStr">
        <is>
          <t>Fragmento de Cirurgião Renegado + Ouro + Núcleo de Cristal Elemental (chance baixa)</t>
        </is>
      </c>
      <c r="U309" s="161" t="inlineStr">
        <is>
          <t>Sem fraqueza óbvia — precisa de Knowledge alto pra descobrir algo específico.</t>
        </is>
      </c>
      <c r="V309" s="242" t="inlineStr">
        <is>
          <t>DPS</t>
        </is>
      </c>
      <c r="W309" s="242" t="inlineStr">
        <is>
          <t>Lago Sem Sol</t>
        </is>
      </c>
      <c r="X309" s="243" t="n"/>
      <c r="Y309" s="243" t="n"/>
      <c r="Z309" s="243" t="n"/>
      <c r="AA309" s="242" t="n"/>
    </row>
    <row r="310">
      <c r="A310" s="161" t="inlineStr">
        <is>
          <t>Mithril</t>
        </is>
      </c>
      <c r="B310" s="161" t="inlineStr">
        <is>
          <t>Profeta da Fusão</t>
        </is>
      </c>
      <c r="C310" s="161" t="inlineStr">
        <is>
          <t>Elite</t>
        </is>
      </c>
      <c r="D310" s="161" t="n">
        <v>44</v>
      </c>
      <c r="E310" s="161">
        <f>ROUND(INDEX('Curva Mestra'!$G$20:$G$94,MATCH(D310,'Curva Mestra'!$A$20:$A$94,0)),0)</f>
        <v/>
      </c>
      <c r="F310" s="161">
        <f>ROUND(INDEX('Curva Mestra'!$C$20:$C$94,MATCH(D310,'Curva Mestra'!$A$20:$A$94,0))*INDEX($B$5:$B$8,MATCH(C310,$A$5:$A$8,0)),0)</f>
        <v/>
      </c>
      <c r="G310" s="161">
        <f>ROUND(INDEX('Curva Mestra'!$D$20:$D$94,MATCH(D310,'Curva Mestra'!$A$20:$A$94,0))+INDEX($C$5:$C$8,MATCH(C310,$A$5:$A$8,0)),0)</f>
        <v/>
      </c>
      <c r="H310" s="161" t="inlineStr">
        <is>
          <t>Principado Abissal, Os Navegadores do Abismo, região de Mithril.</t>
        </is>
      </c>
      <c r="I310" s="161" t="inlineStr">
        <is>
          <t>Sermão da Assimilação</t>
        </is>
      </c>
      <c r="J310" s="161" t="inlineStr">
        <is>
          <t>Cura 10 HP de si mesmo sempre que um Marinheiro Assimilado aliado morre no combate.</t>
        </is>
      </c>
      <c r="K310" s="161" t="inlineStr">
        <is>
          <t>Prega que a fusão de carnes do Amálgama é a única salvação — está convencendo cada vez mais navegadores desesperados do Porto.</t>
        </is>
      </c>
      <c r="L310" s="161">
        <f>IF(C310="Comum",ROUND(E310*1.3,0),"—")</f>
        <v/>
      </c>
      <c r="M310" s="161">
        <f>IF(C310="Comum",ROUND(F310*1.15,0),"—")</f>
        <v/>
      </c>
      <c r="N310" s="161">
        <f>IF(C310="Comum",G310+2,"—")</f>
        <v/>
      </c>
      <c r="O310" s="161">
        <f>IF(C310="Comum",ROUND(E310*1.6,0),"—")</f>
        <v/>
      </c>
      <c r="P310" s="161">
        <f>IF(C310="Comum",ROUND(F310*1.3,0),"—")</f>
        <v/>
      </c>
      <c r="Q310" s="161">
        <f>IF(C310="Comum",G310+4,"—")</f>
        <v/>
      </c>
      <c r="R310" s="161" t="inlineStr">
        <is>
          <t>O Profeta da Fusão</t>
        </is>
      </c>
      <c r="S310" s="161">
        <f>ROUND(INDEX('Curva Mestra'!$D$20:$D$94,MATCH(D310,'Curva Mestra'!$A$20:$A$94,0))-IF(C310="Comum",9,IF(C310="Elite",6,IF(C310="Boss",4,3))),0)</f>
        <v/>
      </c>
      <c r="T310" s="161" t="inlineStr">
        <is>
          <t>Fragmento de Profeta da Fusão + Ouro + Núcleo de Cristal Elemental (chance baixa)</t>
        </is>
      </c>
      <c r="U310" s="161" t="inlineStr">
        <is>
          <t>Vulnerável a Fogo — a carne corrompida queima rápido demais pra se regenerar.</t>
        </is>
      </c>
      <c r="V310" s="242" t="inlineStr">
        <is>
          <t>Suporte</t>
        </is>
      </c>
      <c r="W310" s="242" t="inlineStr">
        <is>
          <t>Lago Sem Sol</t>
        </is>
      </c>
      <c r="X310" s="243" t="n"/>
      <c r="Y310" s="243" t="n"/>
      <c r="Z310" s="243" t="n"/>
      <c r="AA310" s="242" t="n"/>
    </row>
    <row r="311">
      <c r="A311" s="161" t="inlineStr">
        <is>
          <t>Mithril</t>
        </is>
      </c>
      <c r="B311" s="161" t="inlineStr">
        <is>
          <t>Capitão Assimilado</t>
        </is>
      </c>
      <c r="C311" s="161" t="inlineStr">
        <is>
          <t>Elite</t>
        </is>
      </c>
      <c r="D311" s="161" t="n">
        <v>44</v>
      </c>
      <c r="E311" s="161">
        <f>ROUND(INDEX('Curva Mestra'!$G$20:$G$94,MATCH(D311,'Curva Mestra'!$A$20:$A$94,0)),0)</f>
        <v/>
      </c>
      <c r="F311" s="161">
        <f>ROUND(INDEX('Curva Mestra'!$C$20:$C$94,MATCH(D311,'Curva Mestra'!$A$20:$A$94,0))*INDEX($B$5:$B$8,MATCH(C311,$A$5:$A$8,0)),0)</f>
        <v/>
      </c>
      <c r="G311" s="161">
        <f>ROUND(INDEX('Curva Mestra'!$D$20:$D$94,MATCH(D311,'Curva Mestra'!$A$20:$A$94,0))+INDEX($C$5:$C$8,MATCH(C311,$A$5:$A$8,0)),0)</f>
        <v/>
      </c>
      <c r="H311" s="161" t="inlineStr">
        <is>
          <t>Antigo capitão, comanda os marinheiros assimilados.</t>
        </is>
      </c>
      <c r="I311" s="161" t="inlineStr">
        <is>
          <t>Ordem do Fundo do Mar</t>
        </is>
      </c>
      <c r="J311" s="161" t="inlineStr">
        <is>
          <t>Ignora Resistência Mágica + concede +10% de acerto a Marinheiros próximos.</t>
        </is>
      </c>
      <c r="K311" s="161" t="inlineStr">
        <is>
          <t>Comandava o navio que afundou. Ainda dá ordens, só que pra outra tripulação agora.</t>
        </is>
      </c>
      <c r="L311" s="161">
        <f>IF(C311="Comum",ROUND(E311*1.3,0),"—")</f>
        <v/>
      </c>
      <c r="M311" s="161">
        <f>IF(C311="Comum",ROUND(F311*1.15,0),"—")</f>
        <v/>
      </c>
      <c r="N311" s="161">
        <f>IF(C311="Comum",G311+2,"—")</f>
        <v/>
      </c>
      <c r="O311" s="161">
        <f>IF(C311="Comum",ROUND(E311*1.6,0),"—")</f>
        <v/>
      </c>
      <c r="P311" s="161">
        <f>IF(C311="Comum",ROUND(F311*1.3,0),"—")</f>
        <v/>
      </c>
      <c r="Q311" s="161">
        <f>IF(C311="Comum",G311+4,"—")</f>
        <v/>
      </c>
      <c r="R311" s="242" t="n"/>
      <c r="S311" s="161">
        <f>ROUND(3+0.6*D311+IF(C311="Comum",0,IF(C311="Elite",2,IF(C311="Boss",4,6))),0)</f>
        <v/>
      </c>
      <c r="T311" s="161" t="inlineStr">
        <is>
          <t>Ouro + Fragmento de Capitão Assimilado + Núcleo de Cristal Elemental (chance baixa)</t>
        </is>
      </c>
      <c r="U311" s="161" t="inlineStr">
        <is>
          <t>Ignora Defesa</t>
        </is>
      </c>
      <c r="V311" s="161" t="inlineStr">
        <is>
          <t>Suporte</t>
        </is>
      </c>
      <c r="W311" s="161" t="inlineStr">
        <is>
          <t>Lago Sem Sol</t>
        </is>
      </c>
      <c r="X311" s="243" t="n"/>
      <c r="Y311" s="243" t="n"/>
      <c r="Z311" s="243" t="n"/>
      <c r="AA311" s="243" t="n"/>
    </row>
    <row r="312">
      <c r="A312" s="161" t="inlineStr">
        <is>
          <t>Mithril</t>
        </is>
      </c>
      <c r="B312" s="161" t="inlineStr">
        <is>
          <t>Imediata Sereia, a Que Guiou o Naufrágio de Volta</t>
        </is>
      </c>
      <c r="C312" s="161" t="inlineStr">
        <is>
          <t>Elite</t>
        </is>
      </c>
      <c r="D312" s="161" t="n">
        <v>45</v>
      </c>
      <c r="E312" s="161">
        <f>ROUND(INDEX('Curva Mestra'!$G$20:$G$94,MATCH(D312,'Curva Mestra'!$A$20:$A$94,0)),0)</f>
        <v/>
      </c>
      <c r="F312" s="161">
        <f>ROUND(INDEX('Curva Mestra'!$C$20:$C$94,MATCH(D312,'Curva Mestra'!$A$20:$A$94,0))*INDEX($B$5:$B$8,MATCH(C312,$A$5:$A$8,0)),0)</f>
        <v/>
      </c>
      <c r="G312" s="161">
        <f>ROUND(INDEX('Curva Mestra'!$D$20:$D$94,MATCH(D312,'Curva Mestra'!$A$20:$A$94,0))+INDEX($C$5:$C$8,MATCH(C312,$A$5:$A$8,0)),0)</f>
        <v/>
      </c>
      <c r="H312" s="161" t="inlineStr">
        <is>
          <t>Última tripulante lúcida do naufrágio original.</t>
        </is>
      </c>
      <c r="I312" s="161" t="inlineStr">
        <is>
          <t>Canto do Fundo</t>
        </is>
      </c>
      <c r="J312" s="161" t="inlineStr">
        <is>
          <t>Ignora Resistência Mágica + Ignora Defesa.</t>
        </is>
      </c>
      <c r="K312" s="161" t="inlineStr">
        <is>
          <t>Era a imediata do navio. Guiou os sobreviventes de volta à superfície antes de ser assimilada de vez.</t>
        </is>
      </c>
      <c r="L312" s="161">
        <f>IF(C312="Comum",ROUND(E312*1.3,0),"—")</f>
        <v/>
      </c>
      <c r="M312" s="161">
        <f>IF(C312="Comum",ROUND(F312*1.15,0),"—")</f>
        <v/>
      </c>
      <c r="N312" s="161">
        <f>IF(C312="Comum",G312+2,"—")</f>
        <v/>
      </c>
      <c r="O312" s="161">
        <f>IF(C312="Comum",ROUND(E312*1.6,0),"—")</f>
        <v/>
      </c>
      <c r="P312" s="161">
        <f>IF(C312="Comum",ROUND(F312*1.3,0),"—")</f>
        <v/>
      </c>
      <c r="Q312" s="161">
        <f>IF(C312="Comum",G312+4,"—")</f>
        <v/>
      </c>
      <c r="R312" s="242" t="n"/>
      <c r="S312" s="161">
        <f>ROUND(3+0.6*D312+IF(C312="Comum",0,IF(C312="Elite",2,IF(C312="Boss",4,6))),0)</f>
        <v/>
      </c>
      <c r="T312" s="161" t="inlineStr">
        <is>
          <t>Ouro + Fragmento da Imediata Sereia + Núcleo de Cristal Elemental (chance baixa)</t>
        </is>
      </c>
      <c r="U312" s="161" t="inlineStr">
        <is>
          <t>Fragilidade</t>
        </is>
      </c>
      <c r="V312" s="161" t="inlineStr">
        <is>
          <t>Nomeado / Mini-Boss</t>
        </is>
      </c>
      <c r="W312" s="161" t="inlineStr">
        <is>
          <t>Lago Sem Sol, spawn raro (4%)</t>
        </is>
      </c>
      <c r="X312" s="161" t="inlineStr">
        <is>
          <t>A 30% de HP para de atacar e canta uma última canção — se o jogador não a interromper, ela se dissolve em paz e dá Título.</t>
        </is>
      </c>
      <c r="Y312" s="243" t="n"/>
      <c r="Z312" s="243" t="n"/>
      <c r="AA312" s="161" t="inlineStr">
        <is>
          <t>Bússola da Última Rota (se interrompida em vez de deixada terminar) [ver Artefatos e Relíquias]</t>
        </is>
      </c>
    </row>
    <row r="313">
      <c r="A313" s="161" t="inlineStr">
        <is>
          <t>Mithril</t>
        </is>
      </c>
      <c r="B313" s="161" t="inlineStr">
        <is>
          <t>Elemental Guardiao das Profundezas</t>
        </is>
      </c>
      <c r="C313" s="161" t="inlineStr">
        <is>
          <t>Boss</t>
        </is>
      </c>
      <c r="D313" s="161" t="n">
        <v>44</v>
      </c>
      <c r="E313" s="161">
        <f>ROUND(INDEX('Curva Mestra'!$H$20:$H$94,MATCH(D313,'Curva Mestra'!$A$20:$A$94,0)),0)</f>
        <v/>
      </c>
      <c r="F313" s="161">
        <f>ROUND(INDEX('Curva Mestra'!$C$20:$C$94,MATCH(D313,'Curva Mestra'!$A$20:$A$94,0))*INDEX($B$5:$B$8,MATCH(C313,$A$5:$A$8,0)),0)</f>
        <v/>
      </c>
      <c r="G313" s="161">
        <f>ROUND(INDEX('Curva Mestra'!$D$20:$D$94,MATCH(D313,'Curva Mestra'!$A$20:$A$94,0))+INDEX($C$5:$C$8,MATCH(C313,$A$5:$A$8,0)),0)</f>
        <v/>
      </c>
      <c r="H313" s="161" t="inlineStr">
        <is>
          <t>Chefe / marco final do tier Mithril</t>
        </is>
      </c>
      <c r="I313" s="161" t="inlineStr">
        <is>
          <t>Onda de Choque Elemental</t>
        </is>
      </c>
      <c r="J313" s="161" t="inlineStr">
        <is>
          <t>Ignora toda Resistência Mágica do alvo nesse golpe.</t>
        </is>
      </c>
      <c r="K313" s="161" t="inlineStr">
        <is>
          <t>O núcleo petrificado de um elemental que congelou pra selar a entrada das cavernas ancestrais — guarda "O Coração de Mithril Resfriado".</t>
        </is>
      </c>
      <c r="L313" s="161">
        <f>IF(C313="Comum",ROUND(E313*1.3,0),"—")</f>
        <v/>
      </c>
      <c r="M313" s="161">
        <f>IF(C313="Comum",ROUND(F313*1.15,0),"—")</f>
        <v/>
      </c>
      <c r="N313" s="161">
        <f>IF(C313="Comum",G313+2,"—")</f>
        <v/>
      </c>
      <c r="O313" s="161">
        <f>IF(C313="Comum",ROUND(E313*1.6,0),"—")</f>
        <v/>
      </c>
      <c r="P313" s="161">
        <f>IF(C313="Comum",ROUND(F313*1.3,0),"—")</f>
        <v/>
      </c>
      <c r="Q313" s="161">
        <f>IF(C313="Comum",G313+4,"—")</f>
        <v/>
      </c>
      <c r="R313" s="161" t="inlineStr">
        <is>
          <t>O Coração de Mithril Resfriado</t>
        </is>
      </c>
      <c r="S313" s="161">
        <f>ROUND(INDEX('Curva Mestra'!$D$20:$D$94,MATCH(D313,'Curva Mestra'!$A$20:$A$94,0))-IF(C313="Comum",9,IF(C313="Elite",6,IF(C313="Boss",4,3))),0)</f>
        <v/>
      </c>
      <c r="T313" s="161" t="inlineStr">
        <is>
          <t>Núcleo de Elemental Guardiao das Profundezas + Essência de Elemental Guardiao das Profundezas + Ouro + Núcleo de Cristal Elemental (chance baixa)</t>
        </is>
      </c>
      <c r="U313" s="161" t="inlineStr">
        <is>
          <t>Vulnerável a Atordoamento — travas mecânicas emperram com o dobro de chance.</t>
        </is>
      </c>
      <c r="V313" s="242" t="inlineStr">
        <is>
          <t>DPS</t>
        </is>
      </c>
      <c r="W313" s="242" t="inlineStr">
        <is>
          <t>Lago Sem Sol</t>
        </is>
      </c>
      <c r="X313" s="243" t="n"/>
      <c r="Y313" s="243" t="n"/>
      <c r="Z313" s="243" t="n"/>
      <c r="AA313" s="243" t="inlineStr">
        <is>
          <t>O Coração de Mithril Resfriado</t>
        </is>
      </c>
    </row>
    <row r="314">
      <c r="A314" s="161" t="inlineStr">
        <is>
          <t>Mithril</t>
        </is>
      </c>
      <c r="B314" s="161" t="inlineStr">
        <is>
          <t>O Devorador de Mithril</t>
        </is>
      </c>
      <c r="C314" s="161" t="inlineStr">
        <is>
          <t>Boss</t>
        </is>
      </c>
      <c r="D314" s="161" t="n">
        <v>45</v>
      </c>
      <c r="E314" s="161">
        <f>ROUND(INDEX('Curva Mestra'!$H$20:$H$94,MATCH(D314,'Curva Mestra'!$A$20:$A$94,0)),0)</f>
        <v/>
      </c>
      <c r="F314" s="161">
        <f>ROUND(INDEX('Curva Mestra'!$C$20:$C$94,MATCH(D314,'Curva Mestra'!$A$20:$A$94,0))*INDEX($B$5:$B$8,MATCH(C314,$A$5:$A$8,0)),0)</f>
        <v/>
      </c>
      <c r="G314" s="161">
        <f>ROUND(INDEX('Curva Mestra'!$D$20:$D$94,MATCH(D314,'Curva Mestra'!$A$20:$A$94,0))+INDEX($C$5:$C$8,MATCH(C314,$A$5:$A$8,0)),0)</f>
        <v/>
      </c>
      <c r="H314" s="161" t="inlineStr">
        <is>
          <t>Principado Abissal, Os Navegadores do Abismo, região de Mithril.</t>
        </is>
      </c>
      <c r="I314" s="161" t="inlineStr">
        <is>
          <t>Ressonância Cristalina</t>
        </is>
      </c>
      <c r="J314" s="161" t="inlineStr">
        <is>
          <t>Reflete 25% de todo dano mágico recebido de volta ao conjurador. Também aplica: Ignora toda Resistência Mágica do alvo nesse golpe.</t>
        </is>
      </c>
      <c r="K314" s="161" t="inlineStr">
        <is>
          <t>Monstro blindado com carapaça de mithril mineralizado — o maior perigo real das Cavernas Profundas, e o encerramento do Ato III.</t>
        </is>
      </c>
      <c r="L314" s="161">
        <f>IF(C314="Comum",ROUND(E314*1.3,0),"—")</f>
        <v/>
      </c>
      <c r="M314" s="161">
        <f>IF(C314="Comum",ROUND(F314*1.15,0),"—")</f>
        <v/>
      </c>
      <c r="N314" s="161">
        <f>IF(C314="Comum",G314+2,"—")</f>
        <v/>
      </c>
      <c r="O314" s="161">
        <f>IF(C314="Comum",ROUND(E314*1.6,0),"—")</f>
        <v/>
      </c>
      <c r="P314" s="161">
        <f>IF(C314="Comum",ROUND(F314*1.3,0),"—")</f>
        <v/>
      </c>
      <c r="Q314" s="161">
        <f>IF(C314="Comum",G314+4,"—")</f>
        <v/>
      </c>
      <c r="R314" s="161" t="inlineStr">
        <is>
          <t>O Devorador de Mithril (fecha o Ato III)</t>
        </is>
      </c>
      <c r="S314" s="161">
        <f>ROUND(INDEX('Curva Mestra'!$D$20:$D$94,MATCH(D314,'Curva Mestra'!$A$20:$A$94,0))-IF(C314="Comum",9,IF(C314="Elite",6,IF(C314="Boss",4,3))),0)</f>
        <v/>
      </c>
      <c r="T314" s="161" t="inlineStr">
        <is>
          <t>Fragmento de O Devorador de Mithril + Essência de O Devorador de Mithril + Ouro + Núcleo de Cristal Elemental (chance baixa)</t>
        </is>
      </c>
      <c r="U314" s="161" t="inlineStr">
        <is>
          <t>Vulnerável a impacto contundente (Maça/Machado) — racha com facilidade.</t>
        </is>
      </c>
      <c r="V314" s="242" t="inlineStr">
        <is>
          <t>DPS</t>
        </is>
      </c>
      <c r="W314" s="242" t="inlineStr">
        <is>
          <t>Lago Sem Sol</t>
        </is>
      </c>
      <c r="X314" s="243" t="n"/>
      <c r="Y314" s="243" t="n"/>
      <c r="Z314" s="243" t="n"/>
      <c r="AA314" s="243" t="n"/>
    </row>
    <row r="315">
      <c r="A315" s="161" t="inlineStr">
        <is>
          <t>Ebano</t>
        </is>
      </c>
      <c r="B315" s="161" t="inlineStr">
        <is>
          <t>Zelote da Fusão Iniciante</t>
        </is>
      </c>
      <c r="C315" s="161" t="inlineStr">
        <is>
          <t>Comum</t>
        </is>
      </c>
      <c r="D315" s="161" t="n">
        <v>44</v>
      </c>
      <c r="E315" s="161">
        <f>ROUND(INDEX('Curva Mestra'!$F$20:$F$94,MATCH(D315,'Curva Mestra'!$A$20:$A$94,0)),0)</f>
        <v/>
      </c>
      <c r="F315" s="161">
        <f>ROUND(INDEX('Curva Mestra'!$C$20:$C$94,MATCH(D315,'Curva Mestra'!$A$20:$A$94,0))*INDEX($B$5:$B$8,MATCH(C315,$A$5:$A$8,0)),0)</f>
        <v/>
      </c>
      <c r="G315" s="161">
        <f>ROUND(INDEX('Curva Mestra'!$D$20:$D$94,MATCH(D315,'Curva Mestra'!$A$20:$A$94,0))+INDEX($C$5:$C$8,MATCH(C315,$A$5:$A$8,0)),0)</f>
        <v/>
      </c>
      <c r="H315" s="161" t="inlineStr">
        <is>
          <t>Iniciante recente no culto da Fusão.</t>
        </is>
      </c>
      <c r="I315" s="161" t="inlineStr">
        <is>
          <t>Golpe Muito Hesitante</t>
        </is>
      </c>
      <c r="J315" s="161" t="inlineStr">
        <is>
          <t>Nenhum efeito adicional.</t>
        </is>
      </c>
      <c r="K315" s="161" t="inlineStr">
        <is>
          <t>Ainda mais recente no culto que o Zelote Recém-Fundido.</t>
        </is>
      </c>
      <c r="L315" s="161">
        <f>IF(C315="Comum",ROUND(E315*1.3,0),"—")</f>
        <v/>
      </c>
      <c r="M315" s="161">
        <f>IF(C315="Comum",ROUND(F315*1.15,0),"—")</f>
        <v/>
      </c>
      <c r="N315" s="161">
        <f>IF(C315="Comum",G315+2,"—")</f>
        <v/>
      </c>
      <c r="O315" s="161">
        <f>IF(C315="Comum",ROUND(E315*1.6,0),"—")</f>
        <v/>
      </c>
      <c r="P315" s="161">
        <f>IF(C315="Comum",ROUND(F315*1.3,0),"—")</f>
        <v/>
      </c>
      <c r="Q315" s="161">
        <f>IF(C315="Comum",G315+4,"—")</f>
        <v/>
      </c>
      <c r="R315" s="242" t="n"/>
      <c r="S315" s="161">
        <f>ROUND(3+0.6*D315+IF(C315="Comum",0,IF(C315="Elite",2,IF(C315="Boss",4,6))),0)</f>
        <v/>
      </c>
      <c r="T315" s="161" t="inlineStr">
        <is>
          <t>Ouro + Manto Cinzento de Zelote Iniciante</t>
        </is>
      </c>
      <c r="U315" s="161" t="inlineStr">
        <is>
          <t>Atordoamento</t>
        </is>
      </c>
      <c r="V315" s="161" t="inlineStr">
        <is>
          <t>DPS fraco</t>
        </is>
      </c>
      <c r="W315" s="161" t="inlineStr">
        <is>
          <t>Câmara da Fusão</t>
        </is>
      </c>
      <c r="X315" s="242" t="n"/>
      <c r="Y315" s="242" t="n"/>
      <c r="Z315" s="242" t="n"/>
      <c r="AA315" s="242" t="n"/>
    </row>
    <row r="316">
      <c r="A316" s="161" t="inlineStr">
        <is>
          <t>Ebano</t>
        </is>
      </c>
      <c r="B316" s="161" t="inlineStr">
        <is>
          <t>Zelote Recém-Fundido</t>
        </is>
      </c>
      <c r="C316" s="161" t="inlineStr">
        <is>
          <t>Comum</t>
        </is>
      </c>
      <c r="D316" s="161" t="n">
        <v>45</v>
      </c>
      <c r="E316" s="161">
        <f>ROUND(INDEX('Curva Mestra'!$F$20:$F$94,MATCH(D316,'Curva Mestra'!$A$20:$A$94,0)),0)</f>
        <v/>
      </c>
      <c r="F316" s="161">
        <f>ROUND(INDEX('Curva Mestra'!$C$20:$C$94,MATCH(D316,'Curva Mestra'!$A$20:$A$94,0))*INDEX($B$5:$B$8,MATCH(C316,$A$5:$A$8,0)),0)</f>
        <v/>
      </c>
      <c r="G316" s="161">
        <f>ROUND(INDEX('Curva Mestra'!$D$20:$D$94,MATCH(D316,'Curva Mestra'!$A$20:$A$94,0))+INDEX($C$5:$C$8,MATCH(C316,$A$5:$A$8,0)),0)</f>
        <v/>
      </c>
      <c r="H316" s="161" t="inlineStr">
        <is>
          <t>Recém-convertido, a fusão ainda não completou.</t>
        </is>
      </c>
      <c r="I316" s="161" t="inlineStr">
        <is>
          <t>Golpe Hesitante</t>
        </is>
      </c>
      <c r="J316" s="161" t="inlineStr">
        <is>
          <t>Nenhum — 20% de chance de recusar lutar se abordado sem hostilidade.</t>
        </is>
      </c>
      <c r="K316" s="161" t="inlineStr">
        <is>
          <t>Passou pelo início do ritual de Fusão, mas ainda reconhece quem é.</t>
        </is>
      </c>
      <c r="L316" s="161">
        <f>IF(C316="Comum",ROUND(E316*1.3,0),"—")</f>
        <v/>
      </c>
      <c r="M316" s="161">
        <f>IF(C316="Comum",ROUND(F316*1.15,0),"—")</f>
        <v/>
      </c>
      <c r="N316" s="161">
        <f>IF(C316="Comum",G316+2,"—")</f>
        <v/>
      </c>
      <c r="O316" s="161">
        <f>IF(C316="Comum",ROUND(E316*1.6,0),"—")</f>
        <v/>
      </c>
      <c r="P316" s="161">
        <f>IF(C316="Comum",ROUND(F316*1.3,0),"—")</f>
        <v/>
      </c>
      <c r="Q316" s="161">
        <f>IF(C316="Comum",G316+4,"—")</f>
        <v/>
      </c>
      <c r="R316" s="242" t="n"/>
      <c r="S316" s="161">
        <f>ROUND(3+0.6*D316+IF(C316="Comum",0,IF(C316="Elite",2,IF(C316="Boss",4,6))),0)</f>
        <v/>
      </c>
      <c r="T316" s="161" t="inlineStr">
        <is>
          <t>Ouro + Máscara Rachada de Zelote Fundido</t>
        </is>
      </c>
      <c r="U316" s="161" t="inlineStr">
        <is>
          <t>Atordoamento</t>
        </is>
      </c>
      <c r="V316" s="161" t="inlineStr">
        <is>
          <t>Não-hostil condicional</t>
        </is>
      </c>
      <c r="W316" s="161" t="inlineStr">
        <is>
          <t>Câmara da Fusão</t>
        </is>
      </c>
      <c r="X316" s="243" t="n"/>
      <c r="Y316" s="241" t="inlineStr">
        <is>
          <t>Se abordado em paz, pode ser resgatado do ritual (quest).</t>
        </is>
      </c>
      <c r="Z316" s="241" t="inlineStr">
        <is>
          <t>O Conselho dos Mestres de Forja aceita resgatados da Fusão.</t>
        </is>
      </c>
      <c r="AA316" s="243" t="n"/>
    </row>
    <row r="317">
      <c r="A317" s="161" t="inlineStr">
        <is>
          <t>Ebano</t>
        </is>
      </c>
      <c r="B317" s="161" t="inlineStr">
        <is>
          <t>Sombra Recém-Formada</t>
        </is>
      </c>
      <c r="C317" s="161" t="inlineStr">
        <is>
          <t>Comum</t>
        </is>
      </c>
      <c r="D317" s="161" t="n">
        <v>45</v>
      </c>
      <c r="E317" s="161">
        <f>ROUND(INDEX('Curva Mestra'!$F$20:$F$94,MATCH(D317,'Curva Mestra'!$A$20:$A$94,0)),0)</f>
        <v/>
      </c>
      <c r="F317" s="161">
        <f>ROUND(INDEX('Curva Mestra'!$C$20:$C$94,MATCH(D317,'Curva Mestra'!$A$20:$A$94,0))*INDEX($B$5:$B$8,MATCH(C317,$A$5:$A$8,0)),0)</f>
        <v/>
      </c>
      <c r="G317" s="161">
        <f>ROUND(INDEX('Curva Mestra'!$D$20:$D$94,MATCH(D317,'Curva Mestra'!$A$20:$A$94,0))+INDEX($C$5:$C$8,MATCH(C317,$A$5:$A$8,0)),0)</f>
        <v/>
      </c>
      <c r="H317" s="161" t="inlineStr">
        <is>
          <t>Sombra recém-formada nas bordas da fenda.</t>
        </is>
      </c>
      <c r="I317" s="161" t="inlineStr">
        <is>
          <t>Toque Frio Muito Fraco</t>
        </is>
      </c>
      <c r="J317" s="161" t="inlineStr">
        <is>
          <t>Nenhum efeito adicional.</t>
        </is>
      </c>
      <c r="K317" s="161" t="inlineStr">
        <is>
          <t>Mais nova ainda que a Sombra Jovem.</t>
        </is>
      </c>
      <c r="L317" s="161">
        <f>IF(C317="Comum",ROUND(E317*1.3,0),"—")</f>
        <v/>
      </c>
      <c r="M317" s="161">
        <f>IF(C317="Comum",ROUND(F317*1.15,0),"—")</f>
        <v/>
      </c>
      <c r="N317" s="161">
        <f>IF(C317="Comum",G317+2,"—")</f>
        <v/>
      </c>
      <c r="O317" s="161">
        <f>IF(C317="Comum",ROUND(E317*1.6,0),"—")</f>
        <v/>
      </c>
      <c r="P317" s="161">
        <f>IF(C317="Comum",ROUND(F317*1.3,0),"—")</f>
        <v/>
      </c>
      <c r="Q317" s="161">
        <f>IF(C317="Comum",G317+4,"—")</f>
        <v/>
      </c>
      <c r="R317" s="242" t="n"/>
      <c r="S317" s="161">
        <f>ROUND(3+0.6*D317+IF(C317="Comum",0,IF(C317="Elite",2,IF(C317="Boss",4,6))),0)</f>
        <v/>
      </c>
      <c r="T317" s="161" t="inlineStr">
        <is>
          <t>Ouro + Resíduo de Sombra Recém-Formada</t>
        </is>
      </c>
      <c r="U317" s="161" t="inlineStr">
        <is>
          <t>Queimadura</t>
        </is>
      </c>
      <c r="V317" s="161" t="inlineStr">
        <is>
          <t>DPS fraco</t>
        </is>
      </c>
      <c r="W317" s="161" t="inlineStr">
        <is>
          <t>Fenda Extinta — Bordas</t>
        </is>
      </c>
      <c r="X317" s="243" t="n"/>
      <c r="Y317" s="243" t="n"/>
      <c r="Z317" s="243" t="n"/>
      <c r="AA317" s="243" t="n"/>
    </row>
    <row r="318">
      <c r="A318" s="161" t="inlineStr">
        <is>
          <t>Ebano</t>
        </is>
      </c>
      <c r="B318" s="161" t="inlineStr">
        <is>
          <t>Raiz Jovem</t>
        </is>
      </c>
      <c r="C318" s="161" t="inlineStr">
        <is>
          <t>Comum</t>
        </is>
      </c>
      <c r="D318" s="161" t="n">
        <v>45</v>
      </c>
      <c r="E318" s="161">
        <f>ROUND(INDEX('Curva Mestra'!$F$20:$F$94,MATCH(D318,'Curva Mestra'!$A$20:$A$94,0)),0)</f>
        <v/>
      </c>
      <c r="F318" s="161">
        <f>ROUND(INDEX('Curva Mestra'!$C$20:$C$94,MATCH(D318,'Curva Mestra'!$A$20:$A$94,0))*INDEX($B$5:$B$8,MATCH(C318,$A$5:$A$8,0)),0)</f>
        <v/>
      </c>
      <c r="G318" s="161">
        <f>ROUND(INDEX('Curva Mestra'!$D$20:$D$94,MATCH(D318,'Curva Mestra'!$A$20:$A$94,0))+INDEX($C$5:$C$8,MATCH(C318,$A$5:$A$8,0)),0)</f>
        <v/>
      </c>
      <c r="H318" s="161" t="inlineStr">
        <is>
          <t>Raiz jovem, ainda crescendo.</t>
        </is>
      </c>
      <c r="I318" s="161" t="inlineStr">
        <is>
          <t>Enraizamento Fraco</t>
        </is>
      </c>
      <c r="J318" s="161" t="inlineStr">
        <is>
          <t>Fragilidade fraca.</t>
        </is>
      </c>
      <c r="K318" s="161" t="inlineStr">
        <is>
          <t>Raiz corrompida mais jovem que a Raiz Rastejante.</t>
        </is>
      </c>
      <c r="L318" s="161">
        <f>IF(C318="Comum",ROUND(E318*1.3,0),"—")</f>
        <v/>
      </c>
      <c r="M318" s="161">
        <f>IF(C318="Comum",ROUND(F318*1.15,0),"—")</f>
        <v/>
      </c>
      <c r="N318" s="161">
        <f>IF(C318="Comum",G318+2,"—")</f>
        <v/>
      </c>
      <c r="O318" s="161">
        <f>IF(C318="Comum",ROUND(E318*1.6,0),"—")</f>
        <v/>
      </c>
      <c r="P318" s="161">
        <f>IF(C318="Comum",ROUND(F318*1.3,0),"—")</f>
        <v/>
      </c>
      <c r="Q318" s="161">
        <f>IF(C318="Comum",G318+4,"—")</f>
        <v/>
      </c>
      <c r="R318" s="242" t="n"/>
      <c r="S318" s="161">
        <f>ROUND(3+0.6*D318+IF(C318="Comum",0,IF(C318="Elite",2,IF(C318="Boss",4,6))),0)</f>
        <v/>
      </c>
      <c r="T318" s="161" t="inlineStr">
        <is>
          <t>Ouro + Fragmento de Raiz Jovem</t>
        </is>
      </c>
      <c r="U318" s="161" t="inlineStr">
        <is>
          <t>Queimadura</t>
        </is>
      </c>
      <c r="V318" s="161" t="inlineStr">
        <is>
          <t>Tanque</t>
        </is>
      </c>
      <c r="W318" s="161" t="inlineStr">
        <is>
          <t>Fenda Extinta — Bordas</t>
        </is>
      </c>
      <c r="X318" s="243" t="n"/>
      <c r="Y318" s="243" t="n"/>
      <c r="Z318" s="243" t="n"/>
      <c r="AA318" s="243" t="n"/>
    </row>
    <row r="319">
      <c r="A319" s="161" t="inlineStr">
        <is>
          <t>Ebano</t>
        </is>
      </c>
      <c r="B319" s="161" t="inlineStr">
        <is>
          <t>Guardião Menor da Fenda Jovem</t>
        </is>
      </c>
      <c r="C319" s="161" t="inlineStr">
        <is>
          <t>Comum</t>
        </is>
      </c>
      <c r="D319" s="161" t="n">
        <v>45</v>
      </c>
      <c r="E319" s="161">
        <f>ROUND(INDEX('Curva Mestra'!$F$20:$F$94,MATCH(D319,'Curva Mestra'!$A$20:$A$94,0)),0)</f>
        <v/>
      </c>
      <c r="F319" s="161">
        <f>ROUND(INDEX('Curva Mestra'!$C$20:$C$94,MATCH(D319,'Curva Mestra'!$A$20:$A$94,0))*INDEX($B$5:$B$8,MATCH(C319,$A$5:$A$8,0)),0)</f>
        <v/>
      </c>
      <c r="G319" s="161">
        <f>ROUND(INDEX('Curva Mestra'!$D$20:$D$94,MATCH(D319,'Curva Mestra'!$A$20:$A$94,0))+INDEX($C$5:$C$8,MATCH(C319,$A$5:$A$8,0)),0)</f>
        <v/>
      </c>
      <c r="H319" s="161" t="inlineStr">
        <is>
          <t>Guardião em miniatura.</t>
        </is>
      </c>
      <c r="I319" s="161" t="inlineStr">
        <is>
          <t>Golpe do Silêncio Muito Fraco</t>
        </is>
      </c>
      <c r="J319" s="161" t="inlineStr">
        <is>
          <t>Atordoamento fraco (15%).</t>
        </is>
      </c>
      <c r="K319" s="161" t="inlineStr">
        <is>
          <t>Fragmento ainda menor do Guardião Menor da Fenda.</t>
        </is>
      </c>
      <c r="L319" s="161">
        <f>IF(C319="Comum",ROUND(E319*1.3,0),"—")</f>
        <v/>
      </c>
      <c r="M319" s="161">
        <f>IF(C319="Comum",ROUND(F319*1.15,0),"—")</f>
        <v/>
      </c>
      <c r="N319" s="161">
        <f>IF(C319="Comum",G319+2,"—")</f>
        <v/>
      </c>
      <c r="O319" s="161">
        <f>IF(C319="Comum",ROUND(E319*1.6,0),"—")</f>
        <v/>
      </c>
      <c r="P319" s="161">
        <f>IF(C319="Comum",ROUND(F319*1.3,0),"—")</f>
        <v/>
      </c>
      <c r="Q319" s="161">
        <f>IF(C319="Comum",G319+4,"—")</f>
        <v/>
      </c>
      <c r="R319" s="242" t="n"/>
      <c r="S319" s="161">
        <f>ROUND(3+0.6*D319+IF(C319="Comum",0,IF(C319="Elite",2,IF(C319="Boss",4,6))),0)</f>
        <v/>
      </c>
      <c r="T319" s="161" t="inlineStr">
        <is>
          <t>Ouro + Núcleo de Guardião Jovem</t>
        </is>
      </c>
      <c r="U319" s="161" t="inlineStr">
        <is>
          <t>Ignora Resistência Mágica</t>
        </is>
      </c>
      <c r="V319" s="161" t="inlineStr">
        <is>
          <t>Controle</t>
        </is>
      </c>
      <c r="W319" s="161" t="inlineStr">
        <is>
          <t>Fenda Extinta — Bordas</t>
        </is>
      </c>
      <c r="X319" s="243" t="n"/>
      <c r="Y319" s="243" t="n"/>
      <c r="Z319" s="243" t="n"/>
      <c r="AA319" s="243" t="n"/>
    </row>
    <row r="320">
      <c r="A320" s="161" t="inlineStr">
        <is>
          <t>Ebano</t>
        </is>
      </c>
      <c r="B320" s="161" t="inlineStr">
        <is>
          <t>Raiz Parasita Jovem</t>
        </is>
      </c>
      <c r="C320" s="161" t="inlineStr">
        <is>
          <t>Comum</t>
        </is>
      </c>
      <c r="D320" s="161" t="n">
        <v>45</v>
      </c>
      <c r="E320" s="161">
        <f>ROUND(INDEX('Curva Mestra'!$F$20:$F$94,MATCH(D320,'Curva Mestra'!$A$20:$A$94,0)),0)</f>
        <v/>
      </c>
      <c r="F320" s="161">
        <f>ROUND(INDEX('Curva Mestra'!$C$20:$C$94,MATCH(D320,'Curva Mestra'!$A$20:$A$94,0))*INDEX($B$5:$B$8,MATCH(C320,$A$5:$A$8,0)),0)</f>
        <v/>
      </c>
      <c r="G320" s="161">
        <f>ROUND(INDEX('Curva Mestra'!$D$20:$D$94,MATCH(D320,'Curva Mestra'!$A$20:$A$94,0))+INDEX($C$5:$C$8,MATCH(C320,$A$5:$A$8,0)),0)</f>
        <v/>
      </c>
      <c r="H320" s="161" t="inlineStr">
        <is>
          <t>Parasita jovem das raízes corrompidas.</t>
        </is>
      </c>
      <c r="I320" s="161" t="inlineStr">
        <is>
          <t>Sugar Seiva Fraca</t>
        </is>
      </c>
      <c r="J320" s="161" t="inlineStr">
        <is>
          <t>Rouba Vida (8%) — só com Raiz Jovem ou Raiz Rastejante presente.</t>
        </is>
      </c>
      <c r="K320" s="161" t="inlineStr">
        <is>
          <t>Parasita jovem, ainda pequeno.</t>
        </is>
      </c>
      <c r="L320" s="161">
        <f>IF(C320="Comum",ROUND(E320*1.3,0),"—")</f>
        <v/>
      </c>
      <c r="M320" s="161">
        <f>IF(C320="Comum",ROUND(F320*1.15,0),"—")</f>
        <v/>
      </c>
      <c r="N320" s="161">
        <f>IF(C320="Comum",G320+2,"—")</f>
        <v/>
      </c>
      <c r="O320" s="161">
        <f>IF(C320="Comum",ROUND(E320*1.6,0),"—")</f>
        <v/>
      </c>
      <c r="P320" s="161">
        <f>IF(C320="Comum",ROUND(F320*1.3,0),"—")</f>
        <v/>
      </c>
      <c r="Q320" s="161">
        <f>IF(C320="Comum",G320+4,"—")</f>
        <v/>
      </c>
      <c r="R320" s="242" t="n"/>
      <c r="S320" s="161">
        <f>ROUND(3+0.6*D320+IF(C320="Comum",0,IF(C320="Elite",2,IF(C320="Boss",4,6))),0)</f>
        <v/>
      </c>
      <c r="T320" s="161" t="inlineStr">
        <is>
          <t>Ouro + Seiva Parasita Jovem</t>
        </is>
      </c>
      <c r="U320" s="161" t="inlineStr">
        <is>
          <t>Queimadura</t>
        </is>
      </c>
      <c r="V320" s="161" t="inlineStr">
        <is>
          <t>Parasita</t>
        </is>
      </c>
      <c r="W320" s="161" t="inlineStr">
        <is>
          <t>Fenda Extinta, só com Raiz presente</t>
        </is>
      </c>
      <c r="X320" s="243" t="n"/>
      <c r="Y320" s="243" t="n"/>
      <c r="Z320" s="243" t="n"/>
      <c r="AA320" s="243" t="n"/>
    </row>
    <row r="321">
      <c r="A321" s="161" t="inlineStr">
        <is>
          <t>Ebano</t>
        </is>
      </c>
      <c r="B321" s="161" t="inlineStr">
        <is>
          <t>Sombra Vulcanica</t>
        </is>
      </c>
      <c r="C321" s="161" t="inlineStr">
        <is>
          <t>Comum</t>
        </is>
      </c>
      <c r="D321" s="161" t="n">
        <v>46</v>
      </c>
      <c r="E321" s="161">
        <f>ROUND(INDEX('Curva Mestra'!$F$20:$F$94,MATCH(D321,'Curva Mestra'!$A$20:$A$94,0)),0)</f>
        <v/>
      </c>
      <c r="F321" s="161">
        <f>ROUND(INDEX('Curva Mestra'!$C$20:$C$94,MATCH(D321,'Curva Mestra'!$A$20:$A$94,0))*INDEX($B$5:$B$8,MATCH(C321,$A$5:$A$8,0)),0)</f>
        <v/>
      </c>
      <c r="G321" s="161">
        <f>ROUND(INDEX('Curva Mestra'!$D$20:$D$94,MATCH(D321,'Curva Mestra'!$A$20:$A$94,0))+INDEX($C$5:$C$8,MATCH(C321,$A$5:$A$8,0)),0)</f>
        <v/>
      </c>
      <c r="H321" s="161" t="inlineStr">
        <is>
          <t>Ronda a regiao do tier Ebano</t>
        </is>
      </c>
      <c r="I321" s="161" t="inlineStr">
        <is>
          <t>Abraço de Cinzas</t>
        </is>
      </c>
      <c r="J321" s="161" t="inlineStr">
        <is>
          <t>Sem efeito mecânico além do dano — ataque direto.</t>
        </is>
      </c>
      <c r="K321" s="161" t="inlineStr">
        <is>
          <t>Nuvem de cinzas mortas da fenda extinta — não tem vontade própria, só segue calor residual, e o Culto da Assimilação a usa como cobertura.</t>
        </is>
      </c>
      <c r="L321" s="161">
        <f>IF(C321="Comum",ROUND(E321*1.3,0),"—")</f>
        <v/>
      </c>
      <c r="M321" s="161">
        <f>IF(C321="Comum",ROUND(F321*1.15,0),"—")</f>
        <v/>
      </c>
      <c r="N321" s="161">
        <f>IF(C321="Comum",G321+2,"—")</f>
        <v/>
      </c>
      <c r="O321" s="161">
        <f>IF(C321="Comum",ROUND(E321*1.6,0),"—")</f>
        <v/>
      </c>
      <c r="P321" s="161">
        <f>IF(C321="Comum",ROUND(F321*1.3,0),"—")</f>
        <v/>
      </c>
      <c r="Q321" s="161">
        <f>IF(C321="Comum",G321+4,"—")</f>
        <v/>
      </c>
      <c r="R321" s="161" t="inlineStr">
        <is>
          <t>Sombras na Cinza</t>
        </is>
      </c>
      <c r="S321" s="161">
        <f>ROUND(INDEX('Curva Mestra'!$D$20:$D$94,MATCH(D321,'Curva Mestra'!$A$20:$A$94,0))-IF(C321="Comum",9,IF(C321="Elite",6,IF(C321="Boss",4,3))),0)</f>
        <v/>
      </c>
      <c r="T321" s="161" t="inlineStr">
        <is>
          <t>Ouro + Resíduo de Sombra Vulcânica + Essência da Fenda Extinta (chance rara)</t>
        </is>
      </c>
      <c r="U321" s="161" t="inlineStr">
        <is>
          <t>Vulnerável a Gelo/Água — queimadura recebida dura metade do tempo.</t>
        </is>
      </c>
      <c r="V321" s="242" t="inlineStr">
        <is>
          <t>DPS</t>
        </is>
      </c>
      <c r="W321" s="242" t="inlineStr">
        <is>
          <t>Fenda Extinta</t>
        </is>
      </c>
      <c r="X321" s="243" t="n"/>
      <c r="Y321" s="242" t="n"/>
      <c r="Z321" s="243" t="n"/>
      <c r="AA321" s="243" t="n"/>
    </row>
    <row r="322">
      <c r="A322" s="161" t="inlineStr">
        <is>
          <t>Ebano</t>
        </is>
      </c>
      <c r="B322" s="161" t="inlineStr">
        <is>
          <t>Sombra Jovem</t>
        </is>
      </c>
      <c r="C322" s="161" t="inlineStr">
        <is>
          <t>Comum</t>
        </is>
      </c>
      <c r="D322" s="161" t="n">
        <v>46</v>
      </c>
      <c r="E322" s="161">
        <f>ROUND(INDEX('Curva Mestra'!$F$20:$F$94,MATCH(D322,'Curva Mestra'!$A$20:$A$94,0)),0)</f>
        <v/>
      </c>
      <c r="F322" s="161">
        <f>ROUND(INDEX('Curva Mestra'!$C$20:$C$94,MATCH(D322,'Curva Mestra'!$A$20:$A$94,0))*INDEX($B$5:$B$8,MATCH(C322,$A$5:$A$8,0)),0)</f>
        <v/>
      </c>
      <c r="G322" s="161">
        <f>ROUND(INDEX('Curva Mestra'!$D$20:$D$94,MATCH(D322,'Curva Mestra'!$A$20:$A$94,0))+INDEX($C$5:$C$8,MATCH(C322,$A$5:$A$8,0)),0)</f>
        <v/>
      </c>
      <c r="H322" s="161" t="inlineStr">
        <is>
          <t>Sombra pequena, ainda instável.</t>
        </is>
      </c>
      <c r="I322" s="161" t="inlineStr">
        <is>
          <t>Toque Frio Fraco</t>
        </is>
      </c>
      <c r="J322" s="161" t="inlineStr">
        <is>
          <t>Nenhum efeito adicional.</t>
        </is>
      </c>
      <c r="K322" s="161" t="inlineStr">
        <is>
          <t>Fragmento recém-formado de cinza vulcânica corrompida.</t>
        </is>
      </c>
      <c r="L322" s="161">
        <f>IF(C322="Comum",ROUND(E322*1.3,0),"—")</f>
        <v/>
      </c>
      <c r="M322" s="161">
        <f>IF(C322="Comum",ROUND(F322*1.15,0),"—")</f>
        <v/>
      </c>
      <c r="N322" s="161">
        <f>IF(C322="Comum",G322+2,"—")</f>
        <v/>
      </c>
      <c r="O322" s="161">
        <f>IF(C322="Comum",ROUND(E322*1.6,0),"—")</f>
        <v/>
      </c>
      <c r="P322" s="161">
        <f>IF(C322="Comum",ROUND(F322*1.3,0),"—")</f>
        <v/>
      </c>
      <c r="Q322" s="161">
        <f>IF(C322="Comum",G322+4,"—")</f>
        <v/>
      </c>
      <c r="R322" s="242" t="n"/>
      <c r="S322" s="161">
        <f>ROUND(3+0.6*D322+IF(C322="Comum",0,IF(C322="Elite",2,IF(C322="Boss",4,6))),0)</f>
        <v/>
      </c>
      <c r="T322" s="161" t="inlineStr">
        <is>
          <t>Ouro + Resíduo de Sombra Jovem</t>
        </is>
      </c>
      <c r="U322" s="161" t="inlineStr">
        <is>
          <t>Queimadura</t>
        </is>
      </c>
      <c r="V322" s="161" t="inlineStr">
        <is>
          <t>DPS fraco</t>
        </is>
      </c>
      <c r="W322" s="161" t="inlineStr">
        <is>
          <t>Fenda Extinta — Bordas</t>
        </is>
      </c>
      <c r="X322" s="243" t="n"/>
      <c r="Y322" s="243" t="n"/>
      <c r="Z322" s="243" t="n"/>
      <c r="AA322" s="243" t="n"/>
    </row>
    <row r="323">
      <c r="A323" s="161" t="inlineStr">
        <is>
          <t>Ebano</t>
        </is>
      </c>
      <c r="B323" s="161" t="inlineStr">
        <is>
          <t>Raiz Parasita</t>
        </is>
      </c>
      <c r="C323" s="161" t="inlineStr">
        <is>
          <t>Comum</t>
        </is>
      </c>
      <c r="D323" s="161" t="n">
        <v>46</v>
      </c>
      <c r="E323" s="161">
        <f>ROUND(INDEX('Curva Mestra'!$F$20:$F$94,MATCH(D323,'Curva Mestra'!$A$20:$A$94,0)),0)</f>
        <v/>
      </c>
      <c r="F323" s="161">
        <f>ROUND(INDEX('Curva Mestra'!$C$20:$C$94,MATCH(D323,'Curva Mestra'!$A$20:$A$94,0))*INDEX($B$5:$B$8,MATCH(C323,$A$5:$A$8,0)),0)</f>
        <v/>
      </c>
      <c r="G323" s="161">
        <f>ROUND(INDEX('Curva Mestra'!$D$20:$D$94,MATCH(D323,'Curva Mestra'!$A$20:$A$94,0))+INDEX($C$5:$C$8,MATCH(C323,$A$5:$A$8,0)),0)</f>
        <v/>
      </c>
      <c r="H323" s="161" t="inlineStr">
        <is>
          <t>Parasita da raiz principal.</t>
        </is>
      </c>
      <c r="I323" s="161" t="inlineStr">
        <is>
          <t>Sugar Seiva Negra</t>
        </is>
      </c>
      <c r="J323" s="161" t="inlineStr">
        <is>
          <t>Rouba Vida (15%) — só aparece perto de Raiz Rastejante.</t>
        </is>
      </c>
      <c r="K323" s="161" t="inlineStr">
        <is>
          <t>Vive grudada na Raiz Rastejante maior, bebe o que ela absorve.</t>
        </is>
      </c>
      <c r="L323" s="161">
        <f>IF(C323="Comum",ROUND(E323*1.3,0),"—")</f>
        <v/>
      </c>
      <c r="M323" s="161">
        <f>IF(C323="Comum",ROUND(F323*1.15,0),"—")</f>
        <v/>
      </c>
      <c r="N323" s="161">
        <f>IF(C323="Comum",G323+2,"—")</f>
        <v/>
      </c>
      <c r="O323" s="161">
        <f>IF(C323="Comum",ROUND(E323*1.6,0),"—")</f>
        <v/>
      </c>
      <c r="P323" s="161">
        <f>IF(C323="Comum",ROUND(F323*1.3,0),"—")</f>
        <v/>
      </c>
      <c r="Q323" s="161">
        <f>IF(C323="Comum",G323+4,"—")</f>
        <v/>
      </c>
      <c r="R323" s="242" t="n"/>
      <c r="S323" s="161">
        <f>ROUND(3+0.6*D323+IF(C323="Comum",0,IF(C323="Elite",2,IF(C323="Boss",4,6))),0)</f>
        <v/>
      </c>
      <c r="T323" s="161" t="inlineStr">
        <is>
          <t>Ouro + Seiva Parasita de Raiz</t>
        </is>
      </c>
      <c r="U323" s="161" t="inlineStr">
        <is>
          <t>Queimadura</t>
        </is>
      </c>
      <c r="V323" s="161" t="inlineStr">
        <is>
          <t>Parasita</t>
        </is>
      </c>
      <c r="W323" s="161" t="inlineStr">
        <is>
          <t>Fenda Extinta, só com Raiz Rastejante presente</t>
        </is>
      </c>
      <c r="X323" s="243" t="n"/>
      <c r="Y323" s="243" t="n"/>
      <c r="Z323" s="243" t="n"/>
      <c r="AA323" s="243" t="n"/>
    </row>
    <row r="324">
      <c r="A324" s="161" t="inlineStr">
        <is>
          <t>Ebano</t>
        </is>
      </c>
      <c r="B324" s="161" t="inlineStr">
        <is>
          <t>Guardião Menor da Fenda</t>
        </is>
      </c>
      <c r="C324" s="161" t="inlineStr">
        <is>
          <t>Comum</t>
        </is>
      </c>
      <c r="D324" s="161" t="n">
        <v>46</v>
      </c>
      <c r="E324" s="161">
        <f>ROUND(INDEX('Curva Mestra'!$F$20:$F$94,MATCH(D324,'Curva Mestra'!$A$20:$A$94,0)),0)</f>
        <v/>
      </c>
      <c r="F324" s="161">
        <f>ROUND(INDEX('Curva Mestra'!$C$20:$C$94,MATCH(D324,'Curva Mestra'!$A$20:$A$94,0))*INDEX($B$5:$B$8,MATCH(C324,$A$5:$A$8,0)),0)</f>
        <v/>
      </c>
      <c r="G324" s="161">
        <f>ROUND(INDEX('Curva Mestra'!$D$20:$D$94,MATCH(D324,'Curva Mestra'!$A$20:$A$94,0))+INDEX($C$5:$C$8,MATCH(C324,$A$5:$A$8,0)),0)</f>
        <v/>
      </c>
      <c r="H324" s="161" t="inlineStr">
        <is>
          <t>Guardião menor, protege as bordas externas.</t>
        </is>
      </c>
      <c r="I324" s="161" t="inlineStr">
        <is>
          <t>Golpe do Silêncio Fraco</t>
        </is>
      </c>
      <c r="J324" s="161" t="inlineStr">
        <is>
          <t>Atordoamento (20%).</t>
        </is>
      </c>
      <c r="K324" s="161" t="inlineStr">
        <is>
          <t>Fragmento pequeno do Guardião da Fenda Morta.</t>
        </is>
      </c>
      <c r="L324" s="161">
        <f>IF(C324="Comum",ROUND(E324*1.3,0),"—")</f>
        <v/>
      </c>
      <c r="M324" s="161">
        <f>IF(C324="Comum",ROUND(F324*1.15,0),"—")</f>
        <v/>
      </c>
      <c r="N324" s="161">
        <f>IF(C324="Comum",G324+2,"—")</f>
        <v/>
      </c>
      <c r="O324" s="161">
        <f>IF(C324="Comum",ROUND(E324*1.6,0),"—")</f>
        <v/>
      </c>
      <c r="P324" s="161">
        <f>IF(C324="Comum",ROUND(F324*1.3,0),"—")</f>
        <v/>
      </c>
      <c r="Q324" s="161">
        <f>IF(C324="Comum",G324+4,"—")</f>
        <v/>
      </c>
      <c r="R324" s="242" t="n"/>
      <c r="S324" s="161">
        <f>ROUND(3+0.6*D324+IF(C324="Comum",0,IF(C324="Elite",2,IF(C324="Boss",4,6))),0)</f>
        <v/>
      </c>
      <c r="T324" s="161" t="inlineStr">
        <is>
          <t>Ouro + Núcleo de Guardião Menor</t>
        </is>
      </c>
      <c r="U324" s="161" t="inlineStr">
        <is>
          <t>Ignora Resistência Mágica</t>
        </is>
      </c>
      <c r="V324" s="161" t="inlineStr">
        <is>
          <t>Controle</t>
        </is>
      </c>
      <c r="W324" s="161" t="inlineStr">
        <is>
          <t>Fenda Extinta — Bordas</t>
        </is>
      </c>
      <c r="X324" s="243" t="n"/>
      <c r="Y324" s="243" t="n"/>
      <c r="Z324" s="243" t="n"/>
      <c r="AA324" s="242" t="n"/>
    </row>
    <row r="325">
      <c r="A325" s="161" t="inlineStr">
        <is>
          <t>Ebano</t>
        </is>
      </c>
      <c r="B325" s="161" t="inlineStr">
        <is>
          <t>Cinza Amaldiçoada Menor</t>
        </is>
      </c>
      <c r="C325" s="161" t="inlineStr">
        <is>
          <t>Comum</t>
        </is>
      </c>
      <c r="D325" s="161" t="n">
        <v>46</v>
      </c>
      <c r="E325" s="161">
        <f>ROUND(INDEX('Curva Mestra'!$F$20:$F$94,MATCH(D325,'Curva Mestra'!$A$20:$A$94,0)),0)</f>
        <v/>
      </c>
      <c r="F325" s="161">
        <f>ROUND(INDEX('Curva Mestra'!$C$20:$C$94,MATCH(D325,'Curva Mestra'!$A$20:$A$94,0))*INDEX($B$5:$B$8,MATCH(C325,$A$5:$A$8,0)),0)</f>
        <v/>
      </c>
      <c r="G325" s="161">
        <f>ROUND(INDEX('Curva Mestra'!$D$20:$D$94,MATCH(D325,'Curva Mestra'!$A$20:$A$94,0))+INDEX($C$5:$C$8,MATCH(C325,$A$5:$A$8,0)),0)</f>
        <v/>
      </c>
      <c r="H325" s="161" t="inlineStr">
        <is>
          <t>Nuvem de cinza menos concentrada.</t>
        </is>
      </c>
      <c r="I325" s="161" t="inlineStr">
        <is>
          <t>Sopro Muito Fraco</t>
        </is>
      </c>
      <c r="J325" s="161" t="inlineStr">
        <is>
          <t>Nenhum efeito adicional.</t>
        </is>
      </c>
      <c r="K325" s="161" t="inlineStr">
        <is>
          <t>Variante mais fraca da Cinza Amaldiçoada.</t>
        </is>
      </c>
      <c r="L325" s="161">
        <f>IF(C325="Comum",ROUND(E325*1.3,0),"—")</f>
        <v/>
      </c>
      <c r="M325" s="161">
        <f>IF(C325="Comum",ROUND(F325*1.15,0),"—")</f>
        <v/>
      </c>
      <c r="N325" s="161">
        <f>IF(C325="Comum",G325+2,"—")</f>
        <v/>
      </c>
      <c r="O325" s="161">
        <f>IF(C325="Comum",ROUND(E325*1.6,0),"—")</f>
        <v/>
      </c>
      <c r="P325" s="161">
        <f>IF(C325="Comum",ROUND(F325*1.3,0),"—")</f>
        <v/>
      </c>
      <c r="Q325" s="161">
        <f>IF(C325="Comum",G325+4,"—")</f>
        <v/>
      </c>
      <c r="R325" s="242" t="n"/>
      <c r="S325" s="161">
        <f>ROUND(3+0.6*D325+IF(C325="Comum",0,IF(C325="Elite",2,IF(C325="Boss",4,6))),0)</f>
        <v/>
      </c>
      <c r="T325" s="161" t="inlineStr">
        <is>
          <t>Ouro + Punhado de Cinza Amaldiçoada Menor</t>
        </is>
      </c>
      <c r="U325" s="161" t="inlineStr">
        <is>
          <t>Ignora Defesa</t>
        </is>
      </c>
      <c r="V325" s="161" t="inlineStr">
        <is>
          <t>DPS fraco</t>
        </is>
      </c>
      <c r="W325" s="161" t="inlineStr">
        <is>
          <t>Fenda Extinta — Bordas</t>
        </is>
      </c>
      <c r="X325" s="243" t="n"/>
      <c r="Y325" s="243" t="n"/>
      <c r="Z325" s="243" t="n"/>
      <c r="AA325" s="242" t="n"/>
    </row>
    <row r="326">
      <c r="A326" s="161" t="inlineStr">
        <is>
          <t>Ebano</t>
        </is>
      </c>
      <c r="B326" s="161" t="inlineStr">
        <is>
          <t>Aberração Recém-Fundida</t>
        </is>
      </c>
      <c r="C326" s="161" t="inlineStr">
        <is>
          <t>Comum</t>
        </is>
      </c>
      <c r="D326" s="161" t="n">
        <v>46</v>
      </c>
      <c r="E326" s="161">
        <f>ROUND(INDEX('Curva Mestra'!$F$20:$F$94,MATCH(D326,'Curva Mestra'!$A$20:$A$94,0)),0)</f>
        <v/>
      </c>
      <c r="F326" s="161">
        <f>ROUND(INDEX('Curva Mestra'!$C$20:$C$94,MATCH(D326,'Curva Mestra'!$A$20:$A$94,0))*INDEX($B$5:$B$8,MATCH(C326,$A$5:$A$8,0)),0)</f>
        <v/>
      </c>
      <c r="G326" s="161">
        <f>ROUND(INDEX('Curva Mestra'!$D$20:$D$94,MATCH(D326,'Curva Mestra'!$A$20:$A$94,0))+INDEX($C$5:$C$8,MATCH(C326,$A$5:$A$8,0)),0)</f>
        <v/>
      </c>
      <c r="H326" s="161" t="inlineStr">
        <is>
          <t>Fusão parcial recém-formada.</t>
        </is>
      </c>
      <c r="I326" s="161" t="inlineStr">
        <is>
          <t>Braço Instável</t>
        </is>
      </c>
      <c r="J326" s="161" t="inlineStr">
        <is>
          <t>Nenhum efeito adicional — fusão muito recente.</t>
        </is>
      </c>
      <c r="K326" s="161" t="inlineStr">
        <is>
          <t>Fusão de apenas 2 corpos, ainda instável.</t>
        </is>
      </c>
      <c r="L326" s="161">
        <f>IF(C326="Comum",ROUND(E326*1.3,0),"—")</f>
        <v/>
      </c>
      <c r="M326" s="161">
        <f>IF(C326="Comum",ROUND(F326*1.15,0),"—")</f>
        <v/>
      </c>
      <c r="N326" s="161">
        <f>IF(C326="Comum",G326+2,"—")</f>
        <v/>
      </c>
      <c r="O326" s="161">
        <f>IF(C326="Comum",ROUND(E326*1.6,0),"—")</f>
        <v/>
      </c>
      <c r="P326" s="161">
        <f>IF(C326="Comum",ROUND(F326*1.3,0),"—")</f>
        <v/>
      </c>
      <c r="Q326" s="161">
        <f>IF(C326="Comum",G326+4,"—")</f>
        <v/>
      </c>
      <c r="R326" s="242" t="n"/>
      <c r="S326" s="161">
        <f>ROUND(3+0.6*D326+IF(C326="Comum",0,IF(C326="Elite",2,IF(C326="Boss",4,6))),0)</f>
        <v/>
      </c>
      <c r="T326" s="161" t="inlineStr">
        <is>
          <t>Ouro + Amostra de Carne Fundida Recente</t>
        </is>
      </c>
      <c r="U326" s="161" t="inlineStr">
        <is>
          <t>Fragilidade</t>
        </is>
      </c>
      <c r="V326" s="161" t="inlineStr">
        <is>
          <t>DPS fraco</t>
        </is>
      </c>
      <c r="W326" s="161" t="inlineStr">
        <is>
          <t>Câmara da Fusão</t>
        </is>
      </c>
      <c r="X326" s="242" t="n"/>
      <c r="Y326" s="243" t="n"/>
      <c r="Z326" s="243" t="n"/>
      <c r="AA326" s="242" t="n"/>
    </row>
    <row r="327">
      <c r="A327" s="161" t="inlineStr">
        <is>
          <t>Ebano</t>
        </is>
      </c>
      <c r="B327" s="161" t="inlineStr">
        <is>
          <t>Espectro Fragmentado</t>
        </is>
      </c>
      <c r="C327" s="161" t="inlineStr">
        <is>
          <t>Comum</t>
        </is>
      </c>
      <c r="D327" s="161" t="n">
        <v>46</v>
      </c>
      <c r="E327" s="161">
        <f>ROUND(INDEX('Curva Mestra'!$F$20:$F$94,MATCH(D327,'Curva Mestra'!$A$20:$A$94,0)),0)</f>
        <v/>
      </c>
      <c r="F327" s="161">
        <f>ROUND(INDEX('Curva Mestra'!$C$20:$C$94,MATCH(D327,'Curva Mestra'!$A$20:$A$94,0))*INDEX($B$5:$B$8,MATCH(C327,$A$5:$A$8,0)),0)</f>
        <v/>
      </c>
      <c r="G327" s="161">
        <f>ROUND(INDEX('Curva Mestra'!$D$20:$D$94,MATCH(D327,'Curva Mestra'!$A$20:$A$94,0))+INDEX($C$5:$C$8,MATCH(C327,$A$5:$A$8,0)),0)</f>
        <v/>
      </c>
      <c r="H327" s="161" t="inlineStr">
        <is>
          <t>Fragmento pequeno de espectro.</t>
        </is>
      </c>
      <c r="I327" s="161" t="inlineStr">
        <is>
          <t>Toque Sombrio Muito Fraco</t>
        </is>
      </c>
      <c r="J327" s="161" t="inlineStr">
        <is>
          <t>Lentidão fraca.</t>
        </is>
      </c>
      <c r="K327" s="161" t="inlineStr">
        <is>
          <t>Fragmento ainda menor que o Espectro Menor de Ebano.</t>
        </is>
      </c>
      <c r="L327" s="161">
        <f>IF(C327="Comum",ROUND(E327*1.3,0),"—")</f>
        <v/>
      </c>
      <c r="M327" s="161">
        <f>IF(C327="Comum",ROUND(F327*1.15,0),"—")</f>
        <v/>
      </c>
      <c r="N327" s="161">
        <f>IF(C327="Comum",G327+2,"—")</f>
        <v/>
      </c>
      <c r="O327" s="161">
        <f>IF(C327="Comum",ROUND(E327*1.6,0),"—")</f>
        <v/>
      </c>
      <c r="P327" s="161">
        <f>IF(C327="Comum",ROUND(F327*1.3,0),"—")</f>
        <v/>
      </c>
      <c r="Q327" s="161">
        <f>IF(C327="Comum",G327+4,"—")</f>
        <v/>
      </c>
      <c r="R327" s="242" t="n"/>
      <c r="S327" s="161">
        <f>ROUND(3+0.6*D327+IF(C327="Comum",0,IF(C327="Elite",2,IF(C327="Boss",4,6))),0)</f>
        <v/>
      </c>
      <c r="T327" s="161" t="inlineStr">
        <is>
          <t>Ouro + Fragmento Espectral Menor</t>
        </is>
      </c>
      <c r="U327" s="161" t="inlineStr">
        <is>
          <t>Ignora Resistência Mágica</t>
        </is>
      </c>
      <c r="V327" s="161" t="inlineStr">
        <is>
          <t>Controle</t>
        </is>
      </c>
      <c r="W327" s="161" t="inlineStr">
        <is>
          <t>Câmara da Fusão</t>
        </is>
      </c>
      <c r="X327" s="243" t="n"/>
      <c r="Y327" s="243" t="n"/>
      <c r="Z327" s="243" t="n"/>
      <c r="AA327" s="243" t="n"/>
    </row>
    <row r="328">
      <c r="A328" s="161" t="inlineStr">
        <is>
          <t>Ebano</t>
        </is>
      </c>
      <c r="B328" s="161" t="inlineStr">
        <is>
          <t>Ceifador Aprendiz</t>
        </is>
      </c>
      <c r="C328" s="161" t="inlineStr">
        <is>
          <t>Comum</t>
        </is>
      </c>
      <c r="D328" s="161" t="n">
        <v>46</v>
      </c>
      <c r="E328" s="161">
        <f>ROUND(INDEX('Curva Mestra'!$F$20:$F$94,MATCH(D328,'Curva Mestra'!$A$20:$A$94,0)),0)</f>
        <v/>
      </c>
      <c r="F328" s="161">
        <f>ROUND(INDEX('Curva Mestra'!$C$20:$C$94,MATCH(D328,'Curva Mestra'!$A$20:$A$94,0))*INDEX($B$5:$B$8,MATCH(C328,$A$5:$A$8,0)),0)</f>
        <v/>
      </c>
      <c r="G328" s="161">
        <f>ROUND(INDEX('Curva Mestra'!$D$20:$D$94,MATCH(D328,'Curva Mestra'!$A$20:$A$94,0))+INDEX($C$5:$C$8,MATCH(C328,$A$5:$A$8,0)),0)</f>
        <v/>
      </c>
      <c r="H328" s="161" t="inlineStr">
        <is>
          <t>Iniciante na técnica de assimilação.</t>
        </is>
      </c>
      <c r="I328" s="161" t="inlineStr">
        <is>
          <t>Assimilação Fraca</t>
        </is>
      </c>
      <c r="J328" s="161" t="inlineStr">
        <is>
          <t>Rouba Vida (8%).</t>
        </is>
      </c>
      <c r="K328" s="161" t="inlineStr">
        <is>
          <t>Aprendiz iniciante do Ceifador Menor.</t>
        </is>
      </c>
      <c r="L328" s="161">
        <f>IF(C328="Comum",ROUND(E328*1.3,0),"—")</f>
        <v/>
      </c>
      <c r="M328" s="161">
        <f>IF(C328="Comum",ROUND(F328*1.15,0),"—")</f>
        <v/>
      </c>
      <c r="N328" s="161">
        <f>IF(C328="Comum",G328+2,"—")</f>
        <v/>
      </c>
      <c r="O328" s="161">
        <f>IF(C328="Comum",ROUND(E328*1.6,0),"—")</f>
        <v/>
      </c>
      <c r="P328" s="161">
        <f>IF(C328="Comum",ROUND(F328*1.3,0),"—")</f>
        <v/>
      </c>
      <c r="Q328" s="161">
        <f>IF(C328="Comum",G328+4,"—")</f>
        <v/>
      </c>
      <c r="R328" s="242" t="n"/>
      <c r="S328" s="161">
        <f>ROUND(3+0.6*D328+IF(C328="Comum",0,IF(C328="Elite",2,IF(C328="Boss",4,6))),0)</f>
        <v/>
      </c>
      <c r="T328" s="161" t="inlineStr">
        <is>
          <t>Ouro + Foice Improvisada de Ceifador Aprendiz</t>
        </is>
      </c>
      <c r="U328" s="161" t="inlineStr">
        <is>
          <t>Fragilidade</t>
        </is>
      </c>
      <c r="V328" s="161" t="inlineStr">
        <is>
          <t>DPS</t>
        </is>
      </c>
      <c r="W328" s="161" t="inlineStr">
        <is>
          <t>Câmara da Fusão</t>
        </is>
      </c>
      <c r="X328" s="243" t="n"/>
      <c r="Y328" s="243" t="n"/>
      <c r="Z328" s="243" t="n"/>
      <c r="AA328" s="243" t="n"/>
    </row>
    <row r="329">
      <c r="A329" s="161" t="inlineStr">
        <is>
          <t>Ebano</t>
        </is>
      </c>
      <c r="B329" s="161" t="inlineStr">
        <is>
          <t>Cogumelo da Cinza Jovem</t>
        </is>
      </c>
      <c r="C329" s="161" t="inlineStr">
        <is>
          <t>Comum</t>
        </is>
      </c>
      <c r="D329" s="161" t="n">
        <v>46</v>
      </c>
      <c r="E329" s="161">
        <f>ROUND(INDEX('Curva Mestra'!$F$20:$F$94,MATCH(D329,'Curva Mestra'!$A$20:$A$94,0)),0)</f>
        <v/>
      </c>
      <c r="F329" s="161">
        <f>ROUND(INDEX('Curva Mestra'!$C$20:$C$94,MATCH(D329,'Curva Mestra'!$A$20:$A$94,0))*INDEX($B$5:$B$8,MATCH(C329,$A$5:$A$8,0)),0)</f>
        <v/>
      </c>
      <c r="G329" s="161">
        <f>ROUND(INDEX('Curva Mestra'!$D$20:$D$94,MATCH(D329,'Curva Mestra'!$A$20:$A$94,0))+INDEX($C$5:$C$8,MATCH(C329,$A$5:$A$8,0)),0)</f>
        <v/>
      </c>
      <c r="H329" s="161" t="inlineStr">
        <is>
          <t>Cogumelo jovem da cinza fria.</t>
        </is>
      </c>
      <c r="I329" s="161" t="inlineStr">
        <is>
          <t>Esporos Fracos</t>
        </is>
      </c>
      <c r="J329" s="161" t="inlineStr">
        <is>
          <t>Veneno fraco (1/turno, 1 turno).</t>
        </is>
      </c>
      <c r="K329" s="161" t="inlineStr">
        <is>
          <t>Cogumelo mais jovem, esporos menos potentes.</t>
        </is>
      </c>
      <c r="L329" s="161">
        <f>IF(C329="Comum",ROUND(E329*1.3,0),"—")</f>
        <v/>
      </c>
      <c r="M329" s="161">
        <f>IF(C329="Comum",ROUND(F329*1.15,0),"—")</f>
        <v/>
      </c>
      <c r="N329" s="161">
        <f>IF(C329="Comum",G329+2,"—")</f>
        <v/>
      </c>
      <c r="O329" s="161">
        <f>IF(C329="Comum",ROUND(E329*1.6,0),"—")</f>
        <v/>
      </c>
      <c r="P329" s="161">
        <f>IF(C329="Comum",ROUND(F329*1.3,0),"—")</f>
        <v/>
      </c>
      <c r="Q329" s="161">
        <f>IF(C329="Comum",G329+4,"—")</f>
        <v/>
      </c>
      <c r="R329" s="242" t="n"/>
      <c r="S329" s="161">
        <f>ROUND(3+0.6*D329+IF(C329="Comum",0,IF(C329="Elite",2,IF(C329="Boss",4,6))),0)</f>
        <v/>
      </c>
      <c r="T329" s="161" t="inlineStr">
        <is>
          <t>Ouro + Esporo Jovem de Cinza</t>
        </is>
      </c>
      <c r="U329" s="161" t="inlineStr">
        <is>
          <t>Queimadura</t>
        </is>
      </c>
      <c r="V329" s="161" t="inlineStr">
        <is>
          <t>Debuffer</t>
        </is>
      </c>
      <c r="W329" s="161" t="inlineStr">
        <is>
          <t>Fenda Extinta — Bordas</t>
        </is>
      </c>
      <c r="X329" s="243" t="n"/>
      <c r="Y329" s="242" t="n"/>
      <c r="Z329" s="243" t="n"/>
      <c r="AA329" s="243" t="n"/>
    </row>
    <row r="330">
      <c r="A330" s="161" t="inlineStr">
        <is>
          <t>Ebano</t>
        </is>
      </c>
      <c r="B330" s="161" t="inlineStr">
        <is>
          <t>Cinza Amaldicoada</t>
        </is>
      </c>
      <c r="C330" s="161" t="inlineStr">
        <is>
          <t>Comum</t>
        </is>
      </c>
      <c r="D330" s="161" t="n">
        <v>47</v>
      </c>
      <c r="E330" s="161">
        <f>ROUND(INDEX('Curva Mestra'!$F$20:$F$94,MATCH(D330,'Curva Mestra'!$A$20:$A$94,0)),0)</f>
        <v/>
      </c>
      <c r="F330" s="161">
        <f>ROUND(INDEX('Curva Mestra'!$C$20:$C$94,MATCH(D330,'Curva Mestra'!$A$20:$A$94,0))*INDEX($B$5:$B$8,MATCH(C330,$A$5:$A$8,0)),0)</f>
        <v/>
      </c>
      <c r="G330" s="161">
        <f>ROUND(INDEX('Curva Mestra'!$D$20:$D$94,MATCH(D330,'Curva Mestra'!$A$20:$A$94,0))+INDEX($C$5:$C$8,MATCH(C330,$A$5:$A$8,0)),0)</f>
        <v/>
      </c>
      <c r="H330" s="161" t="inlineStr">
        <is>
          <t>Ronda a regiao do tier Ebano</t>
        </is>
      </c>
      <c r="I330" s="161" t="inlineStr">
        <is>
          <t>Sopro Corrosivo</t>
        </is>
      </c>
      <c r="J330" s="161" t="inlineStr">
        <is>
          <t>Sem efeito mecânico além do dano — ataque direto.</t>
        </is>
      </c>
      <c r="K330" s="161" t="inlineStr">
        <is>
          <t>Resíduo da fenda morta que absorveu resquícios da infecção — corrói tudo que toca, orgânico ou não.</t>
        </is>
      </c>
      <c r="L330" s="161">
        <f>IF(C330="Comum",ROUND(E330*1.3,0),"—")</f>
        <v/>
      </c>
      <c r="M330" s="161">
        <f>IF(C330="Comum",ROUND(F330*1.15,0),"—")</f>
        <v/>
      </c>
      <c r="N330" s="161">
        <f>IF(C330="Comum",G330+2,"—")</f>
        <v/>
      </c>
      <c r="O330" s="161">
        <f>IF(C330="Comum",ROUND(E330*1.6,0),"—")</f>
        <v/>
      </c>
      <c r="P330" s="161">
        <f>IF(C330="Comum",ROUND(F330*1.3,0),"—")</f>
        <v/>
      </c>
      <c r="Q330" s="161">
        <f>IF(C330="Comum",G330+4,"—")</f>
        <v/>
      </c>
      <c r="R330" s="161" t="inlineStr">
        <is>
          <t>Sombras na Cinza</t>
        </is>
      </c>
      <c r="S330" s="161">
        <f>ROUND(INDEX('Curva Mestra'!$D$20:$D$94,MATCH(D330,'Curva Mestra'!$A$20:$A$94,0))-IF(C330="Comum",9,IF(C330="Elite",6,IF(C330="Boss",4,3))),0)</f>
        <v/>
      </c>
      <c r="T330" s="161" t="inlineStr">
        <is>
          <t>Ouro + Punhado de Cinza Amaldiçoada + Essência da Fenda Extinta (chance rara)</t>
        </is>
      </c>
      <c r="U330" s="161" t="inlineStr">
        <is>
          <t>Sem fraqueza óbvia — precisa de Knowledge alto pra descobrir algo específico.</t>
        </is>
      </c>
      <c r="V330" s="242" t="inlineStr">
        <is>
          <t>DPS</t>
        </is>
      </c>
      <c r="W330" s="242" t="inlineStr">
        <is>
          <t>Fenda Extinta</t>
        </is>
      </c>
      <c r="X330" s="243" t="n"/>
      <c r="Y330" s="243" t="n"/>
      <c r="Z330" s="243" t="n"/>
      <c r="AA330" s="243" t="n"/>
    </row>
    <row r="331">
      <c r="A331" s="161" t="inlineStr">
        <is>
          <t>Ebano</t>
        </is>
      </c>
      <c r="B331" s="161" t="inlineStr">
        <is>
          <t>Aberração dos Corpos Fundidos</t>
        </is>
      </c>
      <c r="C331" s="161" t="inlineStr">
        <is>
          <t>Comum</t>
        </is>
      </c>
      <c r="D331" s="161" t="n">
        <v>47</v>
      </c>
      <c r="E331" s="161">
        <f>ROUND(INDEX('Curva Mestra'!$F$20:$F$94,MATCH(D331,'Curva Mestra'!$A$20:$A$94,0)),0)</f>
        <v/>
      </c>
      <c r="F331" s="161">
        <f>ROUND(INDEX('Curva Mestra'!$C$20:$C$94,MATCH(D331,'Curva Mestra'!$A$20:$A$94,0))*INDEX($B$5:$B$8,MATCH(C331,$A$5:$A$8,0)),0)</f>
        <v/>
      </c>
      <c r="G331" s="161">
        <f>ROUND(INDEX('Curva Mestra'!$D$20:$D$94,MATCH(D331,'Curva Mestra'!$A$20:$A$94,0))+INDEX($C$5:$C$8,MATCH(C331,$A$5:$A$8,0)),0)</f>
        <v/>
      </c>
      <c r="H331" s="161" t="inlineStr">
        <is>
          <t>Culto da Assimilação, Fenda Vulcânica Morta, região de Ebano.</t>
        </is>
      </c>
      <c r="I331" s="161" t="inlineStr">
        <is>
          <t>Braços Múltiplos</t>
        </is>
      </c>
      <c r="J331" s="161" t="inlineStr">
        <is>
          <t>Ganha +1 de Ataque sempre que acerta um golpe com sucesso.</t>
        </is>
      </c>
      <c r="K331" s="161" t="inlineStr">
        <is>
          <t>Vários corpos humanos e animais fundidos pela infecção da carne — os primeiros "sucessos" toscos do Culto da Assimilação na região.</t>
        </is>
      </c>
      <c r="L331" s="161">
        <f>IF(C331="Comum",ROUND(E331*1.3,0),"—")</f>
        <v/>
      </c>
      <c r="M331" s="161">
        <f>IF(C331="Comum",ROUND(F331*1.15,0),"—")</f>
        <v/>
      </c>
      <c r="N331" s="161">
        <f>IF(C331="Comum",G331+2,"—")</f>
        <v/>
      </c>
      <c r="O331" s="161">
        <f>IF(C331="Comum",ROUND(E331*1.6,0),"—")</f>
        <v/>
      </c>
      <c r="P331" s="161">
        <f>IF(C331="Comum",ROUND(F331*1.3,0),"—")</f>
        <v/>
      </c>
      <c r="Q331" s="161">
        <f>IF(C331="Comum",G331+4,"—")</f>
        <v/>
      </c>
      <c r="R331" s="161" t="inlineStr">
        <is>
          <t>A Raiz Que Ainda Sente</t>
        </is>
      </c>
      <c r="S331" s="161">
        <f>ROUND(INDEX('Curva Mestra'!$D$20:$D$94,MATCH(D331,'Curva Mestra'!$A$20:$A$94,0))-IF(C331="Comum",9,IF(C331="Elite",6,IF(C331="Boss",4,3))),0)</f>
        <v/>
      </c>
      <c r="T331" s="161" t="inlineStr">
        <is>
          <t>Ouro + Amostra de Carne Multi-Fundida + Essência da Fenda Extinta (chance rara)</t>
        </is>
      </c>
      <c r="U331" s="161" t="inlineStr">
        <is>
          <t>Vulnerável a Fogo — a carne corrompida queima rápido demais pra se regenerar.</t>
        </is>
      </c>
      <c r="V331" s="242" t="inlineStr">
        <is>
          <t>DPS</t>
        </is>
      </c>
      <c r="W331" s="242" t="inlineStr">
        <is>
          <t>Fenda Extinta</t>
        </is>
      </c>
      <c r="X331" s="243" t="n"/>
      <c r="Y331" s="243" t="n"/>
      <c r="Z331" s="243" t="n"/>
      <c r="AA331" s="243" t="n"/>
    </row>
    <row r="332">
      <c r="A332" s="161" t="inlineStr">
        <is>
          <t>Ebano</t>
        </is>
      </c>
      <c r="B332" s="161" t="inlineStr">
        <is>
          <t>Cinza Rastejante</t>
        </is>
      </c>
      <c r="C332" s="161" t="inlineStr">
        <is>
          <t>Comum</t>
        </is>
      </c>
      <c r="D332" s="161" t="n">
        <v>47</v>
      </c>
      <c r="E332" s="161">
        <f>ROUND(INDEX('Curva Mestra'!$F$20:$F$94,MATCH(D332,'Curva Mestra'!$A$20:$A$94,0)),0)</f>
        <v/>
      </c>
      <c r="F332" s="161">
        <f>ROUND(INDEX('Curva Mestra'!$C$20:$C$94,MATCH(D332,'Curva Mestra'!$A$20:$A$94,0))*INDEX($B$5:$B$8,MATCH(C332,$A$5:$A$8,0)),0)</f>
        <v/>
      </c>
      <c r="G332" s="161">
        <f>ROUND(INDEX('Curva Mestra'!$D$20:$D$94,MATCH(D332,'Curva Mestra'!$A$20:$A$94,0))+INDEX($C$5:$C$8,MATCH(C332,$A$5:$A$8,0)),0)</f>
        <v/>
      </c>
      <c r="H332" s="161" t="inlineStr">
        <is>
          <t>Variante menor da Cinza Amaldiçoada.</t>
        </is>
      </c>
      <c r="I332" s="161" t="inlineStr">
        <is>
          <t>Sopro Fraco</t>
        </is>
      </c>
      <c r="J332" s="161" t="inlineStr">
        <is>
          <t>Fragilidade (leve).</t>
        </is>
      </c>
      <c r="K332" s="161" t="inlineStr">
        <is>
          <t>Nuvem de cinza amaldiçoada que aprendeu a rastejar pelo chão.</t>
        </is>
      </c>
      <c r="L332" s="161">
        <f>IF(C332="Comum",ROUND(E332*1.3,0),"—")</f>
        <v/>
      </c>
      <c r="M332" s="161">
        <f>IF(C332="Comum",ROUND(F332*1.15,0),"—")</f>
        <v/>
      </c>
      <c r="N332" s="161">
        <f>IF(C332="Comum",G332+2,"—")</f>
        <v/>
      </c>
      <c r="O332" s="161">
        <f>IF(C332="Comum",ROUND(E332*1.6,0),"—")</f>
        <v/>
      </c>
      <c r="P332" s="161">
        <f>IF(C332="Comum",ROUND(F332*1.3,0),"—")</f>
        <v/>
      </c>
      <c r="Q332" s="161">
        <f>IF(C332="Comum",G332+4,"—")</f>
        <v/>
      </c>
      <c r="R332" s="242" t="n"/>
      <c r="S332" s="161">
        <f>ROUND(3+0.6*D332+IF(C332="Comum",0,IF(C332="Elite",2,IF(C332="Boss",4,6))),0)</f>
        <v/>
      </c>
      <c r="T332" s="161" t="inlineStr">
        <is>
          <t>Ouro + Resíduo de Cinza Rastejante</t>
        </is>
      </c>
      <c r="U332" s="161" t="inlineStr">
        <is>
          <t>Ignora Defesa</t>
        </is>
      </c>
      <c r="V332" s="161" t="inlineStr">
        <is>
          <t>DPS</t>
        </is>
      </c>
      <c r="W332" s="161" t="inlineStr">
        <is>
          <t>Fenda Extinta — Bordas</t>
        </is>
      </c>
      <c r="X332" s="243" t="n"/>
      <c r="Y332" s="243" t="n"/>
      <c r="Z332" s="243" t="n"/>
      <c r="AA332" s="243" t="n"/>
    </row>
    <row r="333">
      <c r="A333" s="161" t="inlineStr">
        <is>
          <t>Ebano</t>
        </is>
      </c>
      <c r="B333" s="161" t="inlineStr">
        <is>
          <t>Aberração Menor</t>
        </is>
      </c>
      <c r="C333" s="161" t="inlineStr">
        <is>
          <t>Comum</t>
        </is>
      </c>
      <c r="D333" s="161" t="n">
        <v>47</v>
      </c>
      <c r="E333" s="161">
        <f>ROUND(INDEX('Curva Mestra'!$F$20:$F$94,MATCH(D333,'Curva Mestra'!$A$20:$A$94,0)),0)</f>
        <v/>
      </c>
      <c r="F333" s="161">
        <f>ROUND(INDEX('Curva Mestra'!$C$20:$C$94,MATCH(D333,'Curva Mestra'!$A$20:$A$94,0))*INDEX($B$5:$B$8,MATCH(C333,$A$5:$A$8,0)),0)</f>
        <v/>
      </c>
      <c r="G333" s="161">
        <f>ROUND(INDEX('Curva Mestra'!$D$20:$D$94,MATCH(D333,'Curva Mestra'!$A$20:$A$94,0))+INDEX($C$5:$C$8,MATCH(C333,$A$5:$A$8,0)),0)</f>
        <v/>
      </c>
      <c r="H333" s="161" t="inlineStr">
        <is>
          <t>Fusão parcial, ainda reconhecível como já foi gente.</t>
        </is>
      </c>
      <c r="I333" s="161" t="inlineStr">
        <is>
          <t>Braço Extra</t>
        </is>
      </c>
      <c r="J333" s="161" t="inlineStr">
        <is>
          <t>Nenhum efeito adicional — mais fraca que a Aberração dos Corpos Fundidos.</t>
        </is>
      </c>
      <c r="K333" s="161" t="inlineStr">
        <is>
          <t>Fusão incompleta — só 2 corpos, não vários.</t>
        </is>
      </c>
      <c r="L333" s="161">
        <f>IF(C333="Comum",ROUND(E333*1.3,0),"—")</f>
        <v/>
      </c>
      <c r="M333" s="161">
        <f>IF(C333="Comum",ROUND(F333*1.15,0),"—")</f>
        <v/>
      </c>
      <c r="N333" s="161">
        <f>IF(C333="Comum",G333+2,"—")</f>
        <v/>
      </c>
      <c r="O333" s="161">
        <f>IF(C333="Comum",ROUND(E333*1.6,0),"—")</f>
        <v/>
      </c>
      <c r="P333" s="161">
        <f>IF(C333="Comum",ROUND(F333*1.3,0),"—")</f>
        <v/>
      </c>
      <c r="Q333" s="161">
        <f>IF(C333="Comum",G333+4,"—")</f>
        <v/>
      </c>
      <c r="R333" s="242" t="n"/>
      <c r="S333" s="161">
        <f>ROUND(3+0.6*D333+IF(C333="Comum",0,IF(C333="Elite",2,IF(C333="Boss",4,6))),0)</f>
        <v/>
      </c>
      <c r="T333" s="161" t="inlineStr">
        <is>
          <t>Ouro + Amostra de Carne Bifundida</t>
        </is>
      </c>
      <c r="U333" s="161" t="inlineStr">
        <is>
          <t>Fragilidade</t>
        </is>
      </c>
      <c r="V333" s="161" t="inlineStr">
        <is>
          <t>DPS</t>
        </is>
      </c>
      <c r="W333" s="161" t="inlineStr">
        <is>
          <t>Câmara da Fusão</t>
        </is>
      </c>
      <c r="X333" s="243" t="n"/>
      <c r="Y333" s="243" t="n"/>
      <c r="Z333" s="243" t="n"/>
      <c r="AA333" s="243" t="n"/>
    </row>
    <row r="334">
      <c r="A334" s="161" t="inlineStr">
        <is>
          <t>Ebano</t>
        </is>
      </c>
      <c r="B334" s="161" t="inlineStr">
        <is>
          <t>Espectro Menor de Ebano</t>
        </is>
      </c>
      <c r="C334" s="161" t="inlineStr">
        <is>
          <t>Comum</t>
        </is>
      </c>
      <c r="D334" s="161" t="n">
        <v>47</v>
      </c>
      <c r="E334" s="161">
        <f>ROUND(INDEX('Curva Mestra'!$F$20:$F$94,MATCH(D334,'Curva Mestra'!$A$20:$A$94,0)),0)</f>
        <v/>
      </c>
      <c r="F334" s="161">
        <f>ROUND(INDEX('Curva Mestra'!$C$20:$C$94,MATCH(D334,'Curva Mestra'!$A$20:$A$94,0))*INDEX($B$5:$B$8,MATCH(C334,$A$5:$A$8,0)),0)</f>
        <v/>
      </c>
      <c r="G334" s="161">
        <f>ROUND(INDEX('Curva Mestra'!$D$20:$D$94,MATCH(D334,'Curva Mestra'!$A$20:$A$94,0))+INDEX($C$5:$C$8,MATCH(C334,$A$5:$A$8,0)),0)</f>
        <v/>
      </c>
      <c r="H334" s="161" t="inlineStr">
        <is>
          <t>Espectro menor, ainda se formando.</t>
        </is>
      </c>
      <c r="I334" s="161" t="inlineStr">
        <is>
          <t>Toque Sombrio Fraco</t>
        </is>
      </c>
      <c r="J334" s="161" t="inlineStr">
        <is>
          <t>Lentidão.</t>
        </is>
      </c>
      <c r="K334" s="161" t="inlineStr">
        <is>
          <t>Fragmento fraco do Espectro de Ebano maior.</t>
        </is>
      </c>
      <c r="L334" s="161">
        <f>IF(C334="Comum",ROUND(E334*1.3,0),"—")</f>
        <v/>
      </c>
      <c r="M334" s="161">
        <f>IF(C334="Comum",ROUND(F334*1.15,0),"—")</f>
        <v/>
      </c>
      <c r="N334" s="161">
        <f>IF(C334="Comum",G334+2,"—")</f>
        <v/>
      </c>
      <c r="O334" s="161">
        <f>IF(C334="Comum",ROUND(E334*1.6,0),"—")</f>
        <v/>
      </c>
      <c r="P334" s="161">
        <f>IF(C334="Comum",ROUND(F334*1.3,0),"—")</f>
        <v/>
      </c>
      <c r="Q334" s="161">
        <f>IF(C334="Comum",G334+4,"—")</f>
        <v/>
      </c>
      <c r="R334" s="242" t="n"/>
      <c r="S334" s="161">
        <f>ROUND(3+0.6*D334+IF(C334="Comum",0,IF(C334="Elite",2,IF(C334="Boss",4,6))),0)</f>
        <v/>
      </c>
      <c r="T334" s="161" t="inlineStr">
        <is>
          <t>Ouro + Fragmento Espectral de Ebano</t>
        </is>
      </c>
      <c r="U334" s="161" t="inlineStr">
        <is>
          <t>Ignora Resistência Mágica</t>
        </is>
      </c>
      <c r="V334" s="161" t="inlineStr">
        <is>
          <t>Controle</t>
        </is>
      </c>
      <c r="W334" s="161" t="inlineStr">
        <is>
          <t>Câmara da Fusão</t>
        </is>
      </c>
      <c r="X334" s="243" t="n"/>
      <c r="Y334" s="243" t="n"/>
      <c r="Z334" s="243" t="n"/>
      <c r="AA334" s="243" t="n"/>
    </row>
    <row r="335">
      <c r="A335" s="161" t="inlineStr">
        <is>
          <t>Ebano</t>
        </is>
      </c>
      <c r="B335" s="161" t="inlineStr">
        <is>
          <t>Cogumelo da Cinza Andante</t>
        </is>
      </c>
      <c r="C335" s="161" t="inlineStr">
        <is>
          <t>Comum</t>
        </is>
      </c>
      <c r="D335" s="161" t="n">
        <v>47</v>
      </c>
      <c r="E335" s="161">
        <f>ROUND(INDEX('Curva Mestra'!$F$20:$F$94,MATCH(D335,'Curva Mestra'!$A$20:$A$94,0)),0)</f>
        <v/>
      </c>
      <c r="F335" s="161">
        <f>ROUND(INDEX('Curva Mestra'!$C$20:$C$94,MATCH(D335,'Curva Mestra'!$A$20:$A$94,0))*INDEX($B$5:$B$8,MATCH(C335,$A$5:$A$8,0)),0)</f>
        <v/>
      </c>
      <c r="G335" s="161">
        <f>ROUND(INDEX('Curva Mestra'!$D$20:$D$94,MATCH(D335,'Curva Mestra'!$A$20:$A$94,0))+INDEX($C$5:$C$8,MATCH(C335,$A$5:$A$8,0)),0)</f>
        <v/>
      </c>
      <c r="H335" s="161" t="inlineStr">
        <is>
          <t>Cogumelo que aprendeu a andar depois da corrupção.</t>
        </is>
      </c>
      <c r="I335" s="161" t="inlineStr">
        <is>
          <t>Esporos Corrosivos</t>
        </is>
      </c>
      <c r="J335" s="161" t="inlineStr">
        <is>
          <t>Veneno (1/turno, 2 turnos).</t>
        </is>
      </c>
      <c r="K335" s="161" t="inlineStr">
        <is>
          <t>Cresce sobre a cinza fria, ganhou movimento próprio.</t>
        </is>
      </c>
      <c r="L335" s="161">
        <f>IF(C335="Comum",ROUND(E335*1.3,0),"—")</f>
        <v/>
      </c>
      <c r="M335" s="161">
        <f>IF(C335="Comum",ROUND(F335*1.15,0),"—")</f>
        <v/>
      </c>
      <c r="N335" s="161">
        <f>IF(C335="Comum",G335+2,"—")</f>
        <v/>
      </c>
      <c r="O335" s="161">
        <f>IF(C335="Comum",ROUND(E335*1.6,0),"—")</f>
        <v/>
      </c>
      <c r="P335" s="161">
        <f>IF(C335="Comum",ROUND(F335*1.3,0),"—")</f>
        <v/>
      </c>
      <c r="Q335" s="161">
        <f>IF(C335="Comum",G335+4,"—")</f>
        <v/>
      </c>
      <c r="R335" s="242" t="n"/>
      <c r="S335" s="161">
        <f>ROUND(3+0.6*D335+IF(C335="Comum",0,IF(C335="Elite",2,IF(C335="Boss",4,6))),0)</f>
        <v/>
      </c>
      <c r="T335" s="161" t="inlineStr">
        <is>
          <t>Ouro + Esporo Andante de Cinza</t>
        </is>
      </c>
      <c r="U335" s="161" t="inlineStr">
        <is>
          <t>Queimadura</t>
        </is>
      </c>
      <c r="V335" s="161" t="inlineStr">
        <is>
          <t>Debuffer</t>
        </is>
      </c>
      <c r="W335" s="161" t="inlineStr">
        <is>
          <t>Fenda Extinta — Bordas</t>
        </is>
      </c>
      <c r="X335" s="243" t="n"/>
      <c r="Y335" s="243" t="n"/>
      <c r="Z335" s="243" t="n"/>
      <c r="AA335" s="243" t="n"/>
    </row>
    <row r="336">
      <c r="A336" s="161" t="inlineStr">
        <is>
          <t>Ebano</t>
        </is>
      </c>
      <c r="B336" s="161" t="inlineStr">
        <is>
          <t>Sombra Devoradora Jovem</t>
        </is>
      </c>
      <c r="C336" s="161" t="inlineStr">
        <is>
          <t>Comum</t>
        </is>
      </c>
      <c r="D336" s="161" t="n">
        <v>47</v>
      </c>
      <c r="E336" s="161">
        <f>ROUND(INDEX('Curva Mestra'!$F$20:$F$94,MATCH(D336,'Curva Mestra'!$A$20:$A$94,0)),0)</f>
        <v/>
      </c>
      <c r="F336" s="161">
        <f>ROUND(INDEX('Curva Mestra'!$C$20:$C$94,MATCH(D336,'Curva Mestra'!$A$20:$A$94,0))*INDEX($B$5:$B$8,MATCH(C336,$A$5:$A$8,0)),0)</f>
        <v/>
      </c>
      <c r="G336" s="161">
        <f>ROUND(INDEX('Curva Mestra'!$D$20:$D$94,MATCH(D336,'Curva Mestra'!$A$20:$A$94,0))+INDEX($C$5:$C$8,MATCH(C336,$A$5:$A$8,0)),0)</f>
        <v/>
      </c>
      <c r="H336" s="161" t="inlineStr">
        <is>
          <t>Sombra jovem que já aprendeu a se alimentar dos caídos.</t>
        </is>
      </c>
      <c r="I336" s="161" t="inlineStr">
        <is>
          <t>Consumir Fraco</t>
        </is>
      </c>
      <c r="J336" s="161" t="inlineStr">
        <is>
          <t>Cura 3 HP se houver cadáver no local.</t>
        </is>
      </c>
      <c r="K336" s="161" t="inlineStr">
        <is>
          <t>Variante jovem da Sombra Devoradora.</t>
        </is>
      </c>
      <c r="L336" s="161">
        <f>IF(C336="Comum",ROUND(E336*1.3,0),"—")</f>
        <v/>
      </c>
      <c r="M336" s="161">
        <f>IF(C336="Comum",ROUND(F336*1.15,0),"—")</f>
        <v/>
      </c>
      <c r="N336" s="161">
        <f>IF(C336="Comum",G336+2,"—")</f>
        <v/>
      </c>
      <c r="O336" s="161">
        <f>IF(C336="Comum",ROUND(E336*1.6,0),"—")</f>
        <v/>
      </c>
      <c r="P336" s="161">
        <f>IF(C336="Comum",ROUND(F336*1.3,0),"—")</f>
        <v/>
      </c>
      <c r="Q336" s="161">
        <f>IF(C336="Comum",G336+4,"—")</f>
        <v/>
      </c>
      <c r="R336" s="242" t="n"/>
      <c r="S336" s="161">
        <f>ROUND(3+0.6*D336+IF(C336="Comum",0,IF(C336="Elite",2,IF(C336="Boss",4,6))),0)</f>
        <v/>
      </c>
      <c r="T336" s="161" t="inlineStr">
        <is>
          <t>Ouro + Resíduo de Sombra Devoradora Jovem</t>
        </is>
      </c>
      <c r="U336" s="161" t="inlineStr">
        <is>
          <t>Queimadura</t>
        </is>
      </c>
      <c r="V336" s="161" t="inlineStr">
        <is>
          <t>Necrófago</t>
        </is>
      </c>
      <c r="W336" s="161" t="inlineStr">
        <is>
          <t>Fenda Extinta — Bordas</t>
        </is>
      </c>
      <c r="X336" s="243" t="n"/>
      <c r="Y336" s="243" t="n"/>
      <c r="Z336" s="243" t="n"/>
      <c r="AA336" s="242" t="n"/>
    </row>
    <row r="337">
      <c r="A337" s="161" t="inlineStr">
        <is>
          <t>Ebano</t>
        </is>
      </c>
      <c r="B337" s="161" t="inlineStr">
        <is>
          <t>Raiz Rastejante</t>
        </is>
      </c>
      <c r="C337" s="161" t="inlineStr">
        <is>
          <t>Comum</t>
        </is>
      </c>
      <c r="D337" s="161" t="n">
        <v>48</v>
      </c>
      <c r="E337" s="161">
        <f>ROUND(INDEX('Curva Mestra'!$F$20:$F$94,MATCH(D337,'Curva Mestra'!$A$20:$A$94,0)),0)</f>
        <v/>
      </c>
      <c r="F337" s="161">
        <f>ROUND(INDEX('Curva Mestra'!$C$20:$C$94,MATCH(D337,'Curva Mestra'!$A$20:$A$94,0))*INDEX($B$5:$B$8,MATCH(C337,$A$5:$A$8,0)),0)</f>
        <v/>
      </c>
      <c r="G337" s="161">
        <f>ROUND(INDEX('Curva Mestra'!$D$20:$D$94,MATCH(D337,'Curva Mestra'!$A$20:$A$94,0))+INDEX($C$5:$C$8,MATCH(C337,$A$5:$A$8,0)),0)</f>
        <v/>
      </c>
      <c r="H337" s="161" t="inlineStr">
        <is>
          <t>Culto da Assimilação, Fenda Vulcânica Morta, região de Ebano.</t>
        </is>
      </c>
      <c r="I337" s="161" t="inlineStr">
        <is>
          <t>Enraizamento</t>
        </is>
      </c>
      <c r="J337" s="161" t="inlineStr">
        <is>
          <t>Tenta imobilizar o alvo por 1 turno.</t>
        </is>
      </c>
      <c r="K337" s="161" t="inlineStr">
        <is>
          <t>Uma vítima assimilada tão profundamente que virou quase vegetal — pode ainda estar consciente lá dentro, gritando em silêncio.</t>
        </is>
      </c>
      <c r="L337" s="161">
        <f>IF(C337="Comum",ROUND(E337*1.3,0),"—")</f>
        <v/>
      </c>
      <c r="M337" s="161">
        <f>IF(C337="Comum",ROUND(F337*1.15,0),"—")</f>
        <v/>
      </c>
      <c r="N337" s="161">
        <f>IF(C337="Comum",G337+2,"—")</f>
        <v/>
      </c>
      <c r="O337" s="161">
        <f>IF(C337="Comum",ROUND(E337*1.6,0),"—")</f>
        <v/>
      </c>
      <c r="P337" s="161">
        <f>IF(C337="Comum",ROUND(F337*1.3,0),"—")</f>
        <v/>
      </c>
      <c r="Q337" s="161">
        <f>IF(C337="Comum",G337+4,"—")</f>
        <v/>
      </c>
      <c r="R337" s="161" t="inlineStr">
        <is>
          <t>A Raiz Que Ainda Sente</t>
        </is>
      </c>
      <c r="S337" s="161">
        <f>ROUND(INDEX('Curva Mestra'!$D$20:$D$94,MATCH(D337,'Curva Mestra'!$A$20:$A$94,0))-IF(C337="Comum",9,IF(C337="Elite",6,IF(C337="Boss",4,3))),0)</f>
        <v/>
      </c>
      <c r="T337" s="161" t="inlineStr">
        <is>
          <t>Ouro + Fragmento de Raiz Rastejante + Essência da Fenda Extinta (chance rara)</t>
        </is>
      </c>
      <c r="U337" s="161" t="inlineStr">
        <is>
          <t>Vulnerável a Fogo — a carne corrompida queima rápido demais pra se regenerar.</t>
        </is>
      </c>
      <c r="V337" s="242" t="inlineStr">
        <is>
          <t>Controle</t>
        </is>
      </c>
      <c r="W337" s="242" t="inlineStr">
        <is>
          <t>Fenda Extinta</t>
        </is>
      </c>
      <c r="X337" s="243" t="n"/>
      <c r="Y337" s="243" t="n"/>
      <c r="Z337" s="243" t="n"/>
      <c r="AA337" s="242" t="n"/>
    </row>
    <row r="338">
      <c r="A338" s="161" t="inlineStr">
        <is>
          <t>Ebano</t>
        </is>
      </c>
      <c r="B338" s="161" t="inlineStr">
        <is>
          <t>Sombra Devoradora</t>
        </is>
      </c>
      <c r="C338" s="161" t="inlineStr">
        <is>
          <t>Comum</t>
        </is>
      </c>
      <c r="D338" s="161" t="n">
        <v>48</v>
      </c>
      <c r="E338" s="161">
        <f>ROUND(INDEX('Curva Mestra'!$F$20:$F$94,MATCH(D338,'Curva Mestra'!$A$20:$A$94,0)),0)</f>
        <v/>
      </c>
      <c r="F338" s="161">
        <f>ROUND(INDEX('Curva Mestra'!$C$20:$C$94,MATCH(D338,'Curva Mestra'!$A$20:$A$94,0))*INDEX($B$5:$B$8,MATCH(C338,$A$5:$A$8,0)),0)</f>
        <v/>
      </c>
      <c r="G338" s="161">
        <f>ROUND(INDEX('Curva Mestra'!$D$20:$D$94,MATCH(D338,'Curva Mestra'!$A$20:$A$94,0))+INDEX($C$5:$C$8,MATCH(C338,$A$5:$A$8,0)),0)</f>
        <v/>
      </c>
      <c r="H338" s="161" t="inlineStr">
        <is>
          <t>Sombra maior, se alimenta do que os outros deixam.</t>
        </is>
      </c>
      <c r="I338" s="161" t="inlineStr">
        <is>
          <t>Consumir</t>
        </is>
      </c>
      <c r="J338" s="161" t="inlineStr">
        <is>
          <t>Cura 6 HP se houver cadáver no local.</t>
        </is>
      </c>
      <c r="K338" s="161" t="inlineStr">
        <is>
          <t>Come o que resta de quem a Fusão já consumiu.</t>
        </is>
      </c>
      <c r="L338" s="161">
        <f>IF(C338="Comum",ROUND(E338*1.3,0),"—")</f>
        <v/>
      </c>
      <c r="M338" s="161">
        <f>IF(C338="Comum",ROUND(F338*1.15,0),"—")</f>
        <v/>
      </c>
      <c r="N338" s="161">
        <f>IF(C338="Comum",G338+2,"—")</f>
        <v/>
      </c>
      <c r="O338" s="161">
        <f>IF(C338="Comum",ROUND(E338*1.6,0),"—")</f>
        <v/>
      </c>
      <c r="P338" s="161">
        <f>IF(C338="Comum",ROUND(F338*1.3,0),"—")</f>
        <v/>
      </c>
      <c r="Q338" s="161">
        <f>IF(C338="Comum",G338+4,"—")</f>
        <v/>
      </c>
      <c r="R338" s="242" t="n"/>
      <c r="S338" s="161">
        <f>ROUND(3+0.6*D338+IF(C338="Comum",0,IF(C338="Elite",2,IF(C338="Boss",4,6))),0)</f>
        <v/>
      </c>
      <c r="T338" s="161" t="inlineStr">
        <is>
          <t>Ouro + Resíduo de Sombra Devoradora</t>
        </is>
      </c>
      <c r="U338" s="161" t="inlineStr">
        <is>
          <t>Queimadura</t>
        </is>
      </c>
      <c r="V338" s="161" t="inlineStr">
        <is>
          <t>Necrófago</t>
        </is>
      </c>
      <c r="W338" s="161" t="inlineStr">
        <is>
          <t>Fenda Extinta — Bordas</t>
        </is>
      </c>
      <c r="X338" s="242" t="n"/>
      <c r="Y338" s="243" t="n"/>
      <c r="Z338" s="243" t="n"/>
      <c r="AA338" s="242" t="n"/>
    </row>
    <row r="339">
      <c r="A339" s="161" t="inlineStr">
        <is>
          <t>Ebano</t>
        </is>
      </c>
      <c r="B339" s="161" t="inlineStr">
        <is>
          <t>Amálgama Menor</t>
        </is>
      </c>
      <c r="C339" s="161" t="inlineStr">
        <is>
          <t>Comum</t>
        </is>
      </c>
      <c r="D339" s="161" t="n">
        <v>48</v>
      </c>
      <c r="E339" s="161">
        <f>ROUND(INDEX('Curva Mestra'!$F$20:$F$94,MATCH(D339,'Curva Mestra'!$A$20:$A$94,0)),0)</f>
        <v/>
      </c>
      <c r="F339" s="161">
        <f>ROUND(INDEX('Curva Mestra'!$C$20:$C$94,MATCH(D339,'Curva Mestra'!$A$20:$A$94,0))*INDEX($B$5:$B$8,MATCH(C339,$A$5:$A$8,0)),0)</f>
        <v/>
      </c>
      <c r="G339" s="161">
        <f>ROUND(INDEX('Curva Mestra'!$D$20:$D$94,MATCH(D339,'Curva Mestra'!$A$20:$A$94,0))+INDEX($C$5:$C$8,MATCH(C339,$A$5:$A$8,0)),0)</f>
        <v/>
      </c>
      <c r="H339" s="161" t="inlineStr">
        <is>
          <t>Pedaço do Amálgama que se solta durante o ritual.</t>
        </is>
      </c>
      <c r="I339" s="161" t="inlineStr">
        <is>
          <t>Fusão Parcial</t>
        </is>
      </c>
      <c r="J339" s="161" t="inlineStr">
        <is>
          <t>Nenhum efeito adicional — só aparece durante ritual ativo.</t>
        </is>
      </c>
      <c r="K339" s="161" t="inlineStr">
        <is>
          <t>Fragmento do Amálgama Original, só se manifesta quando o ritual central está ativo.</t>
        </is>
      </c>
      <c r="L339" s="161">
        <f>IF(C339="Comum",ROUND(E339*1.3,0),"—")</f>
        <v/>
      </c>
      <c r="M339" s="161">
        <f>IF(C339="Comum",ROUND(F339*1.15,0),"—")</f>
        <v/>
      </c>
      <c r="N339" s="161">
        <f>IF(C339="Comum",G339+2,"—")</f>
        <v/>
      </c>
      <c r="O339" s="161">
        <f>IF(C339="Comum",ROUND(E339*1.6,0),"—")</f>
        <v/>
      </c>
      <c r="P339" s="161">
        <f>IF(C339="Comum",ROUND(F339*1.3,0),"—")</f>
        <v/>
      </c>
      <c r="Q339" s="161">
        <f>IF(C339="Comum",G339+4,"—")</f>
        <v/>
      </c>
      <c r="R339" s="242" t="n"/>
      <c r="S339" s="161">
        <f>ROUND(3+0.6*D339+IF(C339="Comum",0,IF(C339="Elite",2,IF(C339="Boss",4,6))),0)</f>
        <v/>
      </c>
      <c r="T339" s="161" t="inlineStr">
        <is>
          <t>Ouro + Amostra de Carne do Amálgama Menor</t>
        </is>
      </c>
      <c r="U339" s="161" t="inlineStr">
        <is>
          <t>Fragilidade</t>
        </is>
      </c>
      <c r="V339" s="161" t="inlineStr">
        <is>
          <t>Condicional</t>
        </is>
      </c>
      <c r="W339" s="161" t="inlineStr">
        <is>
          <t>Câmara da Fusão, só com ritual ativo</t>
        </is>
      </c>
      <c r="X339" s="243" t="n"/>
      <c r="Y339" s="243" t="n"/>
      <c r="Z339" s="243" t="n"/>
      <c r="AA339" s="243" t="n"/>
    </row>
    <row r="340">
      <c r="A340" s="161" t="inlineStr">
        <is>
          <t>Ebano</t>
        </is>
      </c>
      <c r="B340" s="161" t="inlineStr">
        <is>
          <t>Espectro de Ebano</t>
        </is>
      </c>
      <c r="C340" s="161" t="inlineStr">
        <is>
          <t>Elite</t>
        </is>
      </c>
      <c r="D340" s="161" t="n">
        <v>48</v>
      </c>
      <c r="E340" s="161">
        <f>ROUND(INDEX('Curva Mestra'!$G$20:$G$94,MATCH(D340,'Curva Mestra'!$A$20:$A$94,0)),0)</f>
        <v/>
      </c>
      <c r="F340" s="161">
        <f>ROUND(INDEX('Curva Mestra'!$C$20:$C$94,MATCH(D340,'Curva Mestra'!$A$20:$A$94,0))*INDEX($B$5:$B$8,MATCH(C340,$A$5:$A$8,0)),0)</f>
        <v/>
      </c>
      <c r="G340" s="161">
        <f>ROUND(INDEX('Curva Mestra'!$D$20:$D$94,MATCH(D340,'Curva Mestra'!$A$20:$A$94,0))+INDEX($C$5:$C$8,MATCH(C340,$A$5:$A$8,0)),0)</f>
        <v/>
      </c>
      <c r="H340" s="161" t="inlineStr">
        <is>
          <t>Encontro dificil dentro do tier Ebano</t>
        </is>
      </c>
      <c r="I340" s="161" t="inlineStr">
        <is>
          <t>Toque Sombrio</t>
        </is>
      </c>
      <c r="J340" s="161" t="inlineStr">
        <is>
          <t>Cura 15% do dano causado como HP.</t>
        </is>
      </c>
      <c r="K340" s="161" t="inlineStr">
        <is>
          <t>Guerreiro morto na queda da fenda, preso entre a forma humana e a carne assimilada — nem o culto sabe mais o que ele é.</t>
        </is>
      </c>
      <c r="L340" s="161">
        <f>IF(C340="Comum",ROUND(E340*1.3,0),"—")</f>
        <v/>
      </c>
      <c r="M340" s="161">
        <f>IF(C340="Comum",ROUND(F340*1.15,0),"—")</f>
        <v/>
      </c>
      <c r="N340" s="161">
        <f>IF(C340="Comum",G340+2,"—")</f>
        <v/>
      </c>
      <c r="O340" s="161">
        <f>IF(C340="Comum",ROUND(E340*1.6,0),"—")</f>
        <v/>
      </c>
      <c r="P340" s="161">
        <f>IF(C340="Comum",ROUND(F340*1.3,0),"—")</f>
        <v/>
      </c>
      <c r="Q340" s="161">
        <f>IF(C340="Comum",G340+4,"—")</f>
        <v/>
      </c>
      <c r="R340" s="161" t="inlineStr">
        <is>
          <t>O Manto de Cinza Impenetrável</t>
        </is>
      </c>
      <c r="S340" s="161">
        <f>ROUND(INDEX('Curva Mestra'!$D$20:$D$94,MATCH(D340,'Curva Mestra'!$A$20:$A$94,0))-IF(C340="Comum",9,IF(C340="Elite",6,IF(C340="Boss",4,3))),0)</f>
        <v/>
      </c>
      <c r="T340" s="161" t="inlineStr">
        <is>
          <t>Resíduo Espectral de Espectro de Ebano + Ouro + Essência da Fenda Extinta (chance baixa)</t>
        </is>
      </c>
      <c r="U340" s="161" t="inlineStr">
        <is>
          <t>Vulnerável a Prata — armas de Prata ignoram 2 de Defesa a mais nele.</t>
        </is>
      </c>
      <c r="V340" s="242" t="inlineStr">
        <is>
          <t>Suporte</t>
        </is>
      </c>
      <c r="W340" s="242" t="inlineStr">
        <is>
          <t>Fenda Extinta</t>
        </is>
      </c>
      <c r="X340" s="243" t="n"/>
      <c r="Y340" s="243" t="n"/>
      <c r="Z340" s="243" t="n"/>
      <c r="AA340" s="243" t="n"/>
    </row>
    <row r="341">
      <c r="A341" s="161" t="inlineStr">
        <is>
          <t>Ebano</t>
        </is>
      </c>
      <c r="B341" s="161" t="inlineStr">
        <is>
          <t>Ceifador Menor</t>
        </is>
      </c>
      <c r="C341" s="161" t="inlineStr">
        <is>
          <t>Elite</t>
        </is>
      </c>
      <c r="D341" s="161" t="n">
        <v>48</v>
      </c>
      <c r="E341" s="161">
        <f>ROUND(INDEX('Curva Mestra'!$G$20:$G$94,MATCH(D341,'Curva Mestra'!$A$20:$A$94,0)),0)</f>
        <v/>
      </c>
      <c r="F341" s="161">
        <f>ROUND(INDEX('Curva Mestra'!$C$20:$C$94,MATCH(D341,'Curva Mestra'!$A$20:$A$94,0))*INDEX($B$5:$B$8,MATCH(C341,$A$5:$A$8,0)),0)</f>
        <v/>
      </c>
      <c r="G341" s="161">
        <f>ROUND(INDEX('Curva Mestra'!$D$20:$D$94,MATCH(D341,'Curva Mestra'!$A$20:$A$94,0))+INDEX($C$5:$C$8,MATCH(C341,$A$5:$A$8,0)),0)</f>
        <v/>
      </c>
      <c r="H341" s="161" t="inlineStr">
        <is>
          <t>Discípulo do Ceifador principal.</t>
        </is>
      </c>
      <c r="I341" s="161" t="inlineStr">
        <is>
          <t>Assimilação Parcial</t>
        </is>
      </c>
      <c r="J341" s="161" t="inlineStr">
        <is>
          <t>Ignora Defesa + Rouba Vida (10%).</t>
        </is>
      </c>
      <c r="K341" s="161" t="inlineStr">
        <is>
          <t>Aprendiz do Ceifador da Carne Viva, ainda aprendendo a técnica.</t>
        </is>
      </c>
      <c r="L341" s="161">
        <f>IF(C341="Comum",ROUND(E341*1.3,0),"—")</f>
        <v/>
      </c>
      <c r="M341" s="161">
        <f>IF(C341="Comum",ROUND(F341*1.15,0),"—")</f>
        <v/>
      </c>
      <c r="N341" s="161">
        <f>IF(C341="Comum",G341+2,"—")</f>
        <v/>
      </c>
      <c r="O341" s="161">
        <f>IF(C341="Comum",ROUND(E341*1.6,0),"—")</f>
        <v/>
      </c>
      <c r="P341" s="161">
        <f>IF(C341="Comum",ROUND(F341*1.3,0),"—")</f>
        <v/>
      </c>
      <c r="Q341" s="161">
        <f>IF(C341="Comum",G341+4,"—")</f>
        <v/>
      </c>
      <c r="R341" s="242" t="n"/>
      <c r="S341" s="161">
        <f>ROUND(3+0.6*D341+IF(C341="Comum",0,IF(C341="Elite",2,IF(C341="Boss",4,6))),0)</f>
        <v/>
      </c>
      <c r="T341" s="161" t="inlineStr">
        <is>
          <t>Ouro + Fragmento de Ceifador Menor + Essência da Fenda Extinta (chance baixa)</t>
        </is>
      </c>
      <c r="U341" s="161" t="inlineStr">
        <is>
          <t>Fragilidade</t>
        </is>
      </c>
      <c r="V341" s="161" t="inlineStr">
        <is>
          <t>DPS</t>
        </is>
      </c>
      <c r="W341" s="161" t="inlineStr">
        <is>
          <t>Câmara da Fusão</t>
        </is>
      </c>
      <c r="X341" s="243" t="n"/>
      <c r="Y341" s="242" t="n"/>
      <c r="Z341" s="243" t="n"/>
      <c r="AA341" s="243" t="n"/>
    </row>
    <row r="342">
      <c r="A342" s="161" t="inlineStr">
        <is>
          <t>Ebano</t>
        </is>
      </c>
      <c r="B342" s="161" t="inlineStr">
        <is>
          <t>Cofre de Cinzas Falso</t>
        </is>
      </c>
      <c r="C342" s="161" t="inlineStr">
        <is>
          <t>Elite</t>
        </is>
      </c>
      <c r="D342" s="161" t="n">
        <v>48</v>
      </c>
      <c r="E342" s="161">
        <f>ROUND(INDEX('Curva Mestra'!$G$20:$G$94,MATCH(D342,'Curva Mestra'!$A$20:$A$94,0)),0)</f>
        <v/>
      </c>
      <c r="F342" s="161">
        <f>ROUND(INDEX('Curva Mestra'!$C$20:$C$94,MATCH(D342,'Curva Mestra'!$A$20:$A$94,0))*INDEX($B$5:$B$8,MATCH(C342,$A$5:$A$8,0)),0)</f>
        <v/>
      </c>
      <c r="G342" s="161">
        <f>ROUND(INDEX('Curva Mestra'!$D$20:$D$94,MATCH(D342,'Curva Mestra'!$A$20:$A$94,0))+INDEX($C$5:$C$8,MATCH(C342,$A$5:$A$8,0)),0)</f>
        <v/>
      </c>
      <c r="H342" s="161" t="inlineStr">
        <is>
          <t>Armadilha viva disfarçada de cofre de cinzas.</t>
        </is>
      </c>
      <c r="I342" s="161" t="inlineStr">
        <is>
          <t>Mordida das Cinzas</t>
        </is>
      </c>
      <c r="J342" s="161" t="inlineStr">
        <is>
          <t>Ignora Defesa + jogador perde 1 turno de surpresa.</t>
        </is>
      </c>
      <c r="K342" s="161" t="inlineStr">
        <is>
          <t>Zelotes deixam cofres-armadilha nas bordas da fenda extinta.</t>
        </is>
      </c>
      <c r="L342" s="161">
        <f>IF(C342="Comum",ROUND(E342*1.3,0),"—")</f>
        <v/>
      </c>
      <c r="M342" s="161">
        <f>IF(C342="Comum",ROUND(F342*1.15,0),"—")</f>
        <v/>
      </c>
      <c r="N342" s="161">
        <f>IF(C342="Comum",G342+2,"—")</f>
        <v/>
      </c>
      <c r="O342" s="161">
        <f>IF(C342="Comum",ROUND(E342*1.6,0),"—")</f>
        <v/>
      </c>
      <c r="P342" s="161">
        <f>IF(C342="Comum",ROUND(F342*1.3,0),"—")</f>
        <v/>
      </c>
      <c r="Q342" s="161">
        <f>IF(C342="Comum",G342+4,"—")</f>
        <v/>
      </c>
      <c r="R342" s="242" t="n"/>
      <c r="S342" s="161">
        <f>ROUND(3+0.6*D342+IF(C342="Comum",0,IF(C342="Elite",2,IF(C342="Boss",4,6))),0)</f>
        <v/>
      </c>
      <c r="T342" s="161" t="inlineStr">
        <is>
          <t>Ouro + Essência da Fenda Extinta (chance alta, x2) + Fragmento de Cofre Armadilhado</t>
        </is>
      </c>
      <c r="U342" s="161" t="inlineStr">
        <is>
          <t>Atordoamento</t>
        </is>
      </c>
      <c r="V342" s="161" t="inlineStr">
        <is>
          <t>Mímico</t>
        </is>
      </c>
      <c r="W342" s="161" t="inlineStr">
        <is>
          <t>Fenda Extinta, 5% ao interagir</t>
        </is>
      </c>
      <c r="X342" s="243" t="n"/>
      <c r="Y342" s="243" t="n"/>
      <c r="Z342" s="243" t="n"/>
      <c r="AA342" s="241" t="inlineStr">
        <is>
          <t>Essência da Fenda Extinta x2 (falso — some ao ser revelado, sem uso real) — correção: nome anterior 'Resíduo Espectral de Espectro de Ebano x2' reutilizava o troféu de outro Elite; ajustado pro material-base do próprio tier</t>
        </is>
      </c>
    </row>
    <row r="343">
      <c r="A343" s="161" t="inlineStr">
        <is>
          <t>Ebano</t>
        </is>
      </c>
      <c r="B343" s="161" t="inlineStr">
        <is>
          <t>Fragmento Fugidio do Amálgama</t>
        </is>
      </c>
      <c r="C343" s="161" t="inlineStr">
        <is>
          <t>Elite</t>
        </is>
      </c>
      <c r="D343" s="161" t="n">
        <v>48</v>
      </c>
      <c r="E343" s="161">
        <f>ROUND(INDEX('Curva Mestra'!$G$20:$G$94,MATCH(D343,'Curva Mestra'!$A$20:$A$94,0)),0)</f>
        <v/>
      </c>
      <c r="F343" s="161">
        <f>ROUND(INDEX('Curva Mestra'!$C$20:$C$94,MATCH(D343,'Curva Mestra'!$A$20:$A$94,0))*INDEX($B$5:$B$8,MATCH(C343,$A$5:$A$8,0)),0)</f>
        <v/>
      </c>
      <c r="G343" s="161">
        <f>ROUND(INDEX('Curva Mestra'!$D$20:$D$94,MATCH(D343,'Curva Mestra'!$A$20:$A$94,0))+INDEX($C$5:$C$8,MATCH(C343,$A$5:$A$8,0)),0)</f>
        <v/>
      </c>
      <c r="H343" s="161" t="inlineStr">
        <is>
          <t>Fragmento instável, quase consciente.</t>
        </is>
      </c>
      <c r="I343" s="161" t="inlineStr">
        <is>
          <t>Fuga Instável</t>
        </is>
      </c>
      <c r="J343" s="161" t="inlineStr">
        <is>
          <t>Não causa dano — foge no turno 3.</t>
        </is>
      </c>
      <c r="K343" s="161" t="inlineStr">
        <is>
          <t>Pedaço solto do Amálgama Original, tenta escapar antes de ser reabsorvido.</t>
        </is>
      </c>
      <c r="L343" s="161">
        <f>IF(C343="Comum",ROUND(E343*1.3,0),"—")</f>
        <v/>
      </c>
      <c r="M343" s="161">
        <f>IF(C343="Comum",ROUND(F343*1.15,0),"—")</f>
        <v/>
      </c>
      <c r="N343" s="161">
        <f>IF(C343="Comum",G343+2,"—")</f>
        <v/>
      </c>
      <c r="O343" s="161">
        <f>IF(C343="Comum",ROUND(E343*1.6,0),"—")</f>
        <v/>
      </c>
      <c r="P343" s="161">
        <f>IF(C343="Comum",ROUND(F343*1.3,0),"—")</f>
        <v/>
      </c>
      <c r="Q343" s="161">
        <f>IF(C343="Comum",G343+4,"—")</f>
        <v/>
      </c>
      <c r="R343" s="242" t="n"/>
      <c r="S343" s="161">
        <f>ROUND(3+0.6*D343+IF(C343="Comum",0,IF(C343="Elite",2,IF(C343="Boss",4,6))),0)</f>
        <v/>
      </c>
      <c r="T343" s="161" t="inlineStr">
        <is>
          <t>Ouro + Amostra Instável do Fragmento Fugidio</t>
        </is>
      </c>
      <c r="U343" s="161" t="inlineStr">
        <is>
          <t>Lentidão</t>
        </is>
      </c>
      <c r="V343" s="161" t="inlineStr">
        <is>
          <t>Superloot/Evasivo</t>
        </is>
      </c>
      <c r="W343" s="161" t="inlineStr">
        <is>
          <t>Fenda Extinta, spawn raro (2%)</t>
        </is>
      </c>
      <c r="X343" s="243" t="n"/>
      <c r="Y343" s="243" t="n"/>
      <c r="Z343" s="243" t="n"/>
      <c r="AA343" s="241" t="inlineStr">
        <is>
          <t>Veio Puro de Adamantina (material de Tier 11)</t>
        </is>
      </c>
    </row>
    <row r="344">
      <c r="A344" s="161" t="inlineStr">
        <is>
          <t>Ebano</t>
        </is>
      </c>
      <c r="B344" s="161" t="inlineStr">
        <is>
          <t>Amálgama Fragmentário</t>
        </is>
      </c>
      <c r="C344" s="161" t="inlineStr">
        <is>
          <t>Elite</t>
        </is>
      </c>
      <c r="D344" s="161" t="n">
        <v>48</v>
      </c>
      <c r="E344" s="161">
        <f>ROUND(INDEX('Curva Mestra'!$G$20:$G$94,MATCH(D344,'Curva Mestra'!$A$20:$A$94,0)),0)</f>
        <v/>
      </c>
      <c r="F344" s="161">
        <f>ROUND(INDEX('Curva Mestra'!$C$20:$C$94,MATCH(D344,'Curva Mestra'!$A$20:$A$94,0))*INDEX($B$5:$B$8,MATCH(C344,$A$5:$A$8,0)),0)</f>
        <v/>
      </c>
      <c r="G344" s="161">
        <f>ROUND(INDEX('Curva Mestra'!$D$20:$D$94,MATCH(D344,'Curva Mestra'!$A$20:$A$94,0))+INDEX($C$5:$C$8,MATCH(C344,$A$5:$A$8,0)),0)</f>
        <v/>
      </c>
      <c r="H344" s="161" t="inlineStr">
        <is>
          <t>Fragmento mínimo do Amálgama.</t>
        </is>
      </c>
      <c r="I344" s="161" t="inlineStr">
        <is>
          <t>Fusão Instável Fraca</t>
        </is>
      </c>
      <c r="J344" s="161" t="inlineStr">
        <is>
          <t>Nenhum efeito adicional — só ativo durante ritual, mais fraco que o Amálgama Menor.</t>
        </is>
      </c>
      <c r="K344" s="161" t="inlineStr">
        <is>
          <t>Fragmento ainda menor do Amálgama Original.</t>
        </is>
      </c>
      <c r="L344" s="161">
        <f>IF(C344="Comum",ROUND(E344*1.3,0),"—")</f>
        <v/>
      </c>
      <c r="M344" s="161">
        <f>IF(C344="Comum",ROUND(F344*1.15,0),"—")</f>
        <v/>
      </c>
      <c r="N344" s="161">
        <f>IF(C344="Comum",G344+2,"—")</f>
        <v/>
      </c>
      <c r="O344" s="161">
        <f>IF(C344="Comum",ROUND(E344*1.6,0),"—")</f>
        <v/>
      </c>
      <c r="P344" s="161">
        <f>IF(C344="Comum",ROUND(F344*1.3,0),"—")</f>
        <v/>
      </c>
      <c r="Q344" s="161">
        <f>IF(C344="Comum",G344+4,"—")</f>
        <v/>
      </c>
      <c r="R344" s="242" t="n"/>
      <c r="S344" s="161">
        <f>ROUND(3+0.6*D344+IF(C344="Comum",0,IF(C344="Elite",2,IF(C344="Boss",4,6))),0)</f>
        <v/>
      </c>
      <c r="T344" s="161" t="inlineStr">
        <is>
          <t>Ouro + Fragmento de Amálgama Fragmentário + Essência da Fenda Extinta (chance baixa)</t>
        </is>
      </c>
      <c r="U344" s="161" t="inlineStr">
        <is>
          <t>Fragilidade</t>
        </is>
      </c>
      <c r="V344" s="161" t="inlineStr">
        <is>
          <t>Condicional</t>
        </is>
      </c>
      <c r="W344" s="161" t="inlineStr">
        <is>
          <t>Câmara da Fusão, só com ritual ativo</t>
        </is>
      </c>
      <c r="X344" s="243" t="n"/>
      <c r="Y344" s="243" t="n"/>
      <c r="Z344" s="243" t="n"/>
      <c r="AA344" s="243" t="n"/>
    </row>
    <row r="345">
      <c r="A345" s="161" t="inlineStr">
        <is>
          <t>Ebano</t>
        </is>
      </c>
      <c r="B345" s="161" t="inlineStr">
        <is>
          <t>Ceifador da Carne Viva</t>
        </is>
      </c>
      <c r="C345" s="161" t="inlineStr">
        <is>
          <t>Elite</t>
        </is>
      </c>
      <c r="D345" s="161" t="n">
        <v>49</v>
      </c>
      <c r="E345" s="161">
        <f>ROUND(INDEX('Curva Mestra'!$G$20:$G$94,MATCH(D345,'Curva Mestra'!$A$20:$A$94,0)),0)</f>
        <v/>
      </c>
      <c r="F345" s="161">
        <f>ROUND(INDEX('Curva Mestra'!$C$20:$C$94,MATCH(D345,'Curva Mestra'!$A$20:$A$94,0))*INDEX($B$5:$B$8,MATCH(C345,$A$5:$A$8,0)),0)</f>
        <v/>
      </c>
      <c r="G345" s="161">
        <f>ROUND(INDEX('Curva Mestra'!$D$20:$D$94,MATCH(D345,'Curva Mestra'!$A$20:$A$94,0))+INDEX($C$5:$C$8,MATCH(C345,$A$5:$A$8,0)),0)</f>
        <v/>
      </c>
      <c r="H345" s="161" t="inlineStr">
        <is>
          <t>Culto da Assimilação, Fenda Vulcânica Morta, região de Ebano.</t>
        </is>
      </c>
      <c r="I345" s="161" t="inlineStr">
        <is>
          <t>Assimilação Súbita</t>
        </is>
      </c>
      <c r="J345" s="161" t="inlineStr">
        <is>
          <t>Recupera Vida igual a 30% do dano causado ao herói.</t>
        </is>
      </c>
      <c r="K345" s="161" t="inlineStr">
        <is>
          <t>Líder de culto que se deixou transformar em carniceiro monstruoso — acredita que está "evoluindo", não morrendo.</t>
        </is>
      </c>
      <c r="L345" s="161">
        <f>IF(C345="Comum",ROUND(E345*1.3,0),"—")</f>
        <v/>
      </c>
      <c r="M345" s="161">
        <f>IF(C345="Comum",ROUND(F345*1.15,0),"—")</f>
        <v/>
      </c>
      <c r="N345" s="161">
        <f>IF(C345="Comum",G345+2,"—")</f>
        <v/>
      </c>
      <c r="O345" s="161">
        <f>IF(C345="Comum",ROUND(E345*1.6,0),"—")</f>
        <v/>
      </c>
      <c r="P345" s="161">
        <f>IF(C345="Comum",ROUND(F345*1.3,0),"—")</f>
        <v/>
      </c>
      <c r="Q345" s="161">
        <f>IF(C345="Comum",G345+4,"—")</f>
        <v/>
      </c>
      <c r="R345" s="161" t="inlineStr">
        <is>
          <t>O Zelote da Fusão Suprema</t>
        </is>
      </c>
      <c r="S345" s="161">
        <f>ROUND(INDEX('Curva Mestra'!$D$20:$D$94,MATCH(D345,'Curva Mestra'!$A$20:$A$94,0))-IF(C345="Comum",9,IF(C345="Elite",6,IF(C345="Boss",4,3))),0)</f>
        <v/>
      </c>
      <c r="T345" s="161" t="inlineStr">
        <is>
          <t>Resíduo Espectral de Ceifador da Carne Viva + Ouro + Essência da Fenda Extinta (chance baixa)</t>
        </is>
      </c>
      <c r="U345" s="161" t="inlineStr">
        <is>
          <t>Vulnerável a Prata — armas de Prata ignoram 2 de Defesa a mais nele.</t>
        </is>
      </c>
      <c r="V345" s="242" t="inlineStr">
        <is>
          <t>DPS</t>
        </is>
      </c>
      <c r="W345" s="242" t="inlineStr">
        <is>
          <t>Fenda Extinta</t>
        </is>
      </c>
      <c r="X345" s="243" t="n"/>
      <c r="Y345" s="242" t="n"/>
      <c r="Z345" s="243" t="n"/>
      <c r="AA345" s="243" t="n"/>
    </row>
    <row r="346">
      <c r="A346" s="161" t="inlineStr">
        <is>
          <t>Ebano</t>
        </is>
      </c>
      <c r="B346" s="161" t="inlineStr">
        <is>
          <t>Zelote da Fusão Suprema</t>
        </is>
      </c>
      <c r="C346" s="161" t="inlineStr">
        <is>
          <t>Elite</t>
        </is>
      </c>
      <c r="D346" s="161" t="n">
        <v>49</v>
      </c>
      <c r="E346" s="161">
        <f>ROUND(INDEX('Curva Mestra'!$G$20:$G$94,MATCH(D346,'Curva Mestra'!$A$20:$A$94,0)),0)</f>
        <v/>
      </c>
      <c r="F346" s="161">
        <f>ROUND(INDEX('Curva Mestra'!$C$20:$C$94,MATCH(D346,'Curva Mestra'!$A$20:$A$94,0))*INDEX($B$5:$B$8,MATCH(C346,$A$5:$A$8,0)),0)</f>
        <v/>
      </c>
      <c r="G346" s="161">
        <f>ROUND(INDEX('Curva Mestra'!$D$20:$D$94,MATCH(D346,'Curva Mestra'!$A$20:$A$94,0))+INDEX($C$5:$C$8,MATCH(C346,$A$5:$A$8,0)),0)</f>
        <v/>
      </c>
      <c r="H346" s="161" t="inlineStr">
        <is>
          <t>Culto da Assimilação, Fenda Vulcânica Morta, região de Ebano.</t>
        </is>
      </c>
      <c r="I346" s="161" t="inlineStr">
        <is>
          <t>Prega a Fusão</t>
        </is>
      </c>
      <c r="J346" s="161" t="inlineStr">
        <is>
          <t>Cura 20 HP de um aliado assimilado por turno.</t>
        </is>
      </c>
      <c r="K346" s="161" t="inlineStr">
        <is>
          <t>Prega conversão em massa pro Culto da Assimilação — se o Dr. Corvus foi poupado no Mithril, ele reconhece técnicas cirúrgicas dele nos "convertidos".</t>
        </is>
      </c>
      <c r="L346" s="161">
        <f>IF(C346="Comum",ROUND(E346*1.3,0),"—")</f>
        <v/>
      </c>
      <c r="M346" s="161">
        <f>IF(C346="Comum",ROUND(F346*1.15,0),"—")</f>
        <v/>
      </c>
      <c r="N346" s="161">
        <f>IF(C346="Comum",G346+2,"—")</f>
        <v/>
      </c>
      <c r="O346" s="161">
        <f>IF(C346="Comum",ROUND(E346*1.6,0),"—")</f>
        <v/>
      </c>
      <c r="P346" s="161">
        <f>IF(C346="Comum",ROUND(F346*1.3,0),"—")</f>
        <v/>
      </c>
      <c r="Q346" s="161">
        <f>IF(C346="Comum",G346+4,"—")</f>
        <v/>
      </c>
      <c r="R346" s="161" t="inlineStr">
        <is>
          <t>O Zelote da Fusão Suprema</t>
        </is>
      </c>
      <c r="S346" s="161">
        <f>ROUND(INDEX('Curva Mestra'!$D$20:$D$94,MATCH(D346,'Curva Mestra'!$A$20:$A$94,0))-IF(C346="Comum",9,IF(C346="Elite",6,IF(C346="Boss",4,3))),0)</f>
        <v/>
      </c>
      <c r="T346" s="161" t="inlineStr">
        <is>
          <t>Relicário de Zelote da Fusão Suprema + Ouro + Essência da Fenda Extinta (chance baixa)</t>
        </is>
      </c>
      <c r="U346" s="161" t="inlineStr">
        <is>
          <t>Vulnerável a Fogo — a carne corrompida queima rápido demais pra se regenerar.</t>
        </is>
      </c>
      <c r="V346" s="242" t="inlineStr">
        <is>
          <t>Suporte</t>
        </is>
      </c>
      <c r="W346" s="242" t="inlineStr">
        <is>
          <t>Fenda Extinta</t>
        </is>
      </c>
      <c r="X346" s="243" t="n"/>
      <c r="Y346" s="243" t="n"/>
      <c r="Z346" s="243" t="n"/>
      <c r="AA346" s="243" t="n"/>
    </row>
    <row r="347">
      <c r="A347" s="161" t="inlineStr">
        <is>
          <t>Ebano</t>
        </is>
      </c>
      <c r="B347" s="161" t="inlineStr">
        <is>
          <t>Irmã Vashti, a Que Se Recusou a Se Fundir</t>
        </is>
      </c>
      <c r="C347" s="161" t="inlineStr">
        <is>
          <t>Elite</t>
        </is>
      </c>
      <c r="D347" s="161" t="n">
        <v>49</v>
      </c>
      <c r="E347" s="161">
        <f>ROUND(INDEX('Curva Mestra'!$G$20:$G$94,MATCH(D347,'Curva Mestra'!$A$20:$A$94,0)),0)</f>
        <v/>
      </c>
      <c r="F347" s="161">
        <f>ROUND(INDEX('Curva Mestra'!$C$20:$C$94,MATCH(D347,'Curva Mestra'!$A$20:$A$94,0))*INDEX($B$5:$B$8,MATCH(C347,$A$5:$A$8,0)),0)</f>
        <v/>
      </c>
      <c r="G347" s="161">
        <f>ROUND(INDEX('Curva Mestra'!$D$20:$D$94,MATCH(D347,'Curva Mestra'!$A$20:$A$94,0))+INDEX($C$5:$C$8,MATCH(C347,$A$5:$A$8,0)),0)</f>
        <v/>
      </c>
      <c r="H347" s="161" t="inlineStr">
        <is>
          <t>Ex-líder do culto que resistiu até o fim.</t>
        </is>
      </c>
      <c r="I347" s="161" t="inlineStr">
        <is>
          <t>Última Resistência</t>
        </is>
      </c>
      <c r="J347" s="161" t="inlineStr">
        <is>
          <t>Ignora Resistência Mágica + Ignora Defesa.</t>
        </is>
      </c>
      <c r="K347" s="161" t="inlineStr">
        <is>
          <t>Era a segunda no comando do culto da Fusão. Recusou-se a completar o próprio ritual.</t>
        </is>
      </c>
      <c r="L347" s="161">
        <f>IF(C347="Comum",ROUND(E347*1.3,0),"—")</f>
        <v/>
      </c>
      <c r="M347" s="161">
        <f>IF(C347="Comum",ROUND(F347*1.15,0),"—")</f>
        <v/>
      </c>
      <c r="N347" s="161">
        <f>IF(C347="Comum",G347+2,"—")</f>
        <v/>
      </c>
      <c r="O347" s="161">
        <f>IF(C347="Comum",ROUND(E347*1.6,0),"—")</f>
        <v/>
      </c>
      <c r="P347" s="161">
        <f>IF(C347="Comum",ROUND(F347*1.3,0),"—")</f>
        <v/>
      </c>
      <c r="Q347" s="161">
        <f>IF(C347="Comum",G347+4,"—")</f>
        <v/>
      </c>
      <c r="R347" s="242" t="n"/>
      <c r="S347" s="161">
        <f>ROUND(3+0.6*D347+IF(C347="Comum",0,IF(C347="Elite",2,IF(C347="Boss",4,6))),0)</f>
        <v/>
      </c>
      <c r="T347" s="161" t="inlineStr">
        <is>
          <t>Ouro + Fragmento de Irmã Vashti + Essência da Fenda Extinta (chance baixa)</t>
        </is>
      </c>
      <c r="U347" s="161" t="inlineStr">
        <is>
          <t>Lentidão</t>
        </is>
      </c>
      <c r="V347" s="161" t="inlineStr">
        <is>
          <t>Nomeado / Mini-Boss</t>
        </is>
      </c>
      <c r="W347" s="161" t="inlineStr">
        <is>
          <t>Câmara da Fusão, spawn raro (4%)</t>
        </is>
      </c>
      <c r="X347" s="241" t="inlineStr">
        <is>
          <t>A 30% de HP para de atacar e pede ajuda pra impedir o Amálgama Original — vira aliada de expedição se aceito.</t>
        </is>
      </c>
      <c r="Y347" s="243" t="n"/>
      <c r="Z347" s="243" t="n"/>
      <c r="AA347" s="241" t="inlineStr">
        <is>
          <t>Fragmento da Última Resistência (se derrotada em vez de recrutada) [ver Artefatos e Relíquias]</t>
        </is>
      </c>
    </row>
    <row r="348">
      <c r="A348" s="161" t="inlineStr">
        <is>
          <t>Ebano</t>
        </is>
      </c>
      <c r="B348" s="161" t="inlineStr">
        <is>
          <t>Guardiao da Fenda Morta</t>
        </is>
      </c>
      <c r="C348" s="161" t="inlineStr">
        <is>
          <t>Boss</t>
        </is>
      </c>
      <c r="D348" s="161" t="n">
        <v>49</v>
      </c>
      <c r="E348" s="161">
        <f>ROUND(INDEX('Curva Mestra'!$H$20:$H$94,MATCH(D348,'Curva Mestra'!$A$20:$A$94,0)),0)</f>
        <v/>
      </c>
      <c r="F348" s="161">
        <f>ROUND(INDEX('Curva Mestra'!$C$20:$C$94,MATCH(D348,'Curva Mestra'!$A$20:$A$94,0))*INDEX($B$5:$B$8,MATCH(C348,$A$5:$A$8,0)),0)</f>
        <v/>
      </c>
      <c r="G348" s="161">
        <f>ROUND(INDEX('Curva Mestra'!$D$20:$D$94,MATCH(D348,'Curva Mestra'!$A$20:$A$94,0))+INDEX($C$5:$C$8,MATCH(C348,$A$5:$A$8,0)),0)</f>
        <v/>
      </c>
      <c r="H348" s="161" t="inlineStr">
        <is>
          <t>Chefe / marco final do tier Ebano</t>
        </is>
      </c>
      <c r="I348" s="161" t="inlineStr">
        <is>
          <t>Golpe do Silêncio Eterno</t>
        </is>
      </c>
      <c r="J348" s="161" t="inlineStr">
        <is>
          <t>Reduz a Durabilidade do equipamento do alvo 2x mais rápido enquanto durar o combate.</t>
        </is>
      </c>
      <c r="K348" s="161" t="inlineStr">
        <is>
          <t>O último suspiro térmico da fenda vulcânica, aprisionado em forma de âmbar escuro — guarda "O Manto de Cinza Impenetrável".</t>
        </is>
      </c>
      <c r="L348" s="161">
        <f>IF(C348="Comum",ROUND(E348*1.3,0),"—")</f>
        <v/>
      </c>
      <c r="M348" s="161">
        <f>IF(C348="Comum",ROUND(F348*1.15,0),"—")</f>
        <v/>
      </c>
      <c r="N348" s="161">
        <f>IF(C348="Comum",G348+2,"—")</f>
        <v/>
      </c>
      <c r="O348" s="161">
        <f>IF(C348="Comum",ROUND(E348*1.6,0),"—")</f>
        <v/>
      </c>
      <c r="P348" s="161">
        <f>IF(C348="Comum",ROUND(F348*1.3,0),"—")</f>
        <v/>
      </c>
      <c r="Q348" s="161">
        <f>IF(C348="Comum",G348+4,"—")</f>
        <v/>
      </c>
      <c r="R348" s="161" t="inlineStr">
        <is>
          <t>O Manto de Cinza Impenetrável</t>
        </is>
      </c>
      <c r="S348" s="161">
        <f>ROUND(INDEX('Curva Mestra'!$D$20:$D$94,MATCH(D348,'Curva Mestra'!$A$20:$A$94,0))-IF(C348="Comum",9,IF(C348="Elite",6,IF(C348="Boss",4,3))),0)</f>
        <v/>
      </c>
      <c r="T348" s="161" t="inlineStr">
        <is>
          <t>Núcleo de Guardiao da Fenda Morta + Essência de Guardiao da Fenda Morta + Ouro + Essência da Fenda Extinta (chance baixa)</t>
        </is>
      </c>
      <c r="U348" s="161" t="inlineStr">
        <is>
          <t>Vulnerável a Ignora Resistência Mágica — segue ordens antigas, sem vontade própria pra resistir.</t>
        </is>
      </c>
      <c r="V348" s="242" t="inlineStr">
        <is>
          <t>DPS</t>
        </is>
      </c>
      <c r="W348" s="242" t="inlineStr">
        <is>
          <t>Fenda Extinta</t>
        </is>
      </c>
      <c r="X348" s="243" t="n"/>
      <c r="Y348" s="243" t="n"/>
      <c r="Z348" s="243" t="n"/>
      <c r="AA348" s="242" t="inlineStr">
        <is>
          <t>O Manto de Cinza Impenetrável</t>
        </is>
      </c>
    </row>
    <row r="349">
      <c r="A349" s="161" t="inlineStr">
        <is>
          <t>Ebano</t>
        </is>
      </c>
      <c r="B349" s="161" t="inlineStr">
        <is>
          <t>O Amálgama Original</t>
        </is>
      </c>
      <c r="C349" s="161" t="inlineStr">
        <is>
          <t>Boss</t>
        </is>
      </c>
      <c r="D349" s="161" t="n">
        <v>50</v>
      </c>
      <c r="E349" s="161">
        <f>ROUND(INDEX('Curva Mestra'!$H$20:$H$94,MATCH(D349,'Curva Mestra'!$A$20:$A$94,0)),0)</f>
        <v/>
      </c>
      <c r="F349" s="161">
        <f>ROUND(INDEX('Curva Mestra'!$C$20:$C$94,MATCH(D349,'Curva Mestra'!$A$20:$A$94,0))*INDEX($B$5:$B$8,MATCH(C349,$A$5:$A$8,0)),0)</f>
        <v/>
      </c>
      <c r="G349" s="161">
        <f>ROUND(INDEX('Curva Mestra'!$D$20:$D$94,MATCH(D349,'Curva Mestra'!$A$20:$A$94,0))+INDEX($C$5:$C$8,MATCH(C349,$A$5:$A$8,0)),0)</f>
        <v/>
      </c>
      <c r="H349" s="161" t="inlineStr">
        <is>
          <t>Culto da Assimilação, Fenda Vulcânica Morta, região de Ebano.</t>
        </is>
      </c>
      <c r="I349" s="161" t="inlineStr">
        <is>
          <t>Fusão Continua</t>
        </is>
      </c>
      <c r="J349" s="161" t="inlineStr">
        <is>
          <t>Ao reduzir um inimigo a 0 HP, cura 20% do próprio HP máximo (absorve o que derruba).</t>
        </is>
      </c>
      <c r="K349" s="161" t="inlineStr">
        <is>
          <t>A primeira fusão bem-sucedida do culto — guarda "A Couraça da Carne Rastejante". Se o Dr. Corvus foi poupado, suas pesquisas revelam a fraqueza dele; senão, é só força bruta.</t>
        </is>
      </c>
      <c r="L349" s="161">
        <f>IF(C349="Comum",ROUND(E349*1.3,0),"—")</f>
        <v/>
      </c>
      <c r="M349" s="161">
        <f>IF(C349="Comum",ROUND(F349*1.15,0),"—")</f>
        <v/>
      </c>
      <c r="N349" s="161">
        <f>IF(C349="Comum",G349+2,"—")</f>
        <v/>
      </c>
      <c r="O349" s="161">
        <f>IF(C349="Comum",ROUND(E349*1.6,0),"—")</f>
        <v/>
      </c>
      <c r="P349" s="161">
        <f>IF(C349="Comum",ROUND(F349*1.3,0),"—")</f>
        <v/>
      </c>
      <c r="Q349" s="161">
        <f>IF(C349="Comum",G349+4,"—")</f>
        <v/>
      </c>
      <c r="R349" s="161" t="inlineStr">
        <is>
          <t>O Amálgama Original</t>
        </is>
      </c>
      <c r="S349" s="161">
        <f>ROUND(INDEX('Curva Mestra'!$D$20:$D$94,MATCH(D349,'Curva Mestra'!$A$20:$A$94,0))-IF(C349="Comum",9,IF(C349="Elite",6,IF(C349="Boss",4,3))),0)</f>
        <v/>
      </c>
      <c r="T349" s="161" t="inlineStr">
        <is>
          <t>Amostra de Carne de O Amálgama Original + Essência de O Amálgama Original + Ouro + Essência da Fenda Extinta (chance baixa)</t>
        </is>
      </c>
      <c r="U349" s="161" t="inlineStr">
        <is>
          <t>Vulnerável a Fogo — a carne corrompida queima rápido demais pra se regenerar.</t>
        </is>
      </c>
      <c r="V349" s="242" t="inlineStr">
        <is>
          <t>Suporte</t>
        </is>
      </c>
      <c r="W349" s="242" t="inlineStr">
        <is>
          <t>Fenda Extinta</t>
        </is>
      </c>
      <c r="X349" s="243" t="n"/>
      <c r="Y349" s="243" t="n"/>
      <c r="Z349" s="243" t="n"/>
      <c r="AA349" s="242" t="inlineStr">
        <is>
          <t>A Couraça da Carne Rastejante</t>
        </is>
      </c>
    </row>
    <row r="350">
      <c r="A350" s="161" t="inlineStr">
        <is>
          <t>Adamantina</t>
        </is>
      </c>
      <c r="B350" s="161" t="inlineStr">
        <is>
          <t>Golem de Guerra</t>
        </is>
      </c>
      <c r="C350" s="161" t="inlineStr">
        <is>
          <t>Comum</t>
        </is>
      </c>
      <c r="D350" s="161" t="n">
        <v>51</v>
      </c>
      <c r="E350" s="161">
        <f>ROUND(INDEX('Curva Mestra'!$F$20:$F$94,MATCH(D350,'Curva Mestra'!$A$20:$A$94,0)),0)</f>
        <v/>
      </c>
      <c r="F350" s="161">
        <f>ROUND(INDEX('Curva Mestra'!$C$20:$C$94,MATCH(D350,'Curva Mestra'!$A$20:$A$94,0))*INDEX($B$5:$B$8,MATCH(C350,$A$5:$A$8,0)),0)</f>
        <v/>
      </c>
      <c r="G350" s="161">
        <f>ROUND(INDEX('Curva Mestra'!$D$20:$D$94,MATCH(D350,'Curva Mestra'!$A$20:$A$94,0))+INDEX($C$5:$C$8,MATCH(C350,$A$5:$A$8,0)),0)</f>
        <v/>
      </c>
      <c r="H350" s="161" t="inlineStr">
        <is>
          <t>Ronda a regiao do tier Adamantina</t>
        </is>
      </c>
      <c r="I350" s="161" t="inlineStr">
        <is>
          <t>Impacto de Placa Pesada</t>
        </is>
      </c>
      <c r="J350" s="161" t="inlineStr">
        <is>
          <t>Sem efeito mecânico além do dano — ataque direto.</t>
        </is>
      </c>
      <c r="K350" s="161" t="inlineStr">
        <is>
          <t>Construído pela Ordem dos Cavaleiros pra treinar recrutas — alguns foram roubados pela Heresia do Titã Negro e nunca devolvidos.</t>
        </is>
      </c>
      <c r="L350" s="161">
        <f>IF(C350="Comum",ROUND(E350*1.3,0),"—")</f>
        <v/>
      </c>
      <c r="M350" s="161">
        <f>IF(C350="Comum",ROUND(F350*1.15,0),"—")</f>
        <v/>
      </c>
      <c r="N350" s="161">
        <f>IF(C350="Comum",G350+2,"—")</f>
        <v/>
      </c>
      <c r="O350" s="161">
        <f>IF(C350="Comum",ROUND(E350*1.6,0),"—")</f>
        <v/>
      </c>
      <c r="P350" s="161">
        <f>IF(C350="Comum",ROUND(F350*1.3,0),"—")</f>
        <v/>
      </c>
      <c r="Q350" s="161">
        <f>IF(C350="Comum",G350+4,"—")</f>
        <v/>
      </c>
      <c r="R350" s="161" t="inlineStr">
        <is>
          <t>Golens à Solta</t>
        </is>
      </c>
      <c r="S350" s="161">
        <f>ROUND(INDEX('Curva Mestra'!$D$20:$D$94,MATCH(D350,'Curva Mestra'!$A$20:$A$94,0))-IF(C350="Comum",9,IF(C350="Elite",6,IF(C350="Boss",4,3))),0)</f>
        <v/>
      </c>
      <c r="T350" s="161" t="inlineStr">
        <is>
          <t>Ouro + Fragmento de Coroa do Titã (chance rara)</t>
        </is>
      </c>
      <c r="U350" s="161" t="inlineStr">
        <is>
          <t>Vulnerável a Atordoamento — travas mecânicas emperram com o dobro de chance.</t>
        </is>
      </c>
      <c r="V350" s="242" t="inlineStr">
        <is>
          <t>DPS</t>
        </is>
      </c>
      <c r="W350" s="242" t="inlineStr">
        <is>
          <t>Forja dos Titãs</t>
        </is>
      </c>
      <c r="X350" s="243" t="n"/>
      <c r="Y350" s="243" t="n"/>
      <c r="Z350" s="243" t="n"/>
      <c r="AA350" s="243" t="n"/>
    </row>
    <row r="351">
      <c r="A351" s="161" t="inlineStr">
        <is>
          <t>Adamantina</t>
        </is>
      </c>
      <c r="B351" s="161" t="inlineStr">
        <is>
          <t>Golem Muito Menor de Guerra</t>
        </is>
      </c>
      <c r="C351" s="161" t="inlineStr">
        <is>
          <t>Comum</t>
        </is>
      </c>
      <c r="D351" s="161" t="n">
        <v>51</v>
      </c>
      <c r="E351" s="161">
        <f>ROUND(INDEX('Curva Mestra'!$F$20:$F$94,MATCH(D351,'Curva Mestra'!$A$20:$A$94,0)),0)</f>
        <v/>
      </c>
      <c r="F351" s="161">
        <f>ROUND(INDEX('Curva Mestra'!$C$20:$C$94,MATCH(D351,'Curva Mestra'!$A$20:$A$94,0))*INDEX($B$5:$B$8,MATCH(C351,$A$5:$A$8,0)),0)</f>
        <v/>
      </c>
      <c r="G351" s="161">
        <f>ROUND(INDEX('Curva Mestra'!$D$20:$D$94,MATCH(D351,'Curva Mestra'!$A$20:$A$94,0))+INDEX($C$5:$C$8,MATCH(C351,$A$5:$A$8,0)),0)</f>
        <v/>
      </c>
      <c r="H351" s="161" t="inlineStr">
        <is>
          <t>Golem em miniatura.</t>
        </is>
      </c>
      <c r="I351" s="161" t="inlineStr">
        <is>
          <t>Impacto Muito Leve</t>
        </is>
      </c>
      <c r="J351" s="161" t="inlineStr">
        <is>
          <t>Nenhum efeito adicional.</t>
        </is>
      </c>
      <c r="K351" s="161" t="inlineStr">
        <is>
          <t>Fragmento ainda menor do Golem Menor de Guerra.</t>
        </is>
      </c>
      <c r="L351" s="161">
        <f>IF(C351="Comum",ROUND(E351*1.3,0),"—")</f>
        <v/>
      </c>
      <c r="M351" s="161">
        <f>IF(C351="Comum",ROUND(F351*1.15,0),"—")</f>
        <v/>
      </c>
      <c r="N351" s="161">
        <f>IF(C351="Comum",G351+2,"—")</f>
        <v/>
      </c>
      <c r="O351" s="161">
        <f>IF(C351="Comum",ROUND(E351*1.6,0),"—")</f>
        <v/>
      </c>
      <c r="P351" s="161">
        <f>IF(C351="Comum",ROUND(F351*1.3,0),"—")</f>
        <v/>
      </c>
      <c r="Q351" s="161">
        <f>IF(C351="Comum",G351+4,"—")</f>
        <v/>
      </c>
      <c r="R351" s="242" t="n"/>
      <c r="S351" s="161">
        <f>ROUND(3+0.6*D351+IF(C351="Comum",0,IF(C351="Elite",2,IF(C351="Boss",4,6))),0)</f>
        <v/>
      </c>
      <c r="T351" s="161" t="inlineStr">
        <is>
          <t>Ouro + Fragmento de Golem Muito Menor</t>
        </is>
      </c>
      <c r="U351" s="161" t="inlineStr">
        <is>
          <t>Ignora Resistência Mágica</t>
        </is>
      </c>
      <c r="V351" s="161" t="inlineStr">
        <is>
          <t>Tanque</t>
        </is>
      </c>
      <c r="W351" s="161" t="inlineStr">
        <is>
          <t>Forja dos Titãs — Pátio</t>
        </is>
      </c>
      <c r="X351" s="242" t="n"/>
      <c r="Y351" s="243" t="n"/>
      <c r="Z351" s="243" t="n"/>
      <c r="AA351" s="242" t="n"/>
    </row>
    <row r="352">
      <c r="A352" s="161" t="inlineStr">
        <is>
          <t>Adamantina</t>
        </is>
      </c>
      <c r="B352" s="161" t="inlineStr">
        <is>
          <t>Devorador de Cavaleiros Jovem</t>
        </is>
      </c>
      <c r="C352" s="161" t="inlineStr">
        <is>
          <t>Comum</t>
        </is>
      </c>
      <c r="D352" s="161" t="n">
        <v>51</v>
      </c>
      <c r="E352" s="161">
        <f>ROUND(INDEX('Curva Mestra'!$F$20:$F$94,MATCH(D352,'Curva Mestra'!$A$20:$A$94,0)),0)</f>
        <v/>
      </c>
      <c r="F352" s="161">
        <f>ROUND(INDEX('Curva Mestra'!$C$20:$C$94,MATCH(D352,'Curva Mestra'!$A$20:$A$94,0))*INDEX($B$5:$B$8,MATCH(C352,$A$5:$A$8,0)),0)</f>
        <v/>
      </c>
      <c r="G352" s="161">
        <f>ROUND(INDEX('Curva Mestra'!$D$20:$D$94,MATCH(D352,'Curva Mestra'!$A$20:$A$94,0))+INDEX($C$5:$C$8,MATCH(C352,$A$5:$A$8,0)),0)</f>
        <v/>
      </c>
      <c r="H352" s="161" t="inlineStr">
        <is>
          <t>Criatura jovem que se alimenta dos caídos.</t>
        </is>
      </c>
      <c r="I352" s="161" t="inlineStr">
        <is>
          <t>Mordida Fraca nas Placas</t>
        </is>
      </c>
      <c r="J352" s="161" t="inlineStr">
        <is>
          <t>Cura 3 HP se houver cadáver no local.</t>
        </is>
      </c>
      <c r="K352" s="161" t="inlineStr">
        <is>
          <t>Variante jovem do Devorador de Cavaleiros Caídos.</t>
        </is>
      </c>
      <c r="L352" s="161">
        <f>IF(C352="Comum",ROUND(E352*1.3,0),"—")</f>
        <v/>
      </c>
      <c r="M352" s="161">
        <f>IF(C352="Comum",ROUND(F352*1.15,0),"—")</f>
        <v/>
      </c>
      <c r="N352" s="161">
        <f>IF(C352="Comum",G352+2,"—")</f>
        <v/>
      </c>
      <c r="O352" s="161">
        <f>IF(C352="Comum",ROUND(E352*1.6,0),"—")</f>
        <v/>
      </c>
      <c r="P352" s="161">
        <f>IF(C352="Comum",ROUND(F352*1.3,0),"—")</f>
        <v/>
      </c>
      <c r="Q352" s="161">
        <f>IF(C352="Comum",G352+4,"—")</f>
        <v/>
      </c>
      <c r="R352" s="242" t="n"/>
      <c r="S352" s="161">
        <f>ROUND(3+0.6*D352+IF(C352="Comum",0,IF(C352="Elite",2,IF(C352="Boss",4,6))),0)</f>
        <v/>
      </c>
      <c r="T352" s="161" t="inlineStr">
        <is>
          <t>Ouro + Presa Jovem de Devorador de Cavaleiros</t>
        </is>
      </c>
      <c r="U352" s="161" t="inlineStr">
        <is>
          <t>Atordoamento</t>
        </is>
      </c>
      <c r="V352" s="161" t="inlineStr">
        <is>
          <t>Necrófago</t>
        </is>
      </c>
      <c r="W352" s="161" t="inlineStr">
        <is>
          <t>Forja dos Titãs — Pátio, após combate vencido</t>
        </is>
      </c>
      <c r="X352" s="243" t="n"/>
      <c r="Y352" s="243" t="n"/>
      <c r="Z352" s="243" t="n"/>
      <c r="AA352" s="243" t="n"/>
    </row>
    <row r="353">
      <c r="A353" s="161" t="inlineStr">
        <is>
          <t>Adamantina</t>
        </is>
      </c>
      <c r="B353" s="161" t="inlineStr">
        <is>
          <t>Cavaleiro Fiel Ferido</t>
        </is>
      </c>
      <c r="C353" s="161" t="inlineStr">
        <is>
          <t>Comum</t>
        </is>
      </c>
      <c r="D353" s="161" t="n">
        <v>51</v>
      </c>
      <c r="E353" s="161">
        <f>ROUND(INDEX('Curva Mestra'!$F$20:$F$94,MATCH(D353,'Curva Mestra'!$A$20:$A$94,0)),0)</f>
        <v/>
      </c>
      <c r="F353" s="161">
        <f>ROUND(INDEX('Curva Mestra'!$C$20:$C$94,MATCH(D353,'Curva Mestra'!$A$20:$A$94,0))*INDEX($B$5:$B$8,MATCH(C353,$A$5:$A$8,0)),0)</f>
        <v/>
      </c>
      <c r="G353" s="161">
        <f>ROUND(INDEX('Curva Mestra'!$D$20:$D$94,MATCH(D353,'Curva Mestra'!$A$20:$A$94,0))+INDEX($C$5:$C$8,MATCH(C353,$A$5:$A$8,0)),0)</f>
        <v/>
      </c>
      <c r="H353" s="161" t="inlineStr">
        <is>
          <t>Cavaleiro fiel debilitado por ferimentos anteriores.</t>
        </is>
      </c>
      <c r="I353" s="161" t="inlineStr">
        <is>
          <t>Golpe de Lealdade Fraco</t>
        </is>
      </c>
      <c r="J353" s="161" t="inlineStr">
        <is>
          <t>Nenhum — 15% de chance de recusar lutar.</t>
        </is>
      </c>
      <c r="K353" s="161" t="inlineStr">
        <is>
          <t>Cavaleiro fiel já ferido, ainda mais relutante em lutar.</t>
        </is>
      </c>
      <c r="L353" s="161">
        <f>IF(C353="Comum",ROUND(E353*1.3,0),"—")</f>
        <v/>
      </c>
      <c r="M353" s="161">
        <f>IF(C353="Comum",ROUND(F353*1.15,0),"—")</f>
        <v/>
      </c>
      <c r="N353" s="161">
        <f>IF(C353="Comum",G353+2,"—")</f>
        <v/>
      </c>
      <c r="O353" s="161">
        <f>IF(C353="Comum",ROUND(E353*1.6,0),"—")</f>
        <v/>
      </c>
      <c r="P353" s="161">
        <f>IF(C353="Comum",ROUND(F353*1.3,0),"—")</f>
        <v/>
      </c>
      <c r="Q353" s="161">
        <f>IF(C353="Comum",G353+4,"—")</f>
        <v/>
      </c>
      <c r="R353" s="242" t="n"/>
      <c r="S353" s="161">
        <f>ROUND(3+0.6*D353+IF(C353="Comum",0,IF(C353="Elite",2,IF(C353="Boss",4,6))),0)</f>
        <v/>
      </c>
      <c r="T353" s="161" t="inlineStr">
        <is>
          <t>Ouro + Brasão Manchado de Cavaleiro Ferido</t>
        </is>
      </c>
      <c r="U353" s="161" t="inlineStr">
        <is>
          <t>Atordoamento</t>
        </is>
      </c>
      <c r="V353" s="161" t="inlineStr">
        <is>
          <t>Não-hostil condicional</t>
        </is>
      </c>
      <c r="W353" s="161" t="inlineStr">
        <is>
          <t>Forja dos Titãs — Pátio</t>
        </is>
      </c>
      <c r="X353" s="242" t="n"/>
      <c r="Y353" s="161" t="inlineStr">
        <is>
          <t>Se abordado em paz, pode se juntar como informante (quest).</t>
        </is>
      </c>
      <c r="Z353" s="242" t="n"/>
      <c r="AA353" s="242" t="n"/>
    </row>
    <row r="354">
      <c r="A354" s="161" t="inlineStr">
        <is>
          <t>Adamantina</t>
        </is>
      </c>
      <c r="B354" s="161" t="inlineStr">
        <is>
          <t>Cavaleiro Renegado</t>
        </is>
      </c>
      <c r="C354" s="161" t="inlineStr">
        <is>
          <t>Comum</t>
        </is>
      </c>
      <c r="D354" s="161" t="n">
        <v>52</v>
      </c>
      <c r="E354" s="161">
        <f>ROUND(INDEX('Curva Mestra'!$F$20:$F$94,MATCH(D354,'Curva Mestra'!$A$20:$A$94,0)),0)</f>
        <v/>
      </c>
      <c r="F354" s="161">
        <f>ROUND(INDEX('Curva Mestra'!$C$20:$C$94,MATCH(D354,'Curva Mestra'!$A$20:$A$94,0))*INDEX($B$5:$B$8,MATCH(C354,$A$5:$A$8,0)),0)</f>
        <v/>
      </c>
      <c r="G354" s="161">
        <f>ROUND(INDEX('Curva Mestra'!$D$20:$D$94,MATCH(D354,'Curva Mestra'!$A$20:$A$94,0))+INDEX($C$5:$C$8,MATCH(C354,$A$5:$A$8,0)),0)</f>
        <v/>
      </c>
      <c r="H354" s="161" t="inlineStr">
        <is>
          <t>Ronda a regiao do tier Adamantina</t>
        </is>
      </c>
      <c r="I354" s="161" t="inlineStr">
        <is>
          <t>Golpe Desertor</t>
        </is>
      </c>
      <c r="J354" s="161" t="inlineStr">
        <is>
          <t>Sem efeito mecânico além do dano — ataque direto.</t>
        </is>
      </c>
      <c r="K354" s="161" t="inlineStr">
        <is>
          <t>Ex-membro da Ordem que se juntou à Heresia, acreditando que reviver o Titã é a única defesa real contra a Mão.</t>
        </is>
      </c>
      <c r="L354" s="161">
        <f>IF(C354="Comum",ROUND(E354*1.3,0),"—")</f>
        <v/>
      </c>
      <c r="M354" s="161">
        <f>IF(C354="Comum",ROUND(F354*1.15,0),"—")</f>
        <v/>
      </c>
      <c r="N354" s="161">
        <f>IF(C354="Comum",G354+2,"—")</f>
        <v/>
      </c>
      <c r="O354" s="161">
        <f>IF(C354="Comum",ROUND(E354*1.6,0),"—")</f>
        <v/>
      </c>
      <c r="P354" s="161">
        <f>IF(C354="Comum",ROUND(F354*1.3,0),"—")</f>
        <v/>
      </c>
      <c r="Q354" s="161">
        <f>IF(C354="Comum",G354+4,"—")</f>
        <v/>
      </c>
      <c r="R354" s="161" t="inlineStr">
        <is>
          <t>A Heresia Silenciosa</t>
        </is>
      </c>
      <c r="S354" s="161">
        <f>ROUND(INDEX('Curva Mestra'!$D$20:$D$94,MATCH(D354,'Curva Mestra'!$A$20:$A$94,0))-IF(C354="Comum",9,IF(C354="Elite",6,IF(C354="Boss",4,3))),0)</f>
        <v/>
      </c>
      <c r="T354" s="161" t="inlineStr">
        <is>
          <t>Ouro + Fragmento de Coroa do Titã (chance rara)</t>
        </is>
      </c>
      <c r="U354" s="161" t="inlineStr">
        <is>
          <t>Vulnerável a Ignora Resistência Mágica — segue ordens antigas, sem vontade própria pra resistir.</t>
        </is>
      </c>
      <c r="V354" s="242" t="inlineStr">
        <is>
          <t>DPS</t>
        </is>
      </c>
      <c r="W354" s="242" t="inlineStr">
        <is>
          <t>Forja dos Titãs</t>
        </is>
      </c>
      <c r="X354" s="243" t="n"/>
      <c r="Y354" s="243" t="n"/>
      <c r="Z354" s="243" t="n"/>
      <c r="AA354" s="243" t="n"/>
    </row>
    <row r="355">
      <c r="A355" s="161" t="inlineStr">
        <is>
          <t>Adamantina</t>
        </is>
      </c>
      <c r="B355" s="161" t="inlineStr">
        <is>
          <t>Golem Menor de Guerra</t>
        </is>
      </c>
      <c r="C355" s="161" t="inlineStr">
        <is>
          <t>Comum</t>
        </is>
      </c>
      <c r="D355" s="161" t="n">
        <v>52</v>
      </c>
      <c r="E355" s="161">
        <f>ROUND(INDEX('Curva Mestra'!$F$20:$F$94,MATCH(D355,'Curva Mestra'!$A$20:$A$94,0)),0)</f>
        <v/>
      </c>
      <c r="F355" s="161">
        <f>ROUND(INDEX('Curva Mestra'!$C$20:$C$94,MATCH(D355,'Curva Mestra'!$A$20:$A$94,0))*INDEX($B$5:$B$8,MATCH(C355,$A$5:$A$8,0)),0)</f>
        <v/>
      </c>
      <c r="G355" s="161">
        <f>ROUND(INDEX('Curva Mestra'!$D$20:$D$94,MATCH(D355,'Curva Mestra'!$A$20:$A$94,0))+INDEX($C$5:$C$8,MATCH(C355,$A$5:$A$8,0)),0)</f>
        <v/>
      </c>
      <c r="H355" s="161" t="inlineStr">
        <is>
          <t>Golem menor, ainda funcional.</t>
        </is>
      </c>
      <c r="I355" s="161" t="inlineStr">
        <is>
          <t>Impacto Leve</t>
        </is>
      </c>
      <c r="J355" s="161" t="inlineStr">
        <is>
          <t>Nenhum efeito adicional.</t>
        </is>
      </c>
      <c r="K355" s="161" t="inlineStr">
        <is>
          <t>Fragmento pequeno do Golem de Guerra maior.</t>
        </is>
      </c>
      <c r="L355" s="161">
        <f>IF(C355="Comum",ROUND(E355*1.3,0),"—")</f>
        <v/>
      </c>
      <c r="M355" s="161">
        <f>IF(C355="Comum",ROUND(F355*1.15,0),"—")</f>
        <v/>
      </c>
      <c r="N355" s="161">
        <f>IF(C355="Comum",G355+2,"—")</f>
        <v/>
      </c>
      <c r="O355" s="161">
        <f>IF(C355="Comum",ROUND(E355*1.6,0),"—")</f>
        <v/>
      </c>
      <c r="P355" s="161">
        <f>IF(C355="Comum",ROUND(F355*1.3,0),"—")</f>
        <v/>
      </c>
      <c r="Q355" s="161">
        <f>IF(C355="Comum",G355+4,"—")</f>
        <v/>
      </c>
      <c r="R355" s="242" t="n"/>
      <c r="S355" s="161">
        <f>ROUND(3+0.6*D355+IF(C355="Comum",0,IF(C355="Elite",2,IF(C355="Boss",4,6))),0)</f>
        <v/>
      </c>
      <c r="T355" s="161" t="inlineStr">
        <is>
          <t>Ouro + Fragmento de Golem Menor de Guerra</t>
        </is>
      </c>
      <c r="U355" s="161" t="inlineStr">
        <is>
          <t>Ignora Resistência Mágica</t>
        </is>
      </c>
      <c r="V355" s="161" t="inlineStr">
        <is>
          <t>Tanque</t>
        </is>
      </c>
      <c r="W355" s="161" t="inlineStr">
        <is>
          <t>Forja dos Titãs — Pátio</t>
        </is>
      </c>
      <c r="X355" s="243" t="n"/>
      <c r="Y355" s="243" t="n"/>
      <c r="Z355" s="243" t="n"/>
      <c r="AA355" s="243" t="n"/>
    </row>
    <row r="356">
      <c r="A356" s="161" t="inlineStr">
        <is>
          <t>Adamantina</t>
        </is>
      </c>
      <c r="B356" s="161" t="inlineStr">
        <is>
          <t>Cavaleiro Fiel</t>
        </is>
      </c>
      <c r="C356" s="161" t="inlineStr">
        <is>
          <t>Comum</t>
        </is>
      </c>
      <c r="D356" s="161" t="n">
        <v>52</v>
      </c>
      <c r="E356" s="161">
        <f>ROUND(INDEX('Curva Mestra'!$F$20:$F$94,MATCH(D356,'Curva Mestra'!$A$20:$A$94,0)),0)</f>
        <v/>
      </c>
      <c r="F356" s="161">
        <f>ROUND(INDEX('Curva Mestra'!$C$20:$C$94,MATCH(D356,'Curva Mestra'!$A$20:$A$94,0))*INDEX($B$5:$B$8,MATCH(C356,$A$5:$A$8,0)),0)</f>
        <v/>
      </c>
      <c r="G356" s="161">
        <f>ROUND(INDEX('Curva Mestra'!$D$20:$D$94,MATCH(D356,'Curva Mestra'!$A$20:$A$94,0))+INDEX($C$5:$C$8,MATCH(C356,$A$5:$A$8,0)),0)</f>
        <v/>
      </c>
      <c r="H356" s="161" t="inlineStr">
        <is>
          <t>Cavaleiro que não abandonou o juramento original.</t>
        </is>
      </c>
      <c r="I356" s="161" t="inlineStr">
        <is>
          <t>Golpe de Lealdade</t>
        </is>
      </c>
      <c r="J356" s="161" t="inlineStr">
        <is>
          <t>Nenhum — 20% de chance de recusar lutar se abordado sem hostilidade.</t>
        </is>
      </c>
      <c r="K356" s="161" t="inlineStr">
        <is>
          <t>Ainda serve a antiga ordem, não ao Titã Negro. Confuso sobre o que restou pra defender.</t>
        </is>
      </c>
      <c r="L356" s="161">
        <f>IF(C356="Comum",ROUND(E356*1.3,0),"—")</f>
        <v/>
      </c>
      <c r="M356" s="161">
        <f>IF(C356="Comum",ROUND(F356*1.15,0),"—")</f>
        <v/>
      </c>
      <c r="N356" s="161">
        <f>IF(C356="Comum",G356+2,"—")</f>
        <v/>
      </c>
      <c r="O356" s="161">
        <f>IF(C356="Comum",ROUND(E356*1.6,0),"—")</f>
        <v/>
      </c>
      <c r="P356" s="161">
        <f>IF(C356="Comum",ROUND(F356*1.3,0),"—")</f>
        <v/>
      </c>
      <c r="Q356" s="161">
        <f>IF(C356="Comum",G356+4,"—")</f>
        <v/>
      </c>
      <c r="R356" s="242" t="n"/>
      <c r="S356" s="161">
        <f>ROUND(3+0.6*D356+IF(C356="Comum",0,IF(C356="Elite",2,IF(C356="Boss",4,6))),0)</f>
        <v/>
      </c>
      <c r="T356" s="161" t="inlineStr">
        <is>
          <t>Ouro + Brasão do Cavaleiro Fiel</t>
        </is>
      </c>
      <c r="U356" s="161" t="inlineStr">
        <is>
          <t>Atordoamento</t>
        </is>
      </c>
      <c r="V356" s="161" t="inlineStr">
        <is>
          <t>Não-hostil condicional</t>
        </is>
      </c>
      <c r="W356" s="161" t="inlineStr">
        <is>
          <t>Forja dos Titãs — Pátio</t>
        </is>
      </c>
      <c r="X356" s="243" t="n"/>
      <c r="Y356" s="241" t="inlineStr">
        <is>
          <t>Se abordado em paz, pode se juntar como informante (quest).</t>
        </is>
      </c>
      <c r="Z356" s="243" t="n"/>
      <c r="AA356" s="243" t="n"/>
    </row>
    <row r="357">
      <c r="A357" s="161" t="inlineStr">
        <is>
          <t>Adamantina</t>
        </is>
      </c>
      <c r="B357" s="161" t="inlineStr">
        <is>
          <t>Devorador de Cavaleiros Caídos</t>
        </is>
      </c>
      <c r="C357" s="161" t="inlineStr">
        <is>
          <t>Comum</t>
        </is>
      </c>
      <c r="D357" s="161" t="n">
        <v>52</v>
      </c>
      <c r="E357" s="161">
        <f>ROUND(INDEX('Curva Mestra'!$F$20:$F$94,MATCH(D357,'Curva Mestra'!$A$20:$A$94,0)),0)</f>
        <v/>
      </c>
      <c r="F357" s="161">
        <f>ROUND(INDEX('Curva Mestra'!$C$20:$C$94,MATCH(D357,'Curva Mestra'!$A$20:$A$94,0))*INDEX($B$5:$B$8,MATCH(C357,$A$5:$A$8,0)),0)</f>
        <v/>
      </c>
      <c r="G357" s="161">
        <f>ROUND(INDEX('Curva Mestra'!$D$20:$D$94,MATCH(D357,'Curva Mestra'!$A$20:$A$94,0))+INDEX($C$5:$C$8,MATCH(C357,$A$5:$A$8,0)),0)</f>
        <v/>
      </c>
      <c r="H357" s="161" t="inlineStr">
        <is>
          <t>Criatura que vive dos cavaleiros caídos.</t>
        </is>
      </c>
      <c r="I357" s="161" t="inlineStr">
        <is>
          <t>Mordida nas Placas</t>
        </is>
      </c>
      <c r="J357" s="161" t="inlineStr">
        <is>
          <t>Cura 5 HP se houver cadáver no local.</t>
        </is>
      </c>
      <c r="K357" s="161" t="inlineStr">
        <is>
          <t>Se alimenta do que resta dos cavaleiros que caem na Forja dos Titãs.</t>
        </is>
      </c>
      <c r="L357" s="161">
        <f>IF(C357="Comum",ROUND(E357*1.3,0),"—")</f>
        <v/>
      </c>
      <c r="M357" s="161">
        <f>IF(C357="Comum",ROUND(F357*1.15,0),"—")</f>
        <v/>
      </c>
      <c r="N357" s="161">
        <f>IF(C357="Comum",G357+2,"—")</f>
        <v/>
      </c>
      <c r="O357" s="161">
        <f>IF(C357="Comum",ROUND(E357*1.6,0),"—")</f>
        <v/>
      </c>
      <c r="P357" s="161">
        <f>IF(C357="Comum",ROUND(F357*1.3,0),"—")</f>
        <v/>
      </c>
      <c r="Q357" s="161">
        <f>IF(C357="Comum",G357+4,"—")</f>
        <v/>
      </c>
      <c r="R357" s="242" t="n"/>
      <c r="S357" s="161">
        <f>ROUND(3+0.6*D357+IF(C357="Comum",0,IF(C357="Elite",2,IF(C357="Boss",4,6))),0)</f>
        <v/>
      </c>
      <c r="T357" s="161" t="inlineStr">
        <is>
          <t>Ouro + Presa de Devorador de Cavaleiros Caídos</t>
        </is>
      </c>
      <c r="U357" s="161" t="inlineStr">
        <is>
          <t>Atordoamento</t>
        </is>
      </c>
      <c r="V357" s="161" t="inlineStr">
        <is>
          <t>Necrófago</t>
        </is>
      </c>
      <c r="W357" s="161" t="inlineStr">
        <is>
          <t>Forja dos Titãs — Pátio, após combate vencido</t>
        </is>
      </c>
      <c r="X357" s="243" t="n"/>
      <c r="Y357" s="243" t="n"/>
      <c r="Z357" s="242" t="n"/>
      <c r="AA357" s="243" t="n"/>
    </row>
    <row r="358">
      <c r="A358" s="161" t="inlineStr">
        <is>
          <t>Adamantina</t>
        </is>
      </c>
      <c r="B358" s="161" t="inlineStr">
        <is>
          <t>Cavaleiro Renegado Ferido</t>
        </is>
      </c>
      <c r="C358" s="161" t="inlineStr">
        <is>
          <t>Comum</t>
        </is>
      </c>
      <c r="D358" s="161" t="n">
        <v>52</v>
      </c>
      <c r="E358" s="161">
        <f>ROUND(INDEX('Curva Mestra'!$F$20:$F$94,MATCH(D358,'Curva Mestra'!$A$20:$A$94,0)),0)</f>
        <v/>
      </c>
      <c r="F358" s="161">
        <f>ROUND(INDEX('Curva Mestra'!$C$20:$C$94,MATCH(D358,'Curva Mestra'!$A$20:$A$94,0))*INDEX($B$5:$B$8,MATCH(C358,$A$5:$A$8,0)),0)</f>
        <v/>
      </c>
      <c r="G358" s="161">
        <f>ROUND(INDEX('Curva Mestra'!$D$20:$D$94,MATCH(D358,'Curva Mestra'!$A$20:$A$94,0))+INDEX($C$5:$C$8,MATCH(C358,$A$5:$A$8,0)),0)</f>
        <v/>
      </c>
      <c r="H358" s="161" t="inlineStr">
        <is>
          <t>Cavaleiro renegado em pior estado.</t>
        </is>
      </c>
      <c r="I358" s="161" t="inlineStr">
        <is>
          <t>Golpe Desertor Fraco</t>
        </is>
      </c>
      <c r="J358" s="161" t="inlineStr">
        <is>
          <t>+15% de chance de acerto abaixo de 50% HP.</t>
        </is>
      </c>
      <c r="K358" s="161" t="inlineStr">
        <is>
          <t>Desertor já ferido antes de te encontrar.</t>
        </is>
      </c>
      <c r="L358" s="161">
        <f>IF(C358="Comum",ROUND(E358*1.3,0),"—")</f>
        <v/>
      </c>
      <c r="M358" s="161">
        <f>IF(C358="Comum",ROUND(F358*1.15,0),"—")</f>
        <v/>
      </c>
      <c r="N358" s="161">
        <f>IF(C358="Comum",G358+2,"—")</f>
        <v/>
      </c>
      <c r="O358" s="161">
        <f>IF(C358="Comum",ROUND(E358*1.6,0),"—")</f>
        <v/>
      </c>
      <c r="P358" s="161">
        <f>IF(C358="Comum",ROUND(F358*1.3,0),"—")</f>
        <v/>
      </c>
      <c r="Q358" s="161">
        <f>IF(C358="Comum",G358+4,"—")</f>
        <v/>
      </c>
      <c r="R358" s="242" t="n"/>
      <c r="S358" s="161">
        <f>ROUND(3+0.6*D358+IF(C358="Comum",0,IF(C358="Elite",2,IF(C358="Boss",4,6))),0)</f>
        <v/>
      </c>
      <c r="T358" s="161" t="inlineStr">
        <is>
          <t>Ouro + Brasão Manchado do Desertor</t>
        </is>
      </c>
      <c r="U358" s="161" t="inlineStr">
        <is>
          <t>Fragilidade</t>
        </is>
      </c>
      <c r="V358" s="161" t="inlineStr">
        <is>
          <t>DPS</t>
        </is>
      </c>
      <c r="W358" s="161" t="inlineStr">
        <is>
          <t>Forja dos Titãs — Pátio</t>
        </is>
      </c>
      <c r="X358" s="243" t="n"/>
      <c r="Y358" s="243" t="n"/>
      <c r="Z358" s="243" t="n"/>
      <c r="AA358" s="243" t="n"/>
    </row>
    <row r="359">
      <c r="A359" s="161" t="inlineStr">
        <is>
          <t>Adamantina</t>
        </is>
      </c>
      <c r="B359" s="161" t="inlineStr">
        <is>
          <t>Sacerdote Menor Iniciante</t>
        </is>
      </c>
      <c r="C359" s="161" t="inlineStr">
        <is>
          <t>Comum</t>
        </is>
      </c>
      <c r="D359" s="161" t="n">
        <v>52</v>
      </c>
      <c r="E359" s="161">
        <f>ROUND(INDEX('Curva Mestra'!$F$20:$F$94,MATCH(D359,'Curva Mestra'!$A$20:$A$94,0)),0)</f>
        <v/>
      </c>
      <c r="F359" s="161">
        <f>ROUND(INDEX('Curva Mestra'!$C$20:$C$94,MATCH(D359,'Curva Mestra'!$A$20:$A$94,0))*INDEX($B$5:$B$8,MATCH(C359,$A$5:$A$8,0)),0)</f>
        <v/>
      </c>
      <c r="G359" s="161">
        <f>ROUND(INDEX('Curva Mestra'!$D$20:$D$94,MATCH(D359,'Curva Mestra'!$A$20:$A$94,0))+INDEX($C$5:$C$8,MATCH(C359,$A$5:$A$8,0)),0)</f>
        <v/>
      </c>
      <c r="H359" s="161" t="inlineStr">
        <is>
          <t>Iniciante nos rituais da Heresia.</t>
        </is>
      </c>
      <c r="I359" s="161" t="inlineStr">
        <is>
          <t>Bênção Muito Fraca</t>
        </is>
      </c>
      <c r="J359" s="161" t="inlineStr">
        <is>
          <t>Cura 2 HP/turno em 1 Devoto.</t>
        </is>
      </c>
      <c r="K359" s="161" t="inlineStr">
        <is>
          <t>Ainda mais novo que o Sacerdote Menor da Heresia.</t>
        </is>
      </c>
      <c r="L359" s="161">
        <f>IF(C359="Comum",ROUND(E359*1.3,0),"—")</f>
        <v/>
      </c>
      <c r="M359" s="161">
        <f>IF(C359="Comum",ROUND(F359*1.15,0),"—")</f>
        <v/>
      </c>
      <c r="N359" s="161">
        <f>IF(C359="Comum",G359+2,"—")</f>
        <v/>
      </c>
      <c r="O359" s="161">
        <f>IF(C359="Comum",ROUND(E359*1.6,0),"—")</f>
        <v/>
      </c>
      <c r="P359" s="161">
        <f>IF(C359="Comum",ROUND(F359*1.3,0),"—")</f>
        <v/>
      </c>
      <c r="Q359" s="161">
        <f>IF(C359="Comum",G359+4,"—")</f>
        <v/>
      </c>
      <c r="R359" s="242" t="n"/>
      <c r="S359" s="161">
        <f>ROUND(3+0.6*D359+IF(C359="Comum",0,IF(C359="Elite",2,IF(C359="Boss",4,6))),0)</f>
        <v/>
      </c>
      <c r="T359" s="161" t="inlineStr">
        <is>
          <t>Ouro + Amuleto do Sacerdote Iniciante</t>
        </is>
      </c>
      <c r="U359" s="161" t="inlineStr">
        <is>
          <t>Ignora Resistência Mágica</t>
        </is>
      </c>
      <c r="V359" s="161" t="inlineStr">
        <is>
          <t>Suporte</t>
        </is>
      </c>
      <c r="W359" s="161" t="inlineStr">
        <is>
          <t>Templo da Heresia</t>
        </is>
      </c>
      <c r="X359" s="243" t="n"/>
      <c r="Y359" s="243" t="n"/>
      <c r="Z359" s="243" t="n"/>
      <c r="AA359" s="243" t="n"/>
    </row>
    <row r="360">
      <c r="A360" s="161" t="inlineStr">
        <is>
          <t>Adamantina</t>
        </is>
      </c>
      <c r="B360" s="161" t="inlineStr">
        <is>
          <t>Rachadura Jovem da Placa</t>
        </is>
      </c>
      <c r="C360" s="161" t="inlineStr">
        <is>
          <t>Comum</t>
        </is>
      </c>
      <c r="D360" s="161" t="n">
        <v>52</v>
      </c>
      <c r="E360" s="161">
        <f>ROUND(INDEX('Curva Mestra'!$F$20:$F$94,MATCH(D360,'Curva Mestra'!$A$20:$A$94,0)),0)</f>
        <v/>
      </c>
      <c r="F360" s="161">
        <f>ROUND(INDEX('Curva Mestra'!$C$20:$C$94,MATCH(D360,'Curva Mestra'!$A$20:$A$94,0))*INDEX($B$5:$B$8,MATCH(C360,$A$5:$A$8,0)),0)</f>
        <v/>
      </c>
      <c r="G360" s="161">
        <f>ROUND(INDEX('Curva Mestra'!$D$20:$D$94,MATCH(D360,'Curva Mestra'!$A$20:$A$94,0))+INDEX($C$5:$C$8,MATCH(C360,$A$5:$A$8,0)),0)</f>
        <v/>
      </c>
      <c r="H360" s="161" t="inlineStr">
        <is>
          <t>Parasita jovem das rachaduras.</t>
        </is>
      </c>
      <c r="I360" s="161" t="inlineStr">
        <is>
          <t>Corrosão Fraca</t>
        </is>
      </c>
      <c r="J360" s="161" t="inlineStr">
        <is>
          <t>Fragilidade fraca — só com Constructo presente.</t>
        </is>
      </c>
      <c r="K360" s="161" t="inlineStr">
        <is>
          <t>Parasita jovem, menos desenvolvido.</t>
        </is>
      </c>
      <c r="L360" s="161">
        <f>IF(C360="Comum",ROUND(E360*1.3,0),"—")</f>
        <v/>
      </c>
      <c r="M360" s="161">
        <f>IF(C360="Comum",ROUND(F360*1.15,0),"—")</f>
        <v/>
      </c>
      <c r="N360" s="161">
        <f>IF(C360="Comum",G360+2,"—")</f>
        <v/>
      </c>
      <c r="O360" s="161">
        <f>IF(C360="Comum",ROUND(E360*1.6,0),"—")</f>
        <v/>
      </c>
      <c r="P360" s="161">
        <f>IF(C360="Comum",ROUND(F360*1.3,0),"—")</f>
        <v/>
      </c>
      <c r="Q360" s="161">
        <f>IF(C360="Comum",G360+4,"—")</f>
        <v/>
      </c>
      <c r="R360" s="242" t="n"/>
      <c r="S360" s="161">
        <f>ROUND(3+0.6*D360+IF(C360="Comum",0,IF(C360="Elite",2,IF(C360="Boss",4,6))),0)</f>
        <v/>
      </c>
      <c r="T360" s="161" t="inlineStr">
        <is>
          <t>Ouro + Fragmento de Rachadura Jovem</t>
        </is>
      </c>
      <c r="U360" s="161" t="inlineStr">
        <is>
          <t>Queimadura</t>
        </is>
      </c>
      <c r="V360" s="161" t="inlineStr">
        <is>
          <t>Parasita</t>
        </is>
      </c>
      <c r="W360" s="161" t="inlineStr">
        <is>
          <t>Forja dos Titãs, só com Constructo presente</t>
        </is>
      </c>
      <c r="X360" s="243" t="n"/>
      <c r="Y360" s="243" t="n"/>
      <c r="Z360" s="243" t="n"/>
      <c r="AA360" s="243" t="n"/>
    </row>
    <row r="361">
      <c r="A361" s="161" t="inlineStr">
        <is>
          <t>Adamantina</t>
        </is>
      </c>
      <c r="B361" s="161" t="inlineStr">
        <is>
          <t>Herege Silencioso Jovem</t>
        </is>
      </c>
      <c r="C361" s="161" t="inlineStr">
        <is>
          <t>Comum</t>
        </is>
      </c>
      <c r="D361" s="161" t="n">
        <v>52</v>
      </c>
      <c r="E361" s="161">
        <f>ROUND(INDEX('Curva Mestra'!$F$20:$F$94,MATCH(D361,'Curva Mestra'!$A$20:$A$94,0)),0)</f>
        <v/>
      </c>
      <c r="F361" s="161">
        <f>ROUND(INDEX('Curva Mestra'!$C$20:$C$94,MATCH(D361,'Curva Mestra'!$A$20:$A$94,0))*INDEX($B$5:$B$8,MATCH(C361,$A$5:$A$8,0)),0)</f>
        <v/>
      </c>
      <c r="G361" s="161">
        <f>ROUND(INDEX('Curva Mestra'!$D$20:$D$94,MATCH(D361,'Curva Mestra'!$A$20:$A$94,0))+INDEX($C$5:$C$8,MATCH(C361,$A$5:$A$8,0)),0)</f>
        <v/>
      </c>
      <c r="H361" s="161" t="inlineStr">
        <is>
          <t>Herege jovem, recém-integrado aos rituais.</t>
        </is>
      </c>
      <c r="I361" s="161" t="inlineStr">
        <is>
          <t>Golpe Ritual Fraco</t>
        </is>
      </c>
      <c r="J361" s="161" t="inlineStr">
        <is>
          <t>Atordoamento fraco — só ativo em cerimônia.</t>
        </is>
      </c>
      <c r="K361" s="161" t="inlineStr">
        <is>
          <t>Participante mais novo dos rituais do Titã Negro.</t>
        </is>
      </c>
      <c r="L361" s="161">
        <f>IF(C361="Comum",ROUND(E361*1.3,0),"—")</f>
        <v/>
      </c>
      <c r="M361" s="161">
        <f>IF(C361="Comum",ROUND(F361*1.15,0),"—")</f>
        <v/>
      </c>
      <c r="N361" s="161">
        <f>IF(C361="Comum",G361+2,"—")</f>
        <v/>
      </c>
      <c r="O361" s="161">
        <f>IF(C361="Comum",ROUND(E361*1.6,0),"—")</f>
        <v/>
      </c>
      <c r="P361" s="161">
        <f>IF(C361="Comum",ROUND(F361*1.3,0),"—")</f>
        <v/>
      </c>
      <c r="Q361" s="161">
        <f>IF(C361="Comum",G361+4,"—")</f>
        <v/>
      </c>
      <c r="R361" s="242" t="n"/>
      <c r="S361" s="161">
        <f>ROUND(3+0.6*D361+IF(C361="Comum",0,IF(C361="Elite",2,IF(C361="Boss",4,6))),0)</f>
        <v/>
      </c>
      <c r="T361" s="161" t="inlineStr">
        <is>
          <t>Ouro + Máscara Jovem de Herege</t>
        </is>
      </c>
      <c r="U361" s="161" t="inlineStr">
        <is>
          <t>Ignora Resistência Mágica</t>
        </is>
      </c>
      <c r="V361" s="161" t="inlineStr">
        <is>
          <t>Condicional</t>
        </is>
      </c>
      <c r="W361" s="161" t="inlineStr">
        <is>
          <t>Templo da Heresia, só durante cerimônia ativa</t>
        </is>
      </c>
      <c r="X361" s="243" t="n"/>
      <c r="Y361" s="243" t="n"/>
      <c r="Z361" s="243" t="n"/>
      <c r="AA361" s="243" t="n"/>
    </row>
    <row r="362">
      <c r="A362" s="161" t="inlineStr">
        <is>
          <t>Adamantina</t>
        </is>
      </c>
      <c r="B362" s="161" t="inlineStr">
        <is>
          <t>Devoto da Heresia</t>
        </is>
      </c>
      <c r="C362" s="161" t="inlineStr">
        <is>
          <t>Comum</t>
        </is>
      </c>
      <c r="D362" s="161" t="n">
        <v>53</v>
      </c>
      <c r="E362" s="161">
        <f>ROUND(INDEX('Curva Mestra'!$F$20:$F$94,MATCH(D362,'Curva Mestra'!$A$20:$A$94,0)),0)</f>
        <v/>
      </c>
      <c r="F362" s="161">
        <f>ROUND(INDEX('Curva Mestra'!$C$20:$C$94,MATCH(D362,'Curva Mestra'!$A$20:$A$94,0))*INDEX($B$5:$B$8,MATCH(C362,$A$5:$A$8,0)),0)</f>
        <v/>
      </c>
      <c r="G362" s="161">
        <f>ROUND(INDEX('Curva Mestra'!$D$20:$D$94,MATCH(D362,'Curva Mestra'!$A$20:$A$94,0))+INDEX($C$5:$C$8,MATCH(C362,$A$5:$A$8,0)),0)</f>
        <v/>
      </c>
      <c r="H362" s="161" t="inlineStr">
        <is>
          <t>Alto Bastião dos Caçadores, Heresia do Titã Negro, região de Adamantina.</t>
        </is>
      </c>
      <c r="I362" s="161" t="inlineStr">
        <is>
          <t>Fervor do Titã</t>
        </is>
      </c>
      <c r="J362" s="161" t="inlineStr">
        <is>
          <t>Ganha +1 de Defesa se lutar perto de um Constructo aliado.</t>
        </is>
      </c>
      <c r="K362" s="161" t="inlineStr">
        <is>
          <t>Cultista da Heresia do Titã Negro — acredita que fundir carne viva à armadura antiga vai reviver o guardião supremo.</t>
        </is>
      </c>
      <c r="L362" s="161">
        <f>IF(C362="Comum",ROUND(E362*1.3,0),"—")</f>
        <v/>
      </c>
      <c r="M362" s="161">
        <f>IF(C362="Comum",ROUND(F362*1.15,0),"—")</f>
        <v/>
      </c>
      <c r="N362" s="161">
        <f>IF(C362="Comum",G362+2,"—")</f>
        <v/>
      </c>
      <c r="O362" s="161">
        <f>IF(C362="Comum",ROUND(E362*1.6,0),"—")</f>
        <v/>
      </c>
      <c r="P362" s="161">
        <f>IF(C362="Comum",ROUND(F362*1.3,0),"—")</f>
        <v/>
      </c>
      <c r="Q362" s="161">
        <f>IF(C362="Comum",G362+4,"—")</f>
        <v/>
      </c>
      <c r="R362" s="161" t="inlineStr">
        <is>
          <t>A Heresia Silenciosa</t>
        </is>
      </c>
      <c r="S362" s="161">
        <f>ROUND(INDEX('Curva Mestra'!$D$20:$D$94,MATCH(D362,'Curva Mestra'!$A$20:$A$94,0))-IF(C362="Comum",9,IF(C362="Elite",6,IF(C362="Boss",4,3))),0)</f>
        <v/>
      </c>
      <c r="T362" s="161" t="inlineStr">
        <is>
          <t>Ouro + Fragmento de Coroa do Titã (chance rara)</t>
        </is>
      </c>
      <c r="U362" s="161" t="inlineStr">
        <is>
          <t>Vulnerável a Fogo — a carne corrompida queima rápido demais pra se regenerar.</t>
        </is>
      </c>
      <c r="V362" s="242" t="inlineStr">
        <is>
          <t>Suporte</t>
        </is>
      </c>
      <c r="W362" s="242" t="inlineStr">
        <is>
          <t>Forja dos Titãs</t>
        </is>
      </c>
      <c r="X362" s="243" t="n"/>
      <c r="Y362" s="243" t="n"/>
      <c r="Z362" s="243" t="n"/>
      <c r="AA362" s="243" t="n"/>
    </row>
    <row r="363">
      <c r="A363" s="161" t="inlineStr">
        <is>
          <t>Adamantina</t>
        </is>
      </c>
      <c r="B363" s="161" t="inlineStr">
        <is>
          <t>Devoto Recém-Convertido da Heresia</t>
        </is>
      </c>
      <c r="C363" s="161" t="inlineStr">
        <is>
          <t>Comum</t>
        </is>
      </c>
      <c r="D363" s="161" t="n">
        <v>53</v>
      </c>
      <c r="E363" s="161">
        <f>ROUND(INDEX('Curva Mestra'!$F$20:$F$94,MATCH(D363,'Curva Mestra'!$A$20:$A$94,0)),0)</f>
        <v/>
      </c>
      <c r="F363" s="161">
        <f>ROUND(INDEX('Curva Mestra'!$C$20:$C$94,MATCH(D363,'Curva Mestra'!$A$20:$A$94,0))*INDEX($B$5:$B$8,MATCH(C363,$A$5:$A$8,0)),0)</f>
        <v/>
      </c>
      <c r="G363" s="161">
        <f>ROUND(INDEX('Curva Mestra'!$D$20:$D$94,MATCH(D363,'Curva Mestra'!$A$20:$A$94,0))+INDEX($C$5:$C$8,MATCH(C363,$A$5:$A$8,0)),0)</f>
        <v/>
      </c>
      <c r="H363" s="161" t="inlineStr">
        <is>
          <t>Novo convertido do culto heresiarca.</t>
        </is>
      </c>
      <c r="I363" s="161" t="inlineStr">
        <is>
          <t>Golpe da Fé Nova</t>
        </is>
      </c>
      <c r="J363" s="161" t="inlineStr">
        <is>
          <t>Nenhum efeito adicional.</t>
        </is>
      </c>
      <c r="K363" s="161" t="inlineStr">
        <is>
          <t>Recém-chegado à Heresia do Titã Negro, ainda aprendendo os cânticos.</t>
        </is>
      </c>
      <c r="L363" s="161">
        <f>IF(C363="Comum",ROUND(E363*1.3,0),"—")</f>
        <v/>
      </c>
      <c r="M363" s="161">
        <f>IF(C363="Comum",ROUND(F363*1.15,0),"—")</f>
        <v/>
      </c>
      <c r="N363" s="161">
        <f>IF(C363="Comum",G363+2,"—")</f>
        <v/>
      </c>
      <c r="O363" s="161">
        <f>IF(C363="Comum",ROUND(E363*1.6,0),"—")</f>
        <v/>
      </c>
      <c r="P363" s="161">
        <f>IF(C363="Comum",ROUND(F363*1.3,0),"—")</f>
        <v/>
      </c>
      <c r="Q363" s="161">
        <f>IF(C363="Comum",G363+4,"—")</f>
        <v/>
      </c>
      <c r="R363" s="242" t="n"/>
      <c r="S363" s="161">
        <f>ROUND(3+0.6*D363+IF(C363="Comum",0,IF(C363="Elite",2,IF(C363="Boss",4,6))),0)</f>
        <v/>
      </c>
      <c r="T363" s="161" t="inlineStr">
        <is>
          <t>Ouro + Manto Novo de Devoto Recém-Convertido</t>
        </is>
      </c>
      <c r="U363" s="161" t="inlineStr">
        <is>
          <t>Ignora Defesa</t>
        </is>
      </c>
      <c r="V363" s="161" t="inlineStr">
        <is>
          <t>DPS fraco</t>
        </is>
      </c>
      <c r="W363" s="161" t="inlineStr">
        <is>
          <t>Templo da Heresia</t>
        </is>
      </c>
      <c r="X363" s="243" t="n"/>
      <c r="Y363" s="243" t="n"/>
      <c r="Z363" s="243" t="n"/>
      <c r="AA363" s="243" t="n"/>
    </row>
    <row r="364">
      <c r="A364" s="161" t="inlineStr">
        <is>
          <t>Adamantina</t>
        </is>
      </c>
      <c r="B364" s="161" t="inlineStr">
        <is>
          <t>Campeão Adamantino Menor</t>
        </is>
      </c>
      <c r="C364" s="161" t="inlineStr">
        <is>
          <t>Comum</t>
        </is>
      </c>
      <c r="D364" s="161" t="n">
        <v>53</v>
      </c>
      <c r="E364" s="161">
        <f>ROUND(INDEX('Curva Mestra'!$F$20:$F$94,MATCH(D364,'Curva Mestra'!$A$20:$A$94,0)),0)</f>
        <v/>
      </c>
      <c r="F364" s="161">
        <f>ROUND(INDEX('Curva Mestra'!$C$20:$C$94,MATCH(D364,'Curva Mestra'!$A$20:$A$94,0))*INDEX($B$5:$B$8,MATCH(C364,$A$5:$A$8,0)),0)</f>
        <v/>
      </c>
      <c r="G364" s="161">
        <f>ROUND(INDEX('Curva Mestra'!$D$20:$D$94,MATCH(D364,'Curva Mestra'!$A$20:$A$94,0))+INDEX($C$5:$C$8,MATCH(C364,$A$5:$A$8,0)),0)</f>
        <v/>
      </c>
      <c r="H364" s="161" t="inlineStr">
        <is>
          <t>Segue os passos do Campeão Adamantino principal.</t>
        </is>
      </c>
      <c r="I364" s="161" t="inlineStr">
        <is>
          <t>Golpe Inquebrável Fraco</t>
        </is>
      </c>
      <c r="J364" s="161" t="inlineStr">
        <is>
          <t>Nenhum efeito adicional.</t>
        </is>
      </c>
      <c r="K364" s="161" t="inlineStr">
        <is>
          <t>Aspirante a Campeão, ainda não provou o próprio valor em combate real.</t>
        </is>
      </c>
      <c r="L364" s="161">
        <f>IF(C364="Comum",ROUND(E364*1.3,0),"—")</f>
        <v/>
      </c>
      <c r="M364" s="161">
        <f>IF(C364="Comum",ROUND(F364*1.15,0),"—")</f>
        <v/>
      </c>
      <c r="N364" s="161">
        <f>IF(C364="Comum",G364+2,"—")</f>
        <v/>
      </c>
      <c r="O364" s="161">
        <f>IF(C364="Comum",ROUND(E364*1.6,0),"—")</f>
        <v/>
      </c>
      <c r="P364" s="161">
        <f>IF(C364="Comum",ROUND(F364*1.3,0),"—")</f>
        <v/>
      </c>
      <c r="Q364" s="161">
        <f>IF(C364="Comum",G364+4,"—")</f>
        <v/>
      </c>
      <c r="R364" s="242" t="n"/>
      <c r="S364" s="161">
        <f>ROUND(3+0.6*D364+IF(C364="Comum",0,IF(C364="Elite",2,IF(C364="Boss",4,6))),0)</f>
        <v/>
      </c>
      <c r="T364" s="161" t="inlineStr">
        <is>
          <t>Ouro + Fragmento de Armadura Inquebrável</t>
        </is>
      </c>
      <c r="U364" s="161" t="inlineStr">
        <is>
          <t>Fragilidade</t>
        </is>
      </c>
      <c r="V364" s="161" t="inlineStr">
        <is>
          <t>DPS</t>
        </is>
      </c>
      <c r="W364" s="161" t="inlineStr">
        <is>
          <t>Forja dos Titãs — Pátio</t>
        </is>
      </c>
      <c r="X364" s="243" t="n"/>
      <c r="Y364" s="243" t="n"/>
      <c r="Z364" s="243" t="n"/>
      <c r="AA364" s="243" t="n"/>
    </row>
    <row r="365">
      <c r="A365" s="161" t="inlineStr">
        <is>
          <t>Adamantina</t>
        </is>
      </c>
      <c r="B365" s="161" t="inlineStr">
        <is>
          <t>Rachadura Viva da Placa</t>
        </is>
      </c>
      <c r="C365" s="161" t="inlineStr">
        <is>
          <t>Comum</t>
        </is>
      </c>
      <c r="D365" s="161" t="n">
        <v>53</v>
      </c>
      <c r="E365" s="161">
        <f>ROUND(INDEX('Curva Mestra'!$F$20:$F$94,MATCH(D365,'Curva Mestra'!$A$20:$A$94,0)),0)</f>
        <v/>
      </c>
      <c r="F365" s="161">
        <f>ROUND(INDEX('Curva Mestra'!$C$20:$C$94,MATCH(D365,'Curva Mestra'!$A$20:$A$94,0))*INDEX($B$5:$B$8,MATCH(C365,$A$5:$A$8,0)),0)</f>
        <v/>
      </c>
      <c r="G365" s="161">
        <f>ROUND(INDEX('Curva Mestra'!$D$20:$D$94,MATCH(D365,'Curva Mestra'!$A$20:$A$94,0))+INDEX($C$5:$C$8,MATCH(C365,$A$5:$A$8,0)),0)</f>
        <v/>
      </c>
      <c r="H365" s="161" t="inlineStr">
        <is>
          <t>Parasita que vive nas rachaduras dos constructos.</t>
        </is>
      </c>
      <c r="I365" s="161" t="inlineStr">
        <is>
          <t>Corrosão da Placa</t>
        </is>
      </c>
      <c r="J365" s="161" t="inlineStr">
        <is>
          <t>Fragilidade — só aparece com Constructo Titânico presente.</t>
        </is>
      </c>
      <c r="K365" s="161" t="inlineStr">
        <is>
          <t>Cresce nas rachaduras dos constructos titânicos, alimenta-se do metal exposto.</t>
        </is>
      </c>
      <c r="L365" s="161">
        <f>IF(C365="Comum",ROUND(E365*1.3,0),"—")</f>
        <v/>
      </c>
      <c r="M365" s="161">
        <f>IF(C365="Comum",ROUND(F365*1.15,0),"—")</f>
        <v/>
      </c>
      <c r="N365" s="161">
        <f>IF(C365="Comum",G365+2,"—")</f>
        <v/>
      </c>
      <c r="O365" s="161">
        <f>IF(C365="Comum",ROUND(E365*1.6,0),"—")</f>
        <v/>
      </c>
      <c r="P365" s="161">
        <f>IF(C365="Comum",ROUND(F365*1.3,0),"—")</f>
        <v/>
      </c>
      <c r="Q365" s="161">
        <f>IF(C365="Comum",G365+4,"—")</f>
        <v/>
      </c>
      <c r="R365" s="242" t="n"/>
      <c r="S365" s="161">
        <f>ROUND(3+0.6*D365+IF(C365="Comum",0,IF(C365="Elite",2,IF(C365="Boss",4,6))),0)</f>
        <v/>
      </c>
      <c r="T365" s="161" t="inlineStr">
        <is>
          <t>Ouro + Fragmento de Rachadura Viva</t>
        </is>
      </c>
      <c r="U365" s="161" t="inlineStr">
        <is>
          <t>Queimadura</t>
        </is>
      </c>
      <c r="V365" s="161" t="inlineStr">
        <is>
          <t>Parasita</t>
        </is>
      </c>
      <c r="W365" s="161" t="inlineStr">
        <is>
          <t>Forja dos Titãs, só com Constructo presente</t>
        </is>
      </c>
      <c r="X365" s="243" t="n"/>
      <c r="Y365" s="243" t="n"/>
      <c r="Z365" s="243" t="n"/>
      <c r="AA365" s="243" t="n"/>
    </row>
    <row r="366">
      <c r="A366" s="161" t="inlineStr">
        <is>
          <t>Adamantina</t>
        </is>
      </c>
      <c r="B366" s="161" t="inlineStr">
        <is>
          <t>Herege Silencioso</t>
        </is>
      </c>
      <c r="C366" s="161" t="inlineStr">
        <is>
          <t>Comum</t>
        </is>
      </c>
      <c r="D366" s="161" t="n">
        <v>53</v>
      </c>
      <c r="E366" s="161">
        <f>ROUND(INDEX('Curva Mestra'!$F$20:$F$94,MATCH(D366,'Curva Mestra'!$A$20:$A$94,0)),0)</f>
        <v/>
      </c>
      <c r="F366" s="161">
        <f>ROUND(INDEX('Curva Mestra'!$C$20:$C$94,MATCH(D366,'Curva Mestra'!$A$20:$A$94,0))*INDEX($B$5:$B$8,MATCH(C366,$A$5:$A$8,0)),0)</f>
        <v/>
      </c>
      <c r="G366" s="161">
        <f>ROUND(INDEX('Curva Mestra'!$D$20:$D$94,MATCH(D366,'Curva Mestra'!$A$20:$A$94,0))+INDEX($C$5:$C$8,MATCH(C366,$A$5:$A$8,0)),0)</f>
        <v/>
      </c>
      <c r="H366" s="161" t="inlineStr">
        <is>
          <t>Herege que só age durante os rituais formais.</t>
        </is>
      </c>
      <c r="I366" s="161" t="inlineStr">
        <is>
          <t>Golpe Ritual</t>
        </is>
      </c>
      <c r="J366" s="161" t="inlineStr">
        <is>
          <t>Atordoamento — só ativo durante cerimônia do Heresiarca.</t>
        </is>
      </c>
      <c r="K366" s="161" t="inlineStr">
        <is>
          <t>Participa dos rituais do Titã Negro apenas quando o Heresiarca conduz a cerimônia completa.</t>
        </is>
      </c>
      <c r="L366" s="161">
        <f>IF(C366="Comum",ROUND(E366*1.3,0),"—")</f>
        <v/>
      </c>
      <c r="M366" s="161">
        <f>IF(C366="Comum",ROUND(F366*1.15,0),"—")</f>
        <v/>
      </c>
      <c r="N366" s="161">
        <f>IF(C366="Comum",G366+2,"—")</f>
        <v/>
      </c>
      <c r="O366" s="161">
        <f>IF(C366="Comum",ROUND(E366*1.6,0),"—")</f>
        <v/>
      </c>
      <c r="P366" s="161">
        <f>IF(C366="Comum",ROUND(F366*1.3,0),"—")</f>
        <v/>
      </c>
      <c r="Q366" s="161">
        <f>IF(C366="Comum",G366+4,"—")</f>
        <v/>
      </c>
      <c r="R366" s="242" t="n"/>
      <c r="S366" s="161">
        <f>ROUND(3+0.6*D366+IF(C366="Comum",0,IF(C366="Elite",2,IF(C366="Boss",4,6))),0)</f>
        <v/>
      </c>
      <c r="T366" s="161" t="inlineStr">
        <is>
          <t>Ouro + Máscara de Herege Silencioso</t>
        </is>
      </c>
      <c r="U366" s="161" t="inlineStr">
        <is>
          <t>Ignora Resistência Mágica</t>
        </is>
      </c>
      <c r="V366" s="161" t="inlineStr">
        <is>
          <t>Condicional</t>
        </is>
      </c>
      <c r="W366" s="161" t="inlineStr">
        <is>
          <t>Templo da Heresia, só durante cerimônia ativa</t>
        </is>
      </c>
      <c r="X366" s="243" t="n"/>
      <c r="Y366" s="243" t="n"/>
      <c r="Z366" s="243" t="n"/>
      <c r="AA366" s="243" t="n"/>
    </row>
    <row r="367">
      <c r="A367" s="161" t="inlineStr">
        <is>
          <t>Adamantina</t>
        </is>
      </c>
      <c r="B367" s="161" t="inlineStr">
        <is>
          <t>Devoto da Heresia Jovem</t>
        </is>
      </c>
      <c r="C367" s="161" t="inlineStr">
        <is>
          <t>Comum</t>
        </is>
      </c>
      <c r="D367" s="161" t="n">
        <v>53</v>
      </c>
      <c r="E367" s="161">
        <f>ROUND(INDEX('Curva Mestra'!$F$20:$F$94,MATCH(D367,'Curva Mestra'!$A$20:$A$94,0)),0)</f>
        <v/>
      </c>
      <c r="F367" s="161">
        <f>ROUND(INDEX('Curva Mestra'!$C$20:$C$94,MATCH(D367,'Curva Mestra'!$A$20:$A$94,0))*INDEX($B$5:$B$8,MATCH(C367,$A$5:$A$8,0)),0)</f>
        <v/>
      </c>
      <c r="G367" s="161">
        <f>ROUND(INDEX('Curva Mestra'!$D$20:$D$94,MATCH(D367,'Curva Mestra'!$A$20:$A$94,0))+INDEX($C$5:$C$8,MATCH(C367,$A$5:$A$8,0)),0)</f>
        <v/>
      </c>
      <c r="H367" s="161" t="inlineStr">
        <is>
          <t>Convertido muito recente à Heresia.</t>
        </is>
      </c>
      <c r="I367" s="161" t="inlineStr">
        <is>
          <t>Fervor Fraco</t>
        </is>
      </c>
      <c r="J367" s="161" t="inlineStr">
        <is>
          <t>Nenhum efeito adicional.</t>
        </is>
      </c>
      <c r="K367" s="161" t="inlineStr">
        <is>
          <t>Mais novo no culto que o Devoto Recém-Convertido.</t>
        </is>
      </c>
      <c r="L367" s="161">
        <f>IF(C367="Comum",ROUND(E367*1.3,0),"—")</f>
        <v/>
      </c>
      <c r="M367" s="161">
        <f>IF(C367="Comum",ROUND(F367*1.15,0),"—")</f>
        <v/>
      </c>
      <c r="N367" s="161">
        <f>IF(C367="Comum",G367+2,"—")</f>
        <v/>
      </c>
      <c r="O367" s="161">
        <f>IF(C367="Comum",ROUND(E367*1.6,0),"—")</f>
        <v/>
      </c>
      <c r="P367" s="161">
        <f>IF(C367="Comum",ROUND(F367*1.3,0),"—")</f>
        <v/>
      </c>
      <c r="Q367" s="161">
        <f>IF(C367="Comum",G367+4,"—")</f>
        <v/>
      </c>
      <c r="R367" s="242" t="n"/>
      <c r="S367" s="161">
        <f>ROUND(3+0.6*D367+IF(C367="Comum",0,IF(C367="Elite",2,IF(C367="Boss",4,6))),0)</f>
        <v/>
      </c>
      <c r="T367" s="161" t="inlineStr">
        <is>
          <t>Ouro + Manto Jovem de Devoto</t>
        </is>
      </c>
      <c r="U367" s="161" t="inlineStr">
        <is>
          <t>Ignora Defesa</t>
        </is>
      </c>
      <c r="V367" s="161" t="inlineStr">
        <is>
          <t>DPS fraco</t>
        </is>
      </c>
      <c r="W367" s="161" t="inlineStr">
        <is>
          <t>Templo da Heresia</t>
        </is>
      </c>
      <c r="X367" s="243" t="n"/>
      <c r="Y367" s="243" t="n"/>
      <c r="Z367" s="243" t="n"/>
      <c r="AA367" s="243" t="n"/>
    </row>
    <row r="368">
      <c r="A368" s="161" t="inlineStr">
        <is>
          <t>Adamantina</t>
        </is>
      </c>
      <c r="B368" s="161" t="inlineStr">
        <is>
          <t>Carne-Metal Jovem</t>
        </is>
      </c>
      <c r="C368" s="161" t="inlineStr">
        <is>
          <t>Comum</t>
        </is>
      </c>
      <c r="D368" s="161" t="n">
        <v>53</v>
      </c>
      <c r="E368" s="161">
        <f>ROUND(INDEX('Curva Mestra'!$F$20:$F$94,MATCH(D368,'Curva Mestra'!$A$20:$A$94,0)),0)</f>
        <v/>
      </c>
      <c r="F368" s="161">
        <f>ROUND(INDEX('Curva Mestra'!$C$20:$C$94,MATCH(D368,'Curva Mestra'!$A$20:$A$94,0))*INDEX($B$5:$B$8,MATCH(C368,$A$5:$A$8,0)),0)</f>
        <v/>
      </c>
      <c r="G368" s="161">
        <f>ROUND(INDEX('Curva Mestra'!$D$20:$D$94,MATCH(D368,'Curva Mestra'!$A$20:$A$94,0))+INDEX($C$5:$C$8,MATCH(C368,$A$5:$A$8,0)),0)</f>
        <v/>
      </c>
      <c r="H368" s="161" t="inlineStr">
        <is>
          <t>Fusão jovem, ainda instável.</t>
        </is>
      </c>
      <c r="I368" s="161" t="inlineStr">
        <is>
          <t>Placas Instáveis</t>
        </is>
      </c>
      <c r="J368" s="161" t="inlineStr">
        <is>
          <t>Nenhum efeito adicional.</t>
        </is>
      </c>
      <c r="K368" s="161" t="inlineStr">
        <is>
          <t>Fusão de metal e carne mais recente.</t>
        </is>
      </c>
      <c r="L368" s="161">
        <f>IF(C368="Comum",ROUND(E368*1.3,0),"—")</f>
        <v/>
      </c>
      <c r="M368" s="161">
        <f>IF(C368="Comum",ROUND(F368*1.15,0),"—")</f>
        <v/>
      </c>
      <c r="N368" s="161">
        <f>IF(C368="Comum",G368+2,"—")</f>
        <v/>
      </c>
      <c r="O368" s="161">
        <f>IF(C368="Comum",ROUND(E368*1.6,0),"—")</f>
        <v/>
      </c>
      <c r="P368" s="161">
        <f>IF(C368="Comum",ROUND(F368*1.3,0),"—")</f>
        <v/>
      </c>
      <c r="Q368" s="161">
        <f>IF(C368="Comum",G368+4,"—")</f>
        <v/>
      </c>
      <c r="R368" s="242" t="n"/>
      <c r="S368" s="161">
        <f>ROUND(3+0.6*D368+IF(C368="Comum",0,IF(C368="Elite",2,IF(C368="Boss",4,6))),0)</f>
        <v/>
      </c>
      <c r="T368" s="161" t="inlineStr">
        <is>
          <t>Ouro + Amostra de Carne-Metal Jovem</t>
        </is>
      </c>
      <c r="U368" s="161" t="inlineStr">
        <is>
          <t>Ignora Resistência Mágica</t>
        </is>
      </c>
      <c r="V368" s="161" t="inlineStr">
        <is>
          <t>DPS</t>
        </is>
      </c>
      <c r="W368" s="161" t="inlineStr">
        <is>
          <t>Templo da Heresia</t>
        </is>
      </c>
      <c r="X368" s="243" t="n"/>
      <c r="Y368" s="243" t="n"/>
      <c r="Z368" s="243" t="n"/>
      <c r="AA368" s="243" t="n"/>
    </row>
    <row r="369">
      <c r="A369" s="161" t="inlineStr">
        <is>
          <t>Adamantina</t>
        </is>
      </c>
      <c r="B369" s="161" t="inlineStr">
        <is>
          <t>Campeão Adamantino Ferido</t>
        </is>
      </c>
      <c r="C369" s="161" t="inlineStr">
        <is>
          <t>Comum</t>
        </is>
      </c>
      <c r="D369" s="161" t="n">
        <v>53</v>
      </c>
      <c r="E369" s="161">
        <f>ROUND(INDEX('Curva Mestra'!$F$20:$F$94,MATCH(D369,'Curva Mestra'!$A$20:$A$94,0)),0)</f>
        <v/>
      </c>
      <c r="F369" s="161">
        <f>ROUND(INDEX('Curva Mestra'!$C$20:$C$94,MATCH(D369,'Curva Mestra'!$A$20:$A$94,0))*INDEX($B$5:$B$8,MATCH(C369,$A$5:$A$8,0)),0)</f>
        <v/>
      </c>
      <c r="G369" s="161">
        <f>ROUND(INDEX('Curva Mestra'!$D$20:$D$94,MATCH(D369,'Curva Mestra'!$A$20:$A$94,0))+INDEX($C$5:$C$8,MATCH(C369,$A$5:$A$8,0)),0)</f>
        <v/>
      </c>
      <c r="H369" s="161" t="inlineStr">
        <is>
          <t>Campeão menor ferido.</t>
        </is>
      </c>
      <c r="I369" s="161" t="inlineStr">
        <is>
          <t>Golpe Inquebrável Cansado</t>
        </is>
      </c>
      <c r="J369" s="161" t="inlineStr">
        <is>
          <t>+15% de chance de acerto abaixo de 50% HP.</t>
        </is>
      </c>
      <c r="K369" s="161" t="inlineStr">
        <is>
          <t>Campeão menor já desgastado por combates anteriores.</t>
        </is>
      </c>
      <c r="L369" s="161">
        <f>IF(C369="Comum",ROUND(E369*1.3,0),"—")</f>
        <v/>
      </c>
      <c r="M369" s="161">
        <f>IF(C369="Comum",ROUND(F369*1.15,0),"—")</f>
        <v/>
      </c>
      <c r="N369" s="161">
        <f>IF(C369="Comum",G369+2,"—")</f>
        <v/>
      </c>
      <c r="O369" s="161">
        <f>IF(C369="Comum",ROUND(E369*1.6,0),"—")</f>
        <v/>
      </c>
      <c r="P369" s="161">
        <f>IF(C369="Comum",ROUND(F369*1.3,0),"—")</f>
        <v/>
      </c>
      <c r="Q369" s="161">
        <f>IF(C369="Comum",G369+4,"—")</f>
        <v/>
      </c>
      <c r="R369" s="242" t="n"/>
      <c r="S369" s="161">
        <f>ROUND(3+0.6*D369+IF(C369="Comum",0,IF(C369="Elite",2,IF(C369="Boss",4,6))),0)</f>
        <v/>
      </c>
      <c r="T369" s="161" t="inlineStr">
        <is>
          <t>Ouro + Placa Rachada de Adamantina</t>
        </is>
      </c>
      <c r="U369" s="161" t="inlineStr">
        <is>
          <t>Fragilidade</t>
        </is>
      </c>
      <c r="V369" s="161" t="inlineStr">
        <is>
          <t>DPS</t>
        </is>
      </c>
      <c r="W369" s="161" t="inlineStr">
        <is>
          <t>Forja dos Titãs — Pátio</t>
        </is>
      </c>
      <c r="X369" s="243" t="n"/>
      <c r="Y369" s="243" t="n"/>
      <c r="Z369" s="243" t="n"/>
      <c r="AA369" s="243" t="n"/>
    </row>
    <row r="370">
      <c r="A370" s="161" t="inlineStr">
        <is>
          <t>Adamantina</t>
        </is>
      </c>
      <c r="B370" s="161" t="inlineStr">
        <is>
          <t>Constructo Titânico Muito Menor</t>
        </is>
      </c>
      <c r="C370" s="161" t="inlineStr">
        <is>
          <t>Comum</t>
        </is>
      </c>
      <c r="D370" s="161" t="n">
        <v>53</v>
      </c>
      <c r="E370" s="161">
        <f>ROUND(INDEX('Curva Mestra'!$F$20:$F$94,MATCH(D370,'Curva Mestra'!$A$20:$A$94,0)),0)</f>
        <v/>
      </c>
      <c r="F370" s="161">
        <f>ROUND(INDEX('Curva Mestra'!$C$20:$C$94,MATCH(D370,'Curva Mestra'!$A$20:$A$94,0))*INDEX($B$5:$B$8,MATCH(C370,$A$5:$A$8,0)),0)</f>
        <v/>
      </c>
      <c r="G370" s="161">
        <f>ROUND(INDEX('Curva Mestra'!$D$20:$D$94,MATCH(D370,'Curva Mestra'!$A$20:$A$94,0))+INDEX($C$5:$C$8,MATCH(C370,$A$5:$A$8,0)),0)</f>
        <v/>
      </c>
      <c r="H370" s="161" t="inlineStr">
        <is>
          <t>Constructo em miniatura.</t>
        </is>
      </c>
      <c r="I370" s="161" t="inlineStr">
        <is>
          <t>Pisada Muito Fraca</t>
        </is>
      </c>
      <c r="J370" s="161" t="inlineStr">
        <is>
          <t>Nenhum efeito adicional.</t>
        </is>
      </c>
      <c r="K370" s="161" t="inlineStr">
        <is>
          <t>Fragmento ainda menor do Constructo Titânico Menor.</t>
        </is>
      </c>
      <c r="L370" s="161">
        <f>IF(C370="Comum",ROUND(E370*1.3,0),"—")</f>
        <v/>
      </c>
      <c r="M370" s="161">
        <f>IF(C370="Comum",ROUND(F370*1.15,0),"—")</f>
        <v/>
      </c>
      <c r="N370" s="161">
        <f>IF(C370="Comum",G370+2,"—")</f>
        <v/>
      </c>
      <c r="O370" s="161">
        <f>IF(C370="Comum",ROUND(E370*1.6,0),"—")</f>
        <v/>
      </c>
      <c r="P370" s="161">
        <f>IF(C370="Comum",ROUND(F370*1.3,0),"—")</f>
        <v/>
      </c>
      <c r="Q370" s="161">
        <f>IF(C370="Comum",G370+4,"—")</f>
        <v/>
      </c>
      <c r="R370" s="242" t="n"/>
      <c r="S370" s="161">
        <f>ROUND(3+0.6*D370+IF(C370="Comum",0,IF(C370="Elite",2,IF(C370="Boss",4,6))),0)</f>
        <v/>
      </c>
      <c r="T370" s="161" t="inlineStr">
        <is>
          <t>Ouro + Fragmento de Constructo Muito Menor</t>
        </is>
      </c>
      <c r="U370" s="161" t="inlineStr">
        <is>
          <t>Ignora Resistência Mágica</t>
        </is>
      </c>
      <c r="V370" s="161" t="inlineStr">
        <is>
          <t>Tanque</t>
        </is>
      </c>
      <c r="W370" s="161" t="inlineStr">
        <is>
          <t>Forja dos Titãs — Pátio</t>
        </is>
      </c>
      <c r="X370" s="243" t="n"/>
      <c r="Y370" s="243" t="n"/>
      <c r="Z370" s="243" t="n"/>
      <c r="AA370" s="243" t="n"/>
    </row>
    <row r="371">
      <c r="A371" s="161" t="inlineStr">
        <is>
          <t>Adamantina</t>
        </is>
      </c>
      <c r="B371" s="161" t="inlineStr">
        <is>
          <t>Carne-Metal Andante</t>
        </is>
      </c>
      <c r="C371" s="161" t="inlineStr">
        <is>
          <t>Comum</t>
        </is>
      </c>
      <c r="D371" s="161" t="n">
        <v>54</v>
      </c>
      <c r="E371" s="161">
        <f>ROUND(INDEX('Curva Mestra'!$F$20:$F$94,MATCH(D371,'Curva Mestra'!$A$20:$A$94,0)),0)</f>
        <v/>
      </c>
      <c r="F371" s="161">
        <f>ROUND(INDEX('Curva Mestra'!$C$20:$C$94,MATCH(D371,'Curva Mestra'!$A$20:$A$94,0))*INDEX($B$5:$B$8,MATCH(C371,$A$5:$A$8,0)),0)</f>
        <v/>
      </c>
      <c r="G371" s="161">
        <f>ROUND(INDEX('Curva Mestra'!$D$20:$D$94,MATCH(D371,'Curva Mestra'!$A$20:$A$94,0))+INDEX($C$5:$C$8,MATCH(C371,$A$5:$A$8,0)),0)</f>
        <v/>
      </c>
      <c r="H371" s="161" t="inlineStr">
        <is>
          <t>Alto Bastião dos Caçadores, Heresia do Titã Negro, região de Adamantina.</t>
        </is>
      </c>
      <c r="I371" s="161" t="inlineStr">
        <is>
          <t>Placas Vivas</t>
        </is>
      </c>
      <c r="J371" s="161" t="inlineStr">
        <is>
          <t>Reduz o dano de golpes cortantes recebido em 2.</t>
        </is>
      </c>
      <c r="K371" s="161" t="inlineStr">
        <is>
          <t>Experimento da Heresia fundindo carne viva a placas de adamantina — um eco distorcido do Culto da Assimilação encontrando o culto dos titãs.</t>
        </is>
      </c>
      <c r="L371" s="161">
        <f>IF(C371="Comum",ROUND(E371*1.3,0),"—")</f>
        <v/>
      </c>
      <c r="M371" s="161">
        <f>IF(C371="Comum",ROUND(F371*1.15,0),"—")</f>
        <v/>
      </c>
      <c r="N371" s="161">
        <f>IF(C371="Comum",G371+2,"—")</f>
        <v/>
      </c>
      <c r="O371" s="161">
        <f>IF(C371="Comum",ROUND(E371*1.6,0),"—")</f>
        <v/>
      </c>
      <c r="P371" s="161">
        <f>IF(C371="Comum",ROUND(F371*1.3,0),"—")</f>
        <v/>
      </c>
      <c r="Q371" s="161">
        <f>IF(C371="Comum",G371+4,"—")</f>
        <v/>
      </c>
      <c r="R371" s="161" t="inlineStr">
        <is>
          <t>O Constructo Corrompido</t>
        </is>
      </c>
      <c r="S371" s="161">
        <f>ROUND(INDEX('Curva Mestra'!$D$20:$D$94,MATCH(D371,'Curva Mestra'!$A$20:$A$94,0))-IF(C371="Comum",9,IF(C371="Elite",6,IF(C371="Boss",4,3))),0)</f>
        <v/>
      </c>
      <c r="T371" s="161" t="inlineStr">
        <is>
          <t>Ouro + Fragmento de Coroa do Titã (chance rara)</t>
        </is>
      </c>
      <c r="U371" s="161" t="inlineStr">
        <is>
          <t>Vulnerável a Fogo — a carne corrompida queima rápido demais pra se regenerar.</t>
        </is>
      </c>
      <c r="V371" s="242" t="inlineStr">
        <is>
          <t>DPS</t>
        </is>
      </c>
      <c r="W371" s="242" t="inlineStr">
        <is>
          <t>Forja dos Titãs</t>
        </is>
      </c>
      <c r="X371" s="243" t="n"/>
      <c r="Y371" s="243" t="n"/>
      <c r="Z371" s="243" t="n"/>
      <c r="AA371" s="243" t="n"/>
    </row>
    <row r="372">
      <c r="A372" s="161" t="inlineStr">
        <is>
          <t>Adamantina</t>
        </is>
      </c>
      <c r="B372" s="161" t="inlineStr">
        <is>
          <t>Carne-Metal Rastejante</t>
        </is>
      </c>
      <c r="C372" s="161" t="inlineStr">
        <is>
          <t>Comum</t>
        </is>
      </c>
      <c r="D372" s="161" t="n">
        <v>54</v>
      </c>
      <c r="E372" s="161">
        <f>ROUND(INDEX('Curva Mestra'!$F$20:$F$94,MATCH(D372,'Curva Mestra'!$A$20:$A$94,0)),0)</f>
        <v/>
      </c>
      <c r="F372" s="161">
        <f>ROUND(INDEX('Curva Mestra'!$C$20:$C$94,MATCH(D372,'Curva Mestra'!$A$20:$A$94,0))*INDEX($B$5:$B$8,MATCH(C372,$A$5:$A$8,0)),0)</f>
        <v/>
      </c>
      <c r="G372" s="161">
        <f>ROUND(INDEX('Curva Mestra'!$D$20:$D$94,MATCH(D372,'Curva Mestra'!$A$20:$A$94,0))+INDEX($C$5:$C$8,MATCH(C372,$A$5:$A$8,0)),0)</f>
        <v/>
      </c>
      <c r="H372" s="161" t="inlineStr">
        <is>
          <t>Variante mais antiga da Carne-Metal Andante.</t>
        </is>
      </c>
      <c r="I372" s="161" t="inlineStr">
        <is>
          <t>Placas Arrastadas</t>
        </is>
      </c>
      <c r="J372" s="161" t="inlineStr">
        <is>
          <t>Fragilidade — variante mais lenta e resistente.</t>
        </is>
      </c>
      <c r="K372" s="161" t="inlineStr">
        <is>
          <t>Fusão mais antiga, o metal já cresceu fundo na carne.</t>
        </is>
      </c>
      <c r="L372" s="161">
        <f>IF(C372="Comum",ROUND(E372*1.3,0),"—")</f>
        <v/>
      </c>
      <c r="M372" s="161">
        <f>IF(C372="Comum",ROUND(F372*1.15,0),"—")</f>
        <v/>
      </c>
      <c r="N372" s="161">
        <f>IF(C372="Comum",G372+2,"—")</f>
        <v/>
      </c>
      <c r="O372" s="161">
        <f>IF(C372="Comum",ROUND(E372*1.6,0),"—")</f>
        <v/>
      </c>
      <c r="P372" s="161">
        <f>IF(C372="Comum",ROUND(F372*1.3,0),"—")</f>
        <v/>
      </c>
      <c r="Q372" s="161">
        <f>IF(C372="Comum",G372+4,"—")</f>
        <v/>
      </c>
      <c r="R372" s="242" t="n"/>
      <c r="S372" s="161">
        <f>ROUND(3+0.6*D372+IF(C372="Comum",0,IF(C372="Elite",2,IF(C372="Boss",4,6))),0)</f>
        <v/>
      </c>
      <c r="T372" s="161" t="inlineStr">
        <is>
          <t>Ouro + Amostra de Carne-Metal Rastejante</t>
        </is>
      </c>
      <c r="U372" s="161" t="inlineStr">
        <is>
          <t>Ignora Resistência Mágica</t>
        </is>
      </c>
      <c r="V372" s="161" t="inlineStr">
        <is>
          <t>Tanque</t>
        </is>
      </c>
      <c r="W372" s="161" t="inlineStr">
        <is>
          <t>Templo da Heresia</t>
        </is>
      </c>
      <c r="X372" s="243" t="n"/>
      <c r="Y372" s="243" t="n"/>
      <c r="Z372" s="243" t="n"/>
      <c r="AA372" s="243" t="n"/>
    </row>
    <row r="373">
      <c r="A373" s="161" t="inlineStr">
        <is>
          <t>Adamantina</t>
        </is>
      </c>
      <c r="B373" s="161" t="inlineStr">
        <is>
          <t>Campeao Adamantino</t>
        </is>
      </c>
      <c r="C373" s="161" t="inlineStr">
        <is>
          <t>Elite</t>
        </is>
      </c>
      <c r="D373" s="161" t="n">
        <v>53</v>
      </c>
      <c r="E373" s="161">
        <f>ROUND(INDEX('Curva Mestra'!$G$20:$G$94,MATCH(D373,'Curva Mestra'!$A$20:$A$94,0)),0)</f>
        <v/>
      </c>
      <c r="F373" s="161">
        <f>ROUND(INDEX('Curva Mestra'!$C$20:$C$94,MATCH(D373,'Curva Mestra'!$A$20:$A$94,0))*INDEX($B$5:$B$8,MATCH(C373,$A$5:$A$8,0)),0)</f>
        <v/>
      </c>
      <c r="G373" s="161">
        <f>ROUND(INDEX('Curva Mestra'!$D$20:$D$94,MATCH(D373,'Curva Mestra'!$A$20:$A$94,0))+INDEX($C$5:$C$8,MATCH(C373,$A$5:$A$8,0)),0)</f>
        <v/>
      </c>
      <c r="H373" s="161" t="inlineStr">
        <is>
          <t>Encontro dificil dentro do tier Adamantina</t>
        </is>
      </c>
      <c r="I373" s="161" t="inlineStr">
        <is>
          <t>Golpe Inquebrável</t>
        </is>
      </c>
      <c r="J373" s="161" t="inlineStr">
        <is>
          <t>Ignora 1 ponto de Defesa do alvo.</t>
        </is>
      </c>
      <c r="K373" s="161" t="inlineStr">
        <is>
          <t>Guerreiro de elite da Ordem, treinado por Roderick em pessoa — não sabe que parte de seus companheiros já pertence à Heresia.</t>
        </is>
      </c>
      <c r="L373" s="161">
        <f>IF(C373="Comum",ROUND(E373*1.3,0),"—")</f>
        <v/>
      </c>
      <c r="M373" s="161">
        <f>IF(C373="Comum",ROUND(F373*1.15,0),"—")</f>
        <v/>
      </c>
      <c r="N373" s="161">
        <f>IF(C373="Comum",G373+2,"—")</f>
        <v/>
      </c>
      <c r="O373" s="161">
        <f>IF(C373="Comum",ROUND(E373*1.6,0),"—")</f>
        <v/>
      </c>
      <c r="P373" s="161">
        <f>IF(C373="Comum",ROUND(F373*1.3,0),"—")</f>
        <v/>
      </c>
      <c r="Q373" s="161">
        <f>IF(C373="Comum",G373+4,"—")</f>
        <v/>
      </c>
      <c r="R373" s="161" t="inlineStr">
        <is>
          <t>A Heresia Silenciosa</t>
        </is>
      </c>
      <c r="S373" s="161">
        <f>ROUND(INDEX('Curva Mestra'!$D$20:$D$94,MATCH(D373,'Curva Mestra'!$A$20:$A$94,0))-IF(C373="Comum",9,IF(C373="Elite",6,IF(C373="Boss",4,3))),0)</f>
        <v/>
      </c>
      <c r="T373" s="161" t="inlineStr">
        <is>
          <t>Fragmento de Campeao Adamantino + Ouro + Fragmento de Coroa do Titã (chance baixa)</t>
        </is>
      </c>
      <c r="U373" s="161" t="inlineStr">
        <is>
          <t>Sem fraqueza óbvia — precisa de Knowledge alto pra descobrir algo específico.</t>
        </is>
      </c>
      <c r="V373" s="242" t="inlineStr">
        <is>
          <t>DPS</t>
        </is>
      </c>
      <c r="W373" s="242" t="inlineStr">
        <is>
          <t>Forja dos Titãs</t>
        </is>
      </c>
      <c r="X373" s="243" t="n"/>
      <c r="Y373" s="243" t="n"/>
      <c r="Z373" s="243" t="n"/>
      <c r="AA373" s="243" t="n"/>
    </row>
    <row r="374">
      <c r="A374" s="161" t="inlineStr">
        <is>
          <t>Adamantina</t>
        </is>
      </c>
      <c r="B374" s="161" t="inlineStr">
        <is>
          <t>Golem Fragmentado Menor</t>
        </is>
      </c>
      <c r="C374" s="161" t="inlineStr">
        <is>
          <t>Elite</t>
        </is>
      </c>
      <c r="D374" s="161" t="n">
        <v>53</v>
      </c>
      <c r="E374" s="161">
        <f>ROUND(INDEX('Curva Mestra'!$G$20:$G$94,MATCH(D374,'Curva Mestra'!$A$20:$A$94,0)),0)</f>
        <v/>
      </c>
      <c r="F374" s="161">
        <f>ROUND(INDEX('Curva Mestra'!$C$20:$C$94,MATCH(D374,'Curva Mestra'!$A$20:$A$94,0))*INDEX($B$5:$B$8,MATCH(C374,$A$5:$A$8,0)),0)</f>
        <v/>
      </c>
      <c r="G374" s="161">
        <f>ROUND(INDEX('Curva Mestra'!$D$20:$D$94,MATCH(D374,'Curva Mestra'!$A$20:$A$94,0))+INDEX($C$5:$C$8,MATCH(C374,$A$5:$A$8,0)),0)</f>
        <v/>
      </c>
      <c r="H374" s="161" t="inlineStr">
        <is>
          <t>Fragmento menor e mais instável.</t>
        </is>
      </c>
      <c r="I374" s="161" t="inlineStr">
        <is>
          <t>Colapso Menor</t>
        </is>
      </c>
      <c r="J374" s="161" t="inlineStr">
        <is>
          <t>Ao ser destruído, libera 1 Golem Muito Menor com 50% HP.</t>
        </is>
      </c>
      <c r="K374" s="161" t="inlineStr">
        <is>
          <t>Versão menor do Golem Fragmentado de Adamantina.</t>
        </is>
      </c>
      <c r="L374" s="161">
        <f>IF(C374="Comum",ROUND(E374*1.3,0),"—")</f>
        <v/>
      </c>
      <c r="M374" s="161">
        <f>IF(C374="Comum",ROUND(F374*1.15,0),"—")</f>
        <v/>
      </c>
      <c r="N374" s="161">
        <f>IF(C374="Comum",G374+2,"—")</f>
        <v/>
      </c>
      <c r="O374" s="161">
        <f>IF(C374="Comum",ROUND(E374*1.6,0),"—")</f>
        <v/>
      </c>
      <c r="P374" s="161">
        <f>IF(C374="Comum",ROUND(F374*1.3,0),"—")</f>
        <v/>
      </c>
      <c r="Q374" s="161">
        <f>IF(C374="Comum",G374+4,"—")</f>
        <v/>
      </c>
      <c r="R374" s="242" t="n"/>
      <c r="S374" s="161">
        <f>ROUND(3+0.6*D374+IF(C374="Comum",0,IF(C374="Elite",2,IF(C374="Boss",4,6))),0)</f>
        <v/>
      </c>
      <c r="T374" s="161" t="inlineStr">
        <is>
          <t>Ouro + Fragmento de Golem Fragmentado Menor + Fragmento de Coroa do Titã (chance baixa)</t>
        </is>
      </c>
      <c r="U374" s="161" t="inlineStr">
        <is>
          <t>Ignora Resistência Mágica</t>
        </is>
      </c>
      <c r="V374" s="161" t="inlineStr">
        <is>
          <t>Tanque/Invocador</t>
        </is>
      </c>
      <c r="W374" s="161" t="inlineStr">
        <is>
          <t>Forja dos Titãs — Pátio</t>
        </is>
      </c>
      <c r="X374" s="241" t="inlineStr">
        <is>
          <t>Ao chegar a 0 HP, libera 1 Golem Muito Menor.</t>
        </is>
      </c>
      <c r="Y374" s="243" t="n"/>
      <c r="Z374" s="243" t="n"/>
      <c r="AA374" s="243" t="n"/>
    </row>
    <row r="375">
      <c r="A375" s="161" t="inlineStr">
        <is>
          <t>Adamantina</t>
        </is>
      </c>
      <c r="B375" s="161" t="inlineStr">
        <is>
          <t>Constructo Titânico Corrompido</t>
        </is>
      </c>
      <c r="C375" s="161" t="inlineStr">
        <is>
          <t>Elite</t>
        </is>
      </c>
      <c r="D375" s="161" t="n">
        <v>54</v>
      </c>
      <c r="E375" s="161">
        <f>ROUND(INDEX('Curva Mestra'!$G$20:$G$94,MATCH(D375,'Curva Mestra'!$A$20:$A$94,0)),0)</f>
        <v/>
      </c>
      <c r="F375" s="161">
        <f>ROUND(INDEX('Curva Mestra'!$C$20:$C$94,MATCH(D375,'Curva Mestra'!$A$20:$A$94,0))*INDEX($B$5:$B$8,MATCH(C375,$A$5:$A$8,0)),0)</f>
        <v/>
      </c>
      <c r="G375" s="161">
        <f>ROUND(INDEX('Curva Mestra'!$D$20:$D$94,MATCH(D375,'Curva Mestra'!$A$20:$A$94,0))+INDEX($C$5:$C$8,MATCH(C375,$A$5:$A$8,0)),0)</f>
        <v/>
      </c>
      <c r="H375" s="161" t="inlineStr">
        <is>
          <t>Alto Bastião dos Caçadores, Heresia do Titã Negro, região de Adamantina.</t>
        </is>
      </c>
      <c r="I375" s="161" t="inlineStr">
        <is>
          <t>Pisada Sísmica</t>
        </is>
      </c>
      <c r="J375" s="161" t="inlineStr">
        <is>
          <t>Reduz o Ataque do herói em 2 no turno seguinte ao impacto. Também aplica: Ignora 1 ponto de Defesa do alvo.</t>
        </is>
      </c>
      <c r="K375" s="161" t="inlineStr">
        <is>
          <t>Antigo guardião de adamantina coberto por tentáculos de carne — a Heresia conseguiu religá-lo, mas não controlá-lo de verdade.</t>
        </is>
      </c>
      <c r="L375" s="161">
        <f>IF(C375="Comum",ROUND(E375*1.3,0),"—")</f>
        <v/>
      </c>
      <c r="M375" s="161">
        <f>IF(C375="Comum",ROUND(F375*1.15,0),"—")</f>
        <v/>
      </c>
      <c r="N375" s="161">
        <f>IF(C375="Comum",G375+2,"—")</f>
        <v/>
      </c>
      <c r="O375" s="161">
        <f>IF(C375="Comum",ROUND(E375*1.6,0),"—")</f>
        <v/>
      </c>
      <c r="P375" s="161">
        <f>IF(C375="Comum",ROUND(F375*1.3,0),"—")</f>
        <v/>
      </c>
      <c r="Q375" s="161">
        <f>IF(C375="Comum",G375+4,"—")</f>
        <v/>
      </c>
      <c r="R375" s="161" t="inlineStr">
        <is>
          <t>O Constructo Corrompido</t>
        </is>
      </c>
      <c r="S375" s="161">
        <f>ROUND(INDEX('Curva Mestra'!$D$20:$D$94,MATCH(D375,'Curva Mestra'!$A$20:$A$94,0))-IF(C375="Comum",9,IF(C375="Elite",6,IF(C375="Boss",4,3))),0)</f>
        <v/>
      </c>
      <c r="T375" s="161" t="inlineStr">
        <is>
          <t>Núcleo de Constructo Titânico Corrompido + Ouro + Fragmento de Coroa do Titã (chance baixa)</t>
        </is>
      </c>
      <c r="U375" s="161" t="inlineStr">
        <is>
          <t>Vulnerável a Atordoamento — travas mecânicas emperram com o dobro de chance.</t>
        </is>
      </c>
      <c r="V375" s="242" t="inlineStr">
        <is>
          <t>DPS</t>
        </is>
      </c>
      <c r="W375" s="242" t="inlineStr">
        <is>
          <t>Forja dos Titãs</t>
        </is>
      </c>
      <c r="X375" s="243" t="n"/>
      <c r="Y375" s="243" t="n"/>
      <c r="Z375" s="243" t="n"/>
      <c r="AA375" s="243" t="n"/>
    </row>
    <row r="376">
      <c r="A376" s="161" t="inlineStr">
        <is>
          <t>Adamantina</t>
        </is>
      </c>
      <c r="B376" s="161" t="inlineStr">
        <is>
          <t>Golem Fragmentado de Adamantina</t>
        </is>
      </c>
      <c r="C376" s="161" t="inlineStr">
        <is>
          <t>Elite</t>
        </is>
      </c>
      <c r="D376" s="161" t="n">
        <v>54</v>
      </c>
      <c r="E376" s="161">
        <f>ROUND(INDEX('Curva Mestra'!$G$20:$G$94,MATCH(D376,'Curva Mestra'!$A$20:$A$94,0)),0)</f>
        <v/>
      </c>
      <c r="F376" s="161">
        <f>ROUND(INDEX('Curva Mestra'!$C$20:$C$94,MATCH(D376,'Curva Mestra'!$A$20:$A$94,0))*INDEX($B$5:$B$8,MATCH(C376,$A$5:$A$8,0)),0)</f>
        <v/>
      </c>
      <c r="G376" s="161">
        <f>ROUND(INDEX('Curva Mestra'!$D$20:$D$94,MATCH(D376,'Curva Mestra'!$A$20:$A$94,0))+INDEX($C$5:$C$8,MATCH(C376,$A$5:$A$8,0)),0)</f>
        <v/>
      </c>
      <c r="H376" s="161" t="inlineStr">
        <is>
          <t>Fragmento instável de um Golem maior.</t>
        </is>
      </c>
      <c r="I376" s="161" t="inlineStr">
        <is>
          <t>Colapso Titânico</t>
        </is>
      </c>
      <c r="J376" s="161" t="inlineStr">
        <is>
          <t>Ao ser destruído, libera 2 Golens Menores de Guerra com 50% HP.</t>
        </is>
      </c>
      <c r="K376" s="161" t="inlineStr">
        <is>
          <t>Golem grande demais pra Infecção controlar direito.</t>
        </is>
      </c>
      <c r="L376" s="161">
        <f>IF(C376="Comum",ROUND(E376*1.3,0),"—")</f>
        <v/>
      </c>
      <c r="M376" s="161">
        <f>IF(C376="Comum",ROUND(F376*1.15,0),"—")</f>
        <v/>
      </c>
      <c r="N376" s="161">
        <f>IF(C376="Comum",G376+2,"—")</f>
        <v/>
      </c>
      <c r="O376" s="161">
        <f>IF(C376="Comum",ROUND(E376*1.6,0),"—")</f>
        <v/>
      </c>
      <c r="P376" s="161">
        <f>IF(C376="Comum",ROUND(F376*1.3,0),"—")</f>
        <v/>
      </c>
      <c r="Q376" s="161">
        <f>IF(C376="Comum",G376+4,"—")</f>
        <v/>
      </c>
      <c r="R376" s="242" t="n"/>
      <c r="S376" s="161">
        <f>ROUND(3+0.6*D376+IF(C376="Comum",0,IF(C376="Elite",2,IF(C376="Boss",4,6))),0)</f>
        <v/>
      </c>
      <c r="T376" s="161" t="inlineStr">
        <is>
          <t>Ouro + Fragmento de Golem Fragmentado de Adamantina + Fragmento de Coroa do Titã (chance baixa)</t>
        </is>
      </c>
      <c r="U376" s="161" t="inlineStr">
        <is>
          <t>Ignora Resistência Mágica</t>
        </is>
      </c>
      <c r="V376" s="161" t="inlineStr">
        <is>
          <t>Tanque/Invocador</t>
        </is>
      </c>
      <c r="W376" s="161" t="inlineStr">
        <is>
          <t>Forja dos Titãs — Pátio</t>
        </is>
      </c>
      <c r="X376" s="241" t="inlineStr">
        <is>
          <t>Ao chegar a 0 HP, libera 2 Golens Menores em vez de morrer.</t>
        </is>
      </c>
      <c r="Y376" s="243" t="n"/>
      <c r="Z376" s="243" t="n"/>
      <c r="AA376" s="243" t="n"/>
    </row>
    <row r="377">
      <c r="A377" s="161" t="inlineStr">
        <is>
          <t>Adamantina</t>
        </is>
      </c>
      <c r="B377" s="161" t="inlineStr">
        <is>
          <t>Constructo Titânico Menor</t>
        </is>
      </c>
      <c r="C377" s="161" t="inlineStr">
        <is>
          <t>Elite</t>
        </is>
      </c>
      <c r="D377" s="161" t="n">
        <v>54</v>
      </c>
      <c r="E377" s="161">
        <f>ROUND(INDEX('Curva Mestra'!$G$20:$G$94,MATCH(D377,'Curva Mestra'!$A$20:$A$94,0)),0)</f>
        <v/>
      </c>
      <c r="F377" s="161">
        <f>ROUND(INDEX('Curva Mestra'!$C$20:$C$94,MATCH(D377,'Curva Mestra'!$A$20:$A$94,0))*INDEX($B$5:$B$8,MATCH(C377,$A$5:$A$8,0)),0)</f>
        <v/>
      </c>
      <c r="G377" s="161">
        <f>ROUND(INDEX('Curva Mestra'!$D$20:$D$94,MATCH(D377,'Curva Mestra'!$A$20:$A$94,0))+INDEX($C$5:$C$8,MATCH(C377,$A$5:$A$8,0)),0)</f>
        <v/>
      </c>
      <c r="H377" s="161" t="inlineStr">
        <is>
          <t>Constructo menor, ainda em construção quando corrompido.</t>
        </is>
      </c>
      <c r="I377" s="161" t="inlineStr">
        <is>
          <t>Pisada Firme</t>
        </is>
      </c>
      <c r="J377" s="161" t="inlineStr">
        <is>
          <t>Fragilidade (equipamento).</t>
        </is>
      </c>
      <c r="K377" s="161" t="inlineStr">
        <is>
          <t>Fragmento funcional do Constructo Titânico Corrompido maior.</t>
        </is>
      </c>
      <c r="L377" s="161">
        <f>IF(C377="Comum",ROUND(E377*1.3,0),"—")</f>
        <v/>
      </c>
      <c r="M377" s="161">
        <f>IF(C377="Comum",ROUND(F377*1.15,0),"—")</f>
        <v/>
      </c>
      <c r="N377" s="161">
        <f>IF(C377="Comum",G377+2,"—")</f>
        <v/>
      </c>
      <c r="O377" s="161">
        <f>IF(C377="Comum",ROUND(E377*1.6,0),"—")</f>
        <v/>
      </c>
      <c r="P377" s="161">
        <f>IF(C377="Comum",ROUND(F377*1.3,0),"—")</f>
        <v/>
      </c>
      <c r="Q377" s="161">
        <f>IF(C377="Comum",G377+4,"—")</f>
        <v/>
      </c>
      <c r="R377" s="242" t="n"/>
      <c r="S377" s="161">
        <f>ROUND(3+0.6*D377+IF(C377="Comum",0,IF(C377="Elite",2,IF(C377="Boss",4,6))),0)</f>
        <v/>
      </c>
      <c r="T377" s="161" t="inlineStr">
        <is>
          <t>Ouro + Núcleo de Constructo Titânico Menor + Fragmento de Coroa do Titã (chance baixa)</t>
        </is>
      </c>
      <c r="U377" s="161" t="inlineStr">
        <is>
          <t>Ignora Resistência Mágica</t>
        </is>
      </c>
      <c r="V377" s="161" t="inlineStr">
        <is>
          <t>Tanque</t>
        </is>
      </c>
      <c r="W377" s="161" t="inlineStr">
        <is>
          <t>Forja dos Titãs — Pátio</t>
        </is>
      </c>
      <c r="X377" s="243" t="n"/>
      <c r="Y377" s="243" t="n"/>
      <c r="Z377" s="243" t="n"/>
      <c r="AA377" s="243" t="n"/>
    </row>
    <row r="378">
      <c r="A378" s="161" t="inlineStr">
        <is>
          <t>Adamantina</t>
        </is>
      </c>
      <c r="B378" s="161" t="inlineStr">
        <is>
          <t>Sacerdote Menor da Heresia</t>
        </is>
      </c>
      <c r="C378" s="161" t="inlineStr">
        <is>
          <t>Elite</t>
        </is>
      </c>
      <c r="D378" s="161" t="n">
        <v>54</v>
      </c>
      <c r="E378" s="161">
        <f>ROUND(INDEX('Curva Mestra'!$G$20:$G$94,MATCH(D378,'Curva Mestra'!$A$20:$A$94,0)),0)</f>
        <v/>
      </c>
      <c r="F378" s="161">
        <f>ROUND(INDEX('Curva Mestra'!$C$20:$C$94,MATCH(D378,'Curva Mestra'!$A$20:$A$94,0))*INDEX($B$5:$B$8,MATCH(C378,$A$5:$A$8,0)),0)</f>
        <v/>
      </c>
      <c r="G378" s="161">
        <f>ROUND(INDEX('Curva Mestra'!$D$20:$D$94,MATCH(D378,'Curva Mestra'!$A$20:$A$94,0))+INDEX($C$5:$C$8,MATCH(C378,$A$5:$A$8,0)),0)</f>
        <v/>
      </c>
      <c r="H378" s="161" t="inlineStr">
        <is>
          <t>Discípulo direto do Heresiarca do Titã Negro.</t>
        </is>
      </c>
      <c r="I378" s="161" t="inlineStr">
        <is>
          <t>Bênção do Titã Negro</t>
        </is>
      </c>
      <c r="J378" s="161" t="inlineStr">
        <is>
          <t>Cura 4 HP/turno em todos os Devotos vivos no combate.</t>
        </is>
      </c>
      <c r="K378" s="161" t="inlineStr">
        <is>
          <t>Aprendiz do Heresiarca, prega a fé em escala menor.</t>
        </is>
      </c>
      <c r="L378" s="161">
        <f>IF(C378="Comum",ROUND(E378*1.3,0),"—")</f>
        <v/>
      </c>
      <c r="M378" s="161">
        <f>IF(C378="Comum",ROUND(F378*1.15,0),"—")</f>
        <v/>
      </c>
      <c r="N378" s="161">
        <f>IF(C378="Comum",G378+2,"—")</f>
        <v/>
      </c>
      <c r="O378" s="161">
        <f>IF(C378="Comum",ROUND(E378*1.6,0),"—")</f>
        <v/>
      </c>
      <c r="P378" s="161">
        <f>IF(C378="Comum",ROUND(F378*1.3,0),"—")</f>
        <v/>
      </c>
      <c r="Q378" s="161">
        <f>IF(C378="Comum",G378+4,"—")</f>
        <v/>
      </c>
      <c r="R378" s="242" t="n"/>
      <c r="S378" s="161">
        <f>ROUND(3+0.6*D378+IF(C378="Comum",0,IF(C378="Elite",2,IF(C378="Boss",4,6))),0)</f>
        <v/>
      </c>
      <c r="T378" s="161" t="inlineStr">
        <is>
          <t>Ouro + Fragmento de Sacerdote Menor da Heresia + Fragmento de Coroa do Titã (chance baixa)</t>
        </is>
      </c>
      <c r="U378" s="161" t="inlineStr">
        <is>
          <t>Ignora Resistência Mágica</t>
        </is>
      </c>
      <c r="V378" s="161" t="inlineStr">
        <is>
          <t>Suporte</t>
        </is>
      </c>
      <c r="W378" s="161" t="inlineStr">
        <is>
          <t>Templo da Heresia</t>
        </is>
      </c>
      <c r="X378" s="243" t="n"/>
      <c r="Y378" s="243" t="n"/>
      <c r="Z378" s="243" t="n"/>
      <c r="AA378" s="243" t="n"/>
    </row>
    <row r="379">
      <c r="A379" s="161" t="inlineStr">
        <is>
          <t>Adamantina</t>
        </is>
      </c>
      <c r="B379" s="161" t="inlineStr">
        <is>
          <t>Cofre-Titã Falso</t>
        </is>
      </c>
      <c r="C379" s="161" t="inlineStr">
        <is>
          <t>Elite</t>
        </is>
      </c>
      <c r="D379" s="161" t="n">
        <v>54</v>
      </c>
      <c r="E379" s="161">
        <f>ROUND(INDEX('Curva Mestra'!$G$20:$G$94,MATCH(D379,'Curva Mestra'!$A$20:$A$94,0)),0)</f>
        <v/>
      </c>
      <c r="F379" s="161">
        <f>ROUND(INDEX('Curva Mestra'!$C$20:$C$94,MATCH(D379,'Curva Mestra'!$A$20:$A$94,0))*INDEX($B$5:$B$8,MATCH(C379,$A$5:$A$8,0)),0)</f>
        <v/>
      </c>
      <c r="G379" s="161">
        <f>ROUND(INDEX('Curva Mestra'!$D$20:$D$94,MATCH(D379,'Curva Mestra'!$A$20:$A$94,0))+INDEX($C$5:$C$8,MATCH(C379,$A$5:$A$8,0)),0)</f>
        <v/>
      </c>
      <c r="H379" s="161" t="inlineStr">
        <is>
          <t>Armadilha viva disfarçada de tesouro titânico.</t>
        </is>
      </c>
      <c r="I379" s="161" t="inlineStr">
        <is>
          <t>Mordida do Titã</t>
        </is>
      </c>
      <c r="J379" s="161" t="inlineStr">
        <is>
          <t>Ignora Defesa (alto) + jogador perde 1 turno de surpresa.</t>
        </is>
      </c>
      <c r="K379" s="161" t="inlineStr">
        <is>
          <t>A Heresia planta armadilhas disfarçadas de relíquias titânicas.</t>
        </is>
      </c>
      <c r="L379" s="161">
        <f>IF(C379="Comum",ROUND(E379*1.3,0),"—")</f>
        <v/>
      </c>
      <c r="M379" s="161">
        <f>IF(C379="Comum",ROUND(F379*1.15,0),"—")</f>
        <v/>
      </c>
      <c r="N379" s="161">
        <f>IF(C379="Comum",G379+2,"—")</f>
        <v/>
      </c>
      <c r="O379" s="161">
        <f>IF(C379="Comum",ROUND(E379*1.6,0),"—")</f>
        <v/>
      </c>
      <c r="P379" s="161">
        <f>IF(C379="Comum",ROUND(F379*1.3,0),"—")</f>
        <v/>
      </c>
      <c r="Q379" s="161">
        <f>IF(C379="Comum",G379+4,"—")</f>
        <v/>
      </c>
      <c r="R379" s="242" t="n"/>
      <c r="S379" s="161">
        <f>ROUND(3+0.6*D379+IF(C379="Comum",0,IF(C379="Elite",2,IF(C379="Boss",4,6))),0)</f>
        <v/>
      </c>
      <c r="T379" s="161" t="inlineStr">
        <is>
          <t>Ouro + Fragmento de Coroa do Titã (chance alta, x2) + Fragmento de Cofre-Titã Armadilhado</t>
        </is>
      </c>
      <c r="U379" s="161" t="inlineStr">
        <is>
          <t>Atordoamento</t>
        </is>
      </c>
      <c r="V379" s="161" t="inlineStr">
        <is>
          <t>Mímico</t>
        </is>
      </c>
      <c r="W379" s="161" t="inlineStr">
        <is>
          <t>Forja dos Titãs, 5% ao interagir</t>
        </is>
      </c>
      <c r="X379" s="243" t="n"/>
      <c r="Y379" s="243" t="n"/>
      <c r="Z379" s="243" t="n"/>
      <c r="AA379" s="241" t="inlineStr">
        <is>
          <t>Fragmento de Coroa do Titã x2 (falso — some ao ser revelado, sem uso real) — correção: nome anterior 'Fragmento de Campeao Adamantino x2' reutilizava o troféu de outro Elite; ajustado pro material-base do próprio tier</t>
        </is>
      </c>
    </row>
    <row r="380">
      <c r="A380" s="161" t="inlineStr">
        <is>
          <t>Adamantina</t>
        </is>
      </c>
      <c r="B380" s="161" t="inlineStr">
        <is>
          <t>Fragmento Fugidio de Adamantina</t>
        </is>
      </c>
      <c r="C380" s="161" t="inlineStr">
        <is>
          <t>Elite</t>
        </is>
      </c>
      <c r="D380" s="161" t="n">
        <v>54</v>
      </c>
      <c r="E380" s="161">
        <f>ROUND(INDEX('Curva Mestra'!$G$20:$G$94,MATCH(D380,'Curva Mestra'!$A$20:$A$94,0)),0)</f>
        <v/>
      </c>
      <c r="F380" s="161">
        <f>ROUND(INDEX('Curva Mestra'!$C$20:$C$94,MATCH(D380,'Curva Mestra'!$A$20:$A$94,0))*INDEX($B$5:$B$8,MATCH(C380,$A$5:$A$8,0)),0)</f>
        <v/>
      </c>
      <c r="G380" s="161">
        <f>ROUND(INDEX('Curva Mestra'!$D$20:$D$94,MATCH(D380,'Curva Mestra'!$A$20:$A$94,0))+INDEX($C$5:$C$8,MATCH(C380,$A$5:$A$8,0)),0)</f>
        <v/>
      </c>
      <c r="H380" s="161" t="inlineStr">
        <is>
          <t>Fragmento raro, quase puro.</t>
        </is>
      </c>
      <c r="I380" s="161" t="inlineStr">
        <is>
          <t>Fuga Blindada</t>
        </is>
      </c>
      <c r="J380" s="161" t="inlineStr">
        <is>
          <t>Não causa dano — foge no turno 3.</t>
        </is>
      </c>
      <c r="K380" s="161" t="inlineStr">
        <is>
          <t>Pedaço raro de adamantina pura que ainda não foi corrompido de vez.</t>
        </is>
      </c>
      <c r="L380" s="161">
        <f>IF(C380="Comum",ROUND(E380*1.3,0),"—")</f>
        <v/>
      </c>
      <c r="M380" s="161">
        <f>IF(C380="Comum",ROUND(F380*1.15,0),"—")</f>
        <v/>
      </c>
      <c r="N380" s="161">
        <f>IF(C380="Comum",G380+2,"—")</f>
        <v/>
      </c>
      <c r="O380" s="161">
        <f>IF(C380="Comum",ROUND(E380*1.6,0),"—")</f>
        <v/>
      </c>
      <c r="P380" s="161">
        <f>IF(C380="Comum",ROUND(F380*1.3,0),"—")</f>
        <v/>
      </c>
      <c r="Q380" s="161">
        <f>IF(C380="Comum",G380+4,"—")</f>
        <v/>
      </c>
      <c r="R380" s="242" t="n"/>
      <c r="S380" s="161">
        <f>ROUND(3+0.6*D380+IF(C380="Comum",0,IF(C380="Elite",2,IF(C380="Boss",4,6))),0)</f>
        <v/>
      </c>
      <c r="T380" s="161" t="inlineStr">
        <is>
          <t>Ouro + Amostra Pura de Fragmento Fugidio</t>
        </is>
      </c>
      <c r="U380" s="161" t="inlineStr">
        <is>
          <t>Lentidão</t>
        </is>
      </c>
      <c r="V380" s="161" t="inlineStr">
        <is>
          <t>Superloot/Evasivo</t>
        </is>
      </c>
      <c r="W380" s="161" t="inlineStr">
        <is>
          <t>Forja dos Titãs, spawn raro (2%)</t>
        </is>
      </c>
      <c r="X380" s="243" t="n"/>
      <c r="Y380" s="243" t="n"/>
      <c r="Z380" s="243" t="n"/>
      <c r="AA380" s="241" t="inlineStr">
        <is>
          <t>Marfim e Osso de Dragão Ancião (material de Tier 12) — correção: nome anterior 'Osso de Dragão Fragmentado' não existia como material real; ajustado pra seguir a regra 141</t>
        </is>
      </c>
    </row>
    <row r="381">
      <c r="A381" s="161" t="inlineStr">
        <is>
          <t>Adamantina</t>
        </is>
      </c>
      <c r="B381" s="161" t="inlineStr">
        <is>
          <t>Heresiarca do Titã Negro</t>
        </is>
      </c>
      <c r="C381" s="161" t="inlineStr">
        <is>
          <t>Elite</t>
        </is>
      </c>
      <c r="D381" s="161" t="n">
        <v>55</v>
      </c>
      <c r="E381" s="161">
        <f>ROUND(INDEX('Curva Mestra'!$G$20:$G$94,MATCH(D381,'Curva Mestra'!$A$20:$A$94,0)),0)</f>
        <v/>
      </c>
      <c r="F381" s="161">
        <f>ROUND(INDEX('Curva Mestra'!$C$20:$C$94,MATCH(D381,'Curva Mestra'!$A$20:$A$94,0))*INDEX($B$5:$B$8,MATCH(C381,$A$5:$A$8,0)),0)</f>
        <v/>
      </c>
      <c r="G381" s="161">
        <f>ROUND(INDEX('Curva Mestra'!$D$20:$D$94,MATCH(D381,'Curva Mestra'!$A$20:$A$94,0))+INDEX($C$5:$C$8,MATCH(C381,$A$5:$A$8,0)),0)</f>
        <v/>
      </c>
      <c r="H381" s="161" t="inlineStr">
        <is>
          <t>Alto Bastião dos Caçadores, Heresia do Titã Negro, região de Adamantina.</t>
        </is>
      </c>
      <c r="I381" s="161" t="inlineStr">
        <is>
          <t>Palavra de Revivificação</t>
        </is>
      </c>
      <c r="J381" s="161" t="inlineStr">
        <is>
          <t>Cura 25 HP de um Constructo aliado por turno.</t>
        </is>
      </c>
      <c r="K381" s="161" t="inlineStr">
        <is>
          <t>Lidera a Heresia do Titã Negro — capturado, revela que alguns Cavaleiros da própria Ordem simpatizam em segredo com a causa dele.</t>
        </is>
      </c>
      <c r="L381" s="161">
        <f>IF(C381="Comum",ROUND(E381*1.3,0),"—")</f>
        <v/>
      </c>
      <c r="M381" s="161">
        <f>IF(C381="Comum",ROUND(F381*1.15,0),"—")</f>
        <v/>
      </c>
      <c r="N381" s="161">
        <f>IF(C381="Comum",G381+2,"—")</f>
        <v/>
      </c>
      <c r="O381" s="161">
        <f>IF(C381="Comum",ROUND(E381*1.6,0),"—")</f>
        <v/>
      </c>
      <c r="P381" s="161">
        <f>IF(C381="Comum",ROUND(F381*1.3,0),"—")</f>
        <v/>
      </c>
      <c r="Q381" s="161">
        <f>IF(C381="Comum",G381+4,"—")</f>
        <v/>
      </c>
      <c r="R381" s="161" t="inlineStr">
        <is>
          <t>A Heresia Silenciosa</t>
        </is>
      </c>
      <c r="S381" s="161">
        <f>ROUND(INDEX('Curva Mestra'!$D$20:$D$94,MATCH(D381,'Curva Mestra'!$A$20:$A$94,0))-IF(C381="Comum",9,IF(C381="Elite",6,IF(C381="Boss",4,3))),0)</f>
        <v/>
      </c>
      <c r="T381" s="161" t="inlineStr">
        <is>
          <t>Fragmento de Placa de Heresiarca do Titã Negro + Ouro + Fragmento de Coroa do Titã (chance baixa)</t>
        </is>
      </c>
      <c r="U381" s="161" t="inlineStr">
        <is>
          <t>Vulnerável a Ignora Resistência Mágica — segue ordens antigas, sem vontade própria pra resistir.</t>
        </is>
      </c>
      <c r="V381" s="242" t="inlineStr">
        <is>
          <t>Suporte</t>
        </is>
      </c>
      <c r="W381" s="242" t="inlineStr">
        <is>
          <t>Forja dos Titãs</t>
        </is>
      </c>
      <c r="X381" s="243" t="n"/>
      <c r="Y381" s="243" t="n"/>
      <c r="Z381" s="243" t="n"/>
      <c r="AA381" s="243" t="n"/>
    </row>
    <row r="382">
      <c r="A382" s="161" t="inlineStr">
        <is>
          <t>Adamantina</t>
        </is>
      </c>
      <c r="B382" s="161" t="inlineStr">
        <is>
          <t>Sir Aldric, o Cavaleiro Que Guarda um Túmulo Vazio</t>
        </is>
      </c>
      <c r="C382" s="161" t="inlineStr">
        <is>
          <t>Elite</t>
        </is>
      </c>
      <c r="D382" s="161" t="n">
        <v>55</v>
      </c>
      <c r="E382" s="161">
        <f>ROUND(INDEX('Curva Mestra'!$G$20:$G$94,MATCH(D382,'Curva Mestra'!$A$20:$A$94,0)),0)</f>
        <v/>
      </c>
      <c r="F382" s="161">
        <f>ROUND(INDEX('Curva Mestra'!$C$20:$C$94,MATCH(D382,'Curva Mestra'!$A$20:$A$94,0))*INDEX($B$5:$B$8,MATCH(C382,$A$5:$A$8,0)),0)</f>
        <v/>
      </c>
      <c r="G382" s="161">
        <f>ROUND(INDEX('Curva Mestra'!$D$20:$D$94,MATCH(D382,'Curva Mestra'!$A$20:$A$94,0))+INDEX($C$5:$C$8,MATCH(C382,$A$5:$A$8,0)),0)</f>
        <v/>
      </c>
      <c r="H382" s="161" t="inlineStr">
        <is>
          <t>Último cavaleiro fiel de uma ordem que já não existe.</t>
        </is>
      </c>
      <c r="I382" s="161" t="inlineStr">
        <is>
          <t>Juramento Quebrado</t>
        </is>
      </c>
      <c r="J382" s="161" t="inlineStr">
        <is>
          <t>Ignora Defesa + Ignora Resistência Mágica.</t>
        </is>
      </c>
      <c r="K382" s="161" t="inlineStr">
        <is>
          <t>Jurou proteger o túmulo do antigo rei. O túmulo está vazio há anos — ele nunca percebeu, ou nunca aceitou.</t>
        </is>
      </c>
      <c r="L382" s="161">
        <f>IF(C382="Comum",ROUND(E382*1.3,0),"—")</f>
        <v/>
      </c>
      <c r="M382" s="161">
        <f>IF(C382="Comum",ROUND(F382*1.15,0),"—")</f>
        <v/>
      </c>
      <c r="N382" s="161">
        <f>IF(C382="Comum",G382+2,"—")</f>
        <v/>
      </c>
      <c r="O382" s="161">
        <f>IF(C382="Comum",ROUND(E382*1.6,0),"—")</f>
        <v/>
      </c>
      <c r="P382" s="161">
        <f>IF(C382="Comum",ROUND(F382*1.3,0),"—")</f>
        <v/>
      </c>
      <c r="Q382" s="161">
        <f>IF(C382="Comum",G382+4,"—")</f>
        <v/>
      </c>
      <c r="R382" s="242" t="n"/>
      <c r="S382" s="161">
        <f>ROUND(3+0.6*D382+IF(C382="Comum",0,IF(C382="Elite",2,IF(C382="Boss",4,6))),0)</f>
        <v/>
      </c>
      <c r="T382" s="161" t="inlineStr">
        <is>
          <t>Ouro + Fragmento de Sir Aldric + Fragmento de Coroa do Titã (chance baixa)</t>
        </is>
      </c>
      <c r="U382" s="161" t="inlineStr">
        <is>
          <t>Lentidão</t>
        </is>
      </c>
      <c r="V382" s="161" t="inlineStr">
        <is>
          <t>Nomeado / Mini-Boss</t>
        </is>
      </c>
      <c r="W382" s="161" t="inlineStr">
        <is>
          <t>Forja dos Titãs — Pátio, spawn raro (4%)</t>
        </is>
      </c>
      <c r="X382" s="241" t="inlineStr">
        <is>
          <t>A 30% de HP, para de lutar se o jogador mostrar prova de que o túmulo está vazio — ele se ajoelha em paz e dá Título.</t>
        </is>
      </c>
      <c r="Y382" s="243" t="n"/>
      <c r="Z382" s="243" t="n"/>
      <c r="AA382" s="241" t="inlineStr">
        <is>
          <t>Espada do Juramento Quebrado (se derrotado em vez de convencido) [ver Artefatos e Relíquias]</t>
        </is>
      </c>
    </row>
    <row r="383">
      <c r="A383" s="161" t="inlineStr">
        <is>
          <t>Adamantina</t>
        </is>
      </c>
      <c r="B383" s="161" t="inlineStr">
        <is>
          <t>Tita de Adamantina</t>
        </is>
      </c>
      <c r="C383" s="161" t="inlineStr">
        <is>
          <t>Boss</t>
        </is>
      </c>
      <c r="D383" s="161" t="n">
        <v>55</v>
      </c>
      <c r="E383" s="161">
        <f>ROUND(INDEX('Curva Mestra'!$H$20:$H$94,MATCH(D383,'Curva Mestra'!$A$20:$A$94,0)),0)</f>
        <v/>
      </c>
      <c r="F383" s="161">
        <f>ROUND(INDEX('Curva Mestra'!$C$20:$C$94,MATCH(D383,'Curva Mestra'!$A$20:$A$94,0))*INDEX($B$5:$B$8,MATCH(C383,$A$5:$A$8,0)),0)</f>
        <v/>
      </c>
      <c r="G383" s="161">
        <f>ROUND(INDEX('Curva Mestra'!$D$20:$D$94,MATCH(D383,'Curva Mestra'!$A$20:$A$94,0))+INDEX($C$5:$C$8,MATCH(C383,$A$5:$A$8,0)),0)</f>
        <v/>
      </c>
      <c r="H383" s="161" t="inlineStr">
        <is>
          <t>Chefe / marco final do tier Adamantina</t>
        </is>
      </c>
      <c r="I383" s="161" t="inlineStr">
        <is>
          <t>Pisada Titânica</t>
        </is>
      </c>
      <c r="J383" s="161" t="inlineStr">
        <is>
          <t>Ignora 1 ponto de Defesa do alvo.</t>
        </is>
      </c>
      <c r="K383" s="161" t="inlineStr">
        <is>
          <t>O primeiro titã corrompido que marchou contra o Bastião — Valtiel forjou a lança que ainda está cravada no crânio dele.</t>
        </is>
      </c>
      <c r="L383" s="161">
        <f>IF(C383="Comum",ROUND(E383*1.3,0),"—")</f>
        <v/>
      </c>
      <c r="M383" s="161">
        <f>IF(C383="Comum",ROUND(F383*1.15,0),"—")</f>
        <v/>
      </c>
      <c r="N383" s="161">
        <f>IF(C383="Comum",G383+2,"—")</f>
        <v/>
      </c>
      <c r="O383" s="161">
        <f>IF(C383="Comum",ROUND(E383*1.6,0),"—")</f>
        <v/>
      </c>
      <c r="P383" s="161">
        <f>IF(C383="Comum",ROUND(F383*1.3,0),"—")</f>
        <v/>
      </c>
      <c r="Q383" s="161">
        <f>IF(C383="Comum",G383+4,"—")</f>
        <v/>
      </c>
      <c r="R383" s="161" t="inlineStr">
        <is>
          <t>A Lança do Matador de Titãs</t>
        </is>
      </c>
      <c r="S383" s="161">
        <f>ROUND(INDEX('Curva Mestra'!$D$20:$D$94,MATCH(D383,'Curva Mestra'!$A$20:$A$94,0))-IF(C383="Comum",9,IF(C383="Elite",6,IF(C383="Boss",4,3))),0)</f>
        <v/>
      </c>
      <c r="T383" s="161" t="inlineStr">
        <is>
          <t>Fragmento de Placa de Tita de Adamantina + Essência de Tita de Adamantina + Ouro + Fragmento de Coroa do Titã (chance baixa)</t>
        </is>
      </c>
      <c r="U383" s="161" t="inlineStr">
        <is>
          <t>Vulnerável a Ignora Resistência Mágica — segue ordens antigas, sem vontade própria pra resistir.</t>
        </is>
      </c>
      <c r="V383" s="242" t="inlineStr">
        <is>
          <t>DPS</t>
        </is>
      </c>
      <c r="W383" s="242" t="inlineStr">
        <is>
          <t>Forja dos Titãs</t>
        </is>
      </c>
      <c r="X383" s="243" t="n"/>
      <c r="Y383" s="243" t="n"/>
      <c r="Z383" s="243" t="n"/>
      <c r="AA383" s="243" t="n"/>
    </row>
    <row r="384">
      <c r="A384" s="161" t="inlineStr">
        <is>
          <t>Adamantina</t>
        </is>
      </c>
      <c r="B384" s="161" t="inlineStr">
        <is>
          <t>O Herói Caído (Ressuscitado)</t>
        </is>
      </c>
      <c r="C384" s="161" t="inlineStr">
        <is>
          <t>Boss</t>
        </is>
      </c>
      <c r="D384" s="161" t="n">
        <v>56</v>
      </c>
      <c r="E384" s="161">
        <f>ROUND(INDEX('Curva Mestra'!$H$20:$H$94,MATCH(D384,'Curva Mestra'!$A$20:$A$94,0)),0)</f>
        <v/>
      </c>
      <c r="F384" s="161">
        <f>ROUND(INDEX('Curva Mestra'!$C$20:$C$94,MATCH(D384,'Curva Mestra'!$A$20:$A$94,0))*INDEX($B$5:$B$8,MATCH(C384,$A$5:$A$8,0)),0)</f>
        <v/>
      </c>
      <c r="G384" s="161">
        <f>ROUND(INDEX('Curva Mestra'!$D$20:$D$94,MATCH(D384,'Curva Mestra'!$A$20:$A$94,0))+INDEX($C$5:$C$8,MATCH(C384,$A$5:$A$8,0)),0)</f>
        <v/>
      </c>
      <c r="H384" s="161" t="inlineStr">
        <is>
          <t>Alto Bastião dos Caçadores, Heresia do Titã Negro, região de Adamantina.</t>
        </is>
      </c>
      <c r="I384" s="161" t="inlineStr">
        <is>
          <t>Fúria Sem Nome</t>
        </is>
      </c>
      <c r="J384" s="161" t="inlineStr">
        <is>
          <t>Ganha +1 de Ataque a cada 10% de HP perdido em combate. Também aplica: Ignora 1 ponto de Defesa do alvo.</t>
        </is>
      </c>
      <c r="K384" s="161" t="inlineStr">
        <is>
          <t>O herói cujo nome foi apagado da história depois de impedir o fim do mundo no ciclo anterior — a Heresia o ressuscitou errado, e ele não lembra por que lutava.</t>
        </is>
      </c>
      <c r="L384" s="161">
        <f>IF(C384="Comum",ROUND(E384*1.3,0),"—")</f>
        <v/>
      </c>
      <c r="M384" s="161">
        <f>IF(C384="Comum",ROUND(F384*1.15,0),"—")</f>
        <v/>
      </c>
      <c r="N384" s="161">
        <f>IF(C384="Comum",G384+2,"—")</f>
        <v/>
      </c>
      <c r="O384" s="161">
        <f>IF(C384="Comum",ROUND(E384*1.6,0),"—")</f>
        <v/>
      </c>
      <c r="P384" s="161">
        <f>IF(C384="Comum",ROUND(F384*1.3,0),"—")</f>
        <v/>
      </c>
      <c r="Q384" s="161">
        <f>IF(C384="Comum",G384+4,"—")</f>
        <v/>
      </c>
      <c r="R384" s="161" t="inlineStr">
        <is>
          <t>O Herói Caído</t>
        </is>
      </c>
      <c r="S384" s="161">
        <f>ROUND(INDEX('Curva Mestra'!$D$20:$D$94,MATCH(D384,'Curva Mestra'!$A$20:$A$94,0))-IF(C384="Comum",9,IF(C384="Elite",6,IF(C384="Boss",4,3))),0)</f>
        <v/>
      </c>
      <c r="T384" s="161" t="inlineStr">
        <is>
          <t>Fragmento de Placa de O Herói Caído (Ressuscitado) + Essência de O Herói Caído (Ressuscitado) + Ouro + Fragmento de Coroa do Titã (chance baixa)</t>
        </is>
      </c>
      <c r="U384" s="161" t="inlineStr">
        <is>
          <t>Sem fraqueza óbvia — precisa de Knowledge alto pra descobrir algo específico.</t>
        </is>
      </c>
      <c r="V384" s="242" t="inlineStr">
        <is>
          <t>DPS</t>
        </is>
      </c>
      <c r="W384" s="242" t="inlineStr">
        <is>
          <t>Forja dos Titãs</t>
        </is>
      </c>
      <c r="X384" s="243" t="n"/>
      <c r="Y384" s="243" t="n"/>
      <c r="Z384" s="243" t="n"/>
      <c r="AA384" s="243" t="n"/>
    </row>
    <row r="385">
      <c r="A385" s="161" t="inlineStr">
        <is>
          <t>Osso de Dragao</t>
        </is>
      </c>
      <c r="B385" s="161" t="inlineStr">
        <is>
          <t>Wyrmling Ferido Jovem</t>
        </is>
      </c>
      <c r="C385" s="161" t="inlineStr">
        <is>
          <t>Comum</t>
        </is>
      </c>
      <c r="D385" s="161" t="n">
        <v>55</v>
      </c>
      <c r="E385" s="161">
        <f>ROUND(INDEX('Curva Mestra'!$F$20:$F$94,MATCH(D385,'Curva Mestra'!$A$20:$A$94,0)),0)</f>
        <v/>
      </c>
      <c r="F385" s="161">
        <f>ROUND(INDEX('Curva Mestra'!$C$20:$C$94,MATCH(D385,'Curva Mestra'!$A$20:$A$94,0))*INDEX($B$5:$B$8,MATCH(C385,$A$5:$A$8,0)),0)</f>
        <v/>
      </c>
      <c r="G385" s="161">
        <f>ROUND(INDEX('Curva Mestra'!$D$20:$D$94,MATCH(D385,'Curva Mestra'!$A$20:$A$94,0))+INDEX($C$5:$C$8,MATCH(C385,$A$5:$A$8,0)),0)</f>
        <v/>
      </c>
      <c r="H385" s="161" t="inlineStr">
        <is>
          <t>Filhote da mesma ninhada corrompida, ainda pode ser salvo.</t>
        </is>
      </c>
      <c r="I385" s="161" t="inlineStr">
        <is>
          <t>(não ataca se não provocado)</t>
        </is>
      </c>
      <c r="J385" s="161" t="inlineStr">
        <is>
          <t>Não-hostil: se poupado, aumenta a chance do Wyrmling Ferido original aparecer depois.</t>
        </is>
      </c>
      <c r="K385" s="161" t="inlineStr">
        <is>
          <t>Outro filhote da mesma ninhada do Wyrmling Ferido.</t>
        </is>
      </c>
      <c r="L385" s="161">
        <f>IF(C385="Comum",ROUND(E385*1.3,0),"—")</f>
        <v/>
      </c>
      <c r="M385" s="161">
        <f>IF(C385="Comum",ROUND(F385*1.15,0),"—")</f>
        <v/>
      </c>
      <c r="N385" s="161">
        <f>IF(C385="Comum",G385+2,"—")</f>
        <v/>
      </c>
      <c r="O385" s="161">
        <f>IF(C385="Comum",ROUND(E385*1.6,0),"—")</f>
        <v/>
      </c>
      <c r="P385" s="161">
        <f>IF(C385="Comum",ROUND(F385*1.3,0),"—")</f>
        <v/>
      </c>
      <c r="Q385" s="161">
        <f>IF(C385="Comum",G385+4,"—")</f>
        <v/>
      </c>
      <c r="R385" s="242" t="n"/>
      <c r="S385" s="161">
        <f>ROUND(3+0.6*D385+IF(C385="Comum",0,IF(C385="Elite",2,IF(C385="Boss",4,6))),0)</f>
        <v/>
      </c>
      <c r="T385" s="161" t="inlineStr">
        <is>
          <t>Ouro + Escama Ferida de Wyrmling Jovem</t>
        </is>
      </c>
      <c r="U385" s="161" t="inlineStr">
        <is>
          <t>Sem fraqueza óbvia — precisa de Knowledge alto pra descobrir algo específico.</t>
        </is>
      </c>
      <c r="V385" s="161" t="inlineStr">
        <is>
          <t>Não-hostil</t>
        </is>
      </c>
      <c r="W385" s="161" t="inlineStr">
        <is>
          <t>Ossuário Draconiano — Ninhal</t>
        </is>
      </c>
      <c r="X385" s="243" t="n"/>
      <c r="Y385" s="241" t="inlineStr">
        <is>
          <t>Se poupado, fortalece a ninhada que pode ser resgatada.</t>
        </is>
      </c>
      <c r="Z385" s="243" t="n"/>
      <c r="AA385" s="243" t="n"/>
    </row>
    <row r="386">
      <c r="A386" s="161" t="inlineStr">
        <is>
          <t>Osso de Dragao</t>
        </is>
      </c>
      <c r="B386" s="161" t="inlineStr">
        <is>
          <t>Wyrmling Ferido, o Que Pode Ser Poupado</t>
        </is>
      </c>
      <c r="C386" s="161" t="inlineStr">
        <is>
          <t>Comum</t>
        </is>
      </c>
      <c r="D386" s="161" t="n">
        <v>56</v>
      </c>
      <c r="E386" s="161">
        <f>ROUND(INDEX('Curva Mestra'!$F$20:$F$94,MATCH(D386,'Curva Mestra'!$A$20:$A$94,0)),0)</f>
        <v/>
      </c>
      <c r="F386" s="161">
        <f>ROUND(INDEX('Curva Mestra'!$C$20:$C$94,MATCH(D386,'Curva Mestra'!$A$20:$A$94,0))*INDEX($B$5:$B$8,MATCH(C386,$A$5:$A$8,0)),0)</f>
        <v/>
      </c>
      <c r="G386" s="161">
        <f>ROUND(INDEX('Curva Mestra'!$D$20:$D$94,MATCH(D386,'Curva Mestra'!$A$20:$A$94,0))+INDEX($C$5:$C$8,MATCH(C386,$A$5:$A$8,0)),0)</f>
        <v/>
      </c>
      <c r="H386" s="161" t="inlineStr">
        <is>
          <t>Filhote de dragão que ainda pode ser salvo da corrupção.</t>
        </is>
      </c>
      <c r="I386" s="161" t="inlineStr">
        <is>
          <t>(não ataca se não provocado)</t>
        </is>
      </c>
      <c r="J386" s="161" t="inlineStr">
        <is>
          <t>Não-hostil: se poupado, cresce e pode se tornar aliado em expedições futuras.</t>
        </is>
      </c>
      <c r="K386" s="161" t="inlineStr">
        <is>
          <t>Filhote separado da ninhada, ferido demais pra atacar sem ser provocado.</t>
        </is>
      </c>
      <c r="L386" s="161">
        <f>IF(C386="Comum",ROUND(E386*1.3,0),"—")</f>
        <v/>
      </c>
      <c r="M386" s="161">
        <f>IF(C386="Comum",ROUND(F386*1.15,0),"—")</f>
        <v/>
      </c>
      <c r="N386" s="161">
        <f>IF(C386="Comum",G386+2,"—")</f>
        <v/>
      </c>
      <c r="O386" s="161">
        <f>IF(C386="Comum",ROUND(E386*1.6,0),"—")</f>
        <v/>
      </c>
      <c r="P386" s="161">
        <f>IF(C386="Comum",ROUND(F386*1.3,0),"—")</f>
        <v/>
      </c>
      <c r="Q386" s="161">
        <f>IF(C386="Comum",G386+4,"—")</f>
        <v/>
      </c>
      <c r="R386" s="242" t="n"/>
      <c r="S386" s="161">
        <f>ROUND(3+0.6*D386+IF(C386="Comum",0,IF(C386="Elite",2,IF(C386="Boss",4,6))),0)</f>
        <v/>
      </c>
      <c r="T386" s="161" t="inlineStr">
        <is>
          <t>Ouro + Escama de Wyrmling Poupável</t>
        </is>
      </c>
      <c r="U386" s="161" t="inlineStr">
        <is>
          <t>Sem fraqueza óbvia — precisa de Knowledge alto pra descobrir algo específico.</t>
        </is>
      </c>
      <c r="V386" s="161" t="inlineStr">
        <is>
          <t>Não-hostil</t>
        </is>
      </c>
      <c r="W386" s="161" t="inlineStr">
        <is>
          <t>Ossuário Draconiano — Ninhal</t>
        </is>
      </c>
      <c r="X386" s="243" t="n"/>
      <c r="Y386" s="241" t="inlineStr">
        <is>
          <t>Se poupado e cuidado, pode retornar como aliado numa expedição futura.</t>
        </is>
      </c>
      <c r="Z386" s="243" t="n"/>
      <c r="AA386" s="243" t="n"/>
    </row>
    <row r="387">
      <c r="A387" s="161" t="inlineStr">
        <is>
          <t>Osso de Dragao</t>
        </is>
      </c>
      <c r="B387" s="161" t="inlineStr">
        <is>
          <t>Ovo de Wyrmling Corrompido</t>
        </is>
      </c>
      <c r="C387" s="161" t="inlineStr">
        <is>
          <t>Comum</t>
        </is>
      </c>
      <c r="D387" s="161" t="n">
        <v>56</v>
      </c>
      <c r="E387" s="161">
        <f>ROUND(INDEX('Curva Mestra'!$F$20:$F$94,MATCH(D387,'Curva Mestra'!$A$20:$A$94,0)),0)</f>
        <v/>
      </c>
      <c r="F387" s="161">
        <f>ROUND(INDEX('Curva Mestra'!$C$20:$C$94,MATCH(D387,'Curva Mestra'!$A$20:$A$94,0))*INDEX($B$5:$B$8,MATCH(C387,$A$5:$A$8,0)),0)</f>
        <v/>
      </c>
      <c r="G387" s="161">
        <f>ROUND(INDEX('Curva Mestra'!$D$20:$D$94,MATCH(D387,'Curva Mestra'!$A$20:$A$94,0))+INDEX($C$5:$C$8,MATCH(C387,$A$5:$A$8,0)),0)</f>
        <v/>
      </c>
      <c r="H387" s="161" t="inlineStr">
        <is>
          <t>Ovo que ainda não eclodiu de vez.</t>
        </is>
      </c>
      <c r="I387" s="161" t="inlineStr">
        <is>
          <t>(não ataca até eclodir)</t>
        </is>
      </c>
      <c r="J387" s="161" t="inlineStr">
        <is>
          <t>Ao ser atacado 3x, eclode em 1 Wyrmling Faminto.</t>
        </is>
      </c>
      <c r="K387" s="161" t="inlineStr">
        <is>
          <t>Ovo abandonado no ninhal, ainda guarda uma vida dentro.</t>
        </is>
      </c>
      <c r="L387" s="161">
        <f>IF(C387="Comum",ROUND(E387*1.3,0),"—")</f>
        <v/>
      </c>
      <c r="M387" s="161">
        <f>IF(C387="Comum",ROUND(F387*1.15,0),"—")</f>
        <v/>
      </c>
      <c r="N387" s="161">
        <f>IF(C387="Comum",G387+2,"—")</f>
        <v/>
      </c>
      <c r="O387" s="161">
        <f>IF(C387="Comum",ROUND(E387*1.6,0),"—")</f>
        <v/>
      </c>
      <c r="P387" s="161">
        <f>IF(C387="Comum",ROUND(F387*1.3,0),"—")</f>
        <v/>
      </c>
      <c r="Q387" s="161">
        <f>IF(C387="Comum",G387+4,"—")</f>
        <v/>
      </c>
      <c r="R387" s="242" t="n"/>
      <c r="S387" s="161">
        <f>ROUND(3+0.6*D387+IF(C387="Comum",0,IF(C387="Elite",2,IF(C387="Boss",4,6))),0)</f>
        <v/>
      </c>
      <c r="T387" s="161" t="inlineStr">
        <is>
          <t>Ouro + Casca de Ovo Corrompido</t>
        </is>
      </c>
      <c r="U387" s="161" t="inlineStr">
        <is>
          <t>Ignora Defesa</t>
        </is>
      </c>
      <c r="V387" s="161" t="inlineStr">
        <is>
          <t>Explosivo/Invocador</t>
        </is>
      </c>
      <c r="W387" s="161" t="inlineStr">
        <is>
          <t>Ossuário Draconiano — Ninhal</t>
        </is>
      </c>
      <c r="X387" s="243" t="n"/>
      <c r="Y387" s="243" t="n"/>
      <c r="Z387" s="243" t="n"/>
      <c r="AA387" s="243" t="n"/>
    </row>
    <row r="388">
      <c r="A388" s="161" t="inlineStr">
        <is>
          <t>Osso de Dragao</t>
        </is>
      </c>
      <c r="B388" s="161" t="inlineStr">
        <is>
          <t>Wyrmling Muito Jovem</t>
        </is>
      </c>
      <c r="C388" s="161" t="inlineStr">
        <is>
          <t>Comum</t>
        </is>
      </c>
      <c r="D388" s="161" t="n">
        <v>56</v>
      </c>
      <c r="E388" s="161">
        <f>ROUND(INDEX('Curva Mestra'!$F$20:$F$94,MATCH(D388,'Curva Mestra'!$A$20:$A$94,0)),0)</f>
        <v/>
      </c>
      <c r="F388" s="161">
        <f>ROUND(INDEX('Curva Mestra'!$C$20:$C$94,MATCH(D388,'Curva Mestra'!$A$20:$A$94,0))*INDEX($B$5:$B$8,MATCH(C388,$A$5:$A$8,0)),0)</f>
        <v/>
      </c>
      <c r="G388" s="161">
        <f>ROUND(INDEX('Curva Mestra'!$D$20:$D$94,MATCH(D388,'Curva Mestra'!$A$20:$A$94,0))+INDEX($C$5:$C$8,MATCH(C388,$A$5:$A$8,0)),0)</f>
        <v/>
      </c>
      <c r="H388" s="161" t="inlineStr">
        <is>
          <t>Filhote de dragão recém-nascido.</t>
        </is>
      </c>
      <c r="I388" s="161" t="inlineStr">
        <is>
          <t>Mordida Muito Fraca</t>
        </is>
      </c>
      <c r="J388" s="161" t="inlineStr">
        <is>
          <t>Nenhum efeito adicional.</t>
        </is>
      </c>
      <c r="K388" s="161" t="inlineStr">
        <is>
          <t>Mais novo ainda que o Wyrmling Faminto.</t>
        </is>
      </c>
      <c r="L388" s="161">
        <f>IF(C388="Comum",ROUND(E388*1.3,0),"—")</f>
        <v/>
      </c>
      <c r="M388" s="161">
        <f>IF(C388="Comum",ROUND(F388*1.15,0),"—")</f>
        <v/>
      </c>
      <c r="N388" s="161">
        <f>IF(C388="Comum",G388+2,"—")</f>
        <v/>
      </c>
      <c r="O388" s="161">
        <f>IF(C388="Comum",ROUND(E388*1.6,0),"—")</f>
        <v/>
      </c>
      <c r="P388" s="161">
        <f>IF(C388="Comum",ROUND(F388*1.3,0),"—")</f>
        <v/>
      </c>
      <c r="Q388" s="161">
        <f>IF(C388="Comum",G388+4,"—")</f>
        <v/>
      </c>
      <c r="R388" s="242" t="n"/>
      <c r="S388" s="161">
        <f>ROUND(3+0.6*D388+IF(C388="Comum",0,IF(C388="Elite",2,IF(C388="Boss",4,6))),0)</f>
        <v/>
      </c>
      <c r="T388" s="161" t="inlineStr">
        <is>
          <t>Ouro + Escama de Wyrmling Muito Jovem</t>
        </is>
      </c>
      <c r="U388" s="161" t="inlineStr">
        <is>
          <t>Atordoamento</t>
        </is>
      </c>
      <c r="V388" s="161" t="inlineStr">
        <is>
          <t>DPS fraco</t>
        </is>
      </c>
      <c r="W388" s="161" t="inlineStr">
        <is>
          <t>Ossuário Draconiano — Ninhal</t>
        </is>
      </c>
      <c r="X388" s="243" t="n"/>
      <c r="Y388" s="243" t="n"/>
      <c r="Z388" s="243" t="n"/>
      <c r="AA388" s="243" t="n"/>
    </row>
    <row r="389">
      <c r="A389" s="161" t="inlineStr">
        <is>
          <t>Osso de Dragao</t>
        </is>
      </c>
      <c r="B389" s="161" t="inlineStr">
        <is>
          <t>Caçador Aprendiz Iniciante</t>
        </is>
      </c>
      <c r="C389" s="161" t="inlineStr">
        <is>
          <t>Comum</t>
        </is>
      </c>
      <c r="D389" s="161" t="n">
        <v>56</v>
      </c>
      <c r="E389" s="161">
        <f>ROUND(INDEX('Curva Mestra'!$F$20:$F$94,MATCH(D389,'Curva Mestra'!$A$20:$A$94,0)),0)</f>
        <v/>
      </c>
      <c r="F389" s="161">
        <f>ROUND(INDEX('Curva Mestra'!$C$20:$C$94,MATCH(D389,'Curva Mestra'!$A$20:$A$94,0))*INDEX($B$5:$B$8,MATCH(C389,$A$5:$A$8,0)),0)</f>
        <v/>
      </c>
      <c r="G389" s="161">
        <f>ROUND(INDEX('Curva Mestra'!$D$20:$D$94,MATCH(D389,'Curva Mestra'!$A$20:$A$94,0))+INDEX($C$5:$C$8,MATCH(C389,$A$5:$A$8,0)),0)</f>
        <v/>
      </c>
      <c r="H389" s="161" t="inlineStr">
        <is>
          <t>Iniciante absoluto no ofício de caça a dragões.</t>
        </is>
      </c>
      <c r="I389" s="161" t="inlineStr">
        <is>
          <t>Lança Muito Imprecisa</t>
        </is>
      </c>
      <c r="J389" s="161" t="inlineStr">
        <is>
          <t>Nenhum efeito adicional.</t>
        </is>
      </c>
      <c r="K389" s="161" t="inlineStr">
        <is>
          <t>Ainda mais novo que o Caçador de Dragões Aprendiz.</t>
        </is>
      </c>
      <c r="L389" s="161">
        <f>IF(C389="Comum",ROUND(E389*1.3,0),"—")</f>
        <v/>
      </c>
      <c r="M389" s="161">
        <f>IF(C389="Comum",ROUND(F389*1.15,0),"—")</f>
        <v/>
      </c>
      <c r="N389" s="161">
        <f>IF(C389="Comum",G389+2,"—")</f>
        <v/>
      </c>
      <c r="O389" s="161">
        <f>IF(C389="Comum",ROUND(E389*1.6,0),"—")</f>
        <v/>
      </c>
      <c r="P389" s="161">
        <f>IF(C389="Comum",ROUND(F389*1.3,0),"—")</f>
        <v/>
      </c>
      <c r="Q389" s="161">
        <f>IF(C389="Comum",G389+4,"—")</f>
        <v/>
      </c>
      <c r="R389" s="242" t="n"/>
      <c r="S389" s="161">
        <f>ROUND(3+0.6*D389+IF(C389="Comum",0,IF(C389="Elite",2,IF(C389="Boss",4,6))),0)</f>
        <v/>
      </c>
      <c r="T389" s="161" t="inlineStr">
        <is>
          <t>Ouro + Arco Novo de Caçador Iniciante</t>
        </is>
      </c>
      <c r="U389" s="161" t="inlineStr">
        <is>
          <t>Fragilidade</t>
        </is>
      </c>
      <c r="V389" s="161" t="inlineStr">
        <is>
          <t>DPS fraco</t>
        </is>
      </c>
      <c r="W389" s="161" t="inlineStr">
        <is>
          <t>Ossuário Draconiano — Trilha dos Caçadores</t>
        </is>
      </c>
      <c r="X389" s="243" t="n"/>
      <c r="Y389" s="243" t="n"/>
      <c r="Z389" s="243" t="n"/>
      <c r="AA389" s="243" t="n"/>
    </row>
    <row r="390">
      <c r="A390" s="161" t="inlineStr">
        <is>
          <t>Osso de Dragao</t>
        </is>
      </c>
      <c r="B390" s="161" t="inlineStr">
        <is>
          <t>Wyrmling Selvagem</t>
        </is>
      </c>
      <c r="C390" s="161" t="inlineStr">
        <is>
          <t>Comum</t>
        </is>
      </c>
      <c r="D390" s="161" t="n">
        <v>57</v>
      </c>
      <c r="E390" s="161">
        <f>ROUND(INDEX('Curva Mestra'!$F$20:$F$94,MATCH(D390,'Curva Mestra'!$A$20:$A$94,0)),0)</f>
        <v/>
      </c>
      <c r="F390" s="161">
        <f>ROUND(INDEX('Curva Mestra'!$C$20:$C$94,MATCH(D390,'Curva Mestra'!$A$20:$A$94,0))*INDEX($B$5:$B$8,MATCH(C390,$A$5:$A$8,0)),0)</f>
        <v/>
      </c>
      <c r="G390" s="161">
        <f>ROUND(INDEX('Curva Mestra'!$D$20:$D$94,MATCH(D390,'Curva Mestra'!$A$20:$A$94,0))+INDEX($C$5:$C$8,MATCH(C390,$A$5:$A$8,0)),0)</f>
        <v/>
      </c>
      <c r="H390" s="161" t="inlineStr">
        <is>
          <t>Ronda a regiao do tier Osso de Dragao</t>
        </is>
      </c>
      <c r="I390" s="161" t="inlineStr">
        <is>
          <t>Mordida de Wyrmling</t>
        </is>
      </c>
      <c r="J390" s="161" t="inlineStr">
        <is>
          <t>Sem efeito mecânico além do dano — ataque direto.</t>
        </is>
      </c>
      <c r="K390" s="161" t="inlineStr">
        <is>
          <t>Filhote de dracoformo nativo dos Picos Fumegantes — ainda não foi tocado pela peste do Dragão da Peste Escarlate.</t>
        </is>
      </c>
      <c r="L390" s="161">
        <f>IF(C390="Comum",ROUND(E390*1.3,0),"—")</f>
        <v/>
      </c>
      <c r="M390" s="161">
        <f>IF(C390="Comum",ROUND(F390*1.15,0),"—")</f>
        <v/>
      </c>
      <c r="N390" s="161">
        <f>IF(C390="Comum",G390+2,"—")</f>
        <v/>
      </c>
      <c r="O390" s="161">
        <f>IF(C390="Comum",ROUND(E390*1.6,0),"—")</f>
        <v/>
      </c>
      <c r="P390" s="161">
        <f>IF(C390="Comum",ROUND(F390*1.3,0),"—")</f>
        <v/>
      </c>
      <c r="Q390" s="161">
        <f>IF(C390="Comum",G390+4,"—")</f>
        <v/>
      </c>
      <c r="R390" s="161" t="inlineStr">
        <is>
          <t>Ninhos Doentes</t>
        </is>
      </c>
      <c r="S390" s="161">
        <f>ROUND(INDEX('Curva Mestra'!$D$20:$D$94,MATCH(D390,'Curva Mestra'!$A$20:$A$94,0))-IF(C390="Comum",9,IF(C390="Elite",6,IF(C390="Boss",4,3))),0)</f>
        <v/>
      </c>
      <c r="T390" s="161" t="inlineStr">
        <is>
          <t>Ouro + Coração Incandescente de Dragão (chance rara)</t>
        </is>
      </c>
      <c r="U390" s="161" t="inlineStr">
        <is>
          <t>Vulnerável a Gelo/Água — queimadura recebida dura metade do tempo.</t>
        </is>
      </c>
      <c r="V390" s="242" t="inlineStr">
        <is>
          <t>DPS</t>
        </is>
      </c>
      <c r="W390" s="242" t="inlineStr">
        <is>
          <t>Ossuário Draconiano</t>
        </is>
      </c>
      <c r="X390" s="243" t="n"/>
      <c r="Y390" s="243" t="n"/>
      <c r="Z390" s="243" t="n"/>
      <c r="AA390" s="243" t="n"/>
    </row>
    <row r="391">
      <c r="A391" s="161" t="inlineStr">
        <is>
          <t>Osso de Dragao</t>
        </is>
      </c>
      <c r="B391" s="161" t="inlineStr">
        <is>
          <t>Wyrmling Faminto</t>
        </is>
      </c>
      <c r="C391" s="161" t="inlineStr">
        <is>
          <t>Comum</t>
        </is>
      </c>
      <c r="D391" s="161" t="n">
        <v>57</v>
      </c>
      <c r="E391" s="161">
        <f>ROUND(INDEX('Curva Mestra'!$F$20:$F$94,MATCH(D391,'Curva Mestra'!$A$20:$A$94,0)),0)</f>
        <v/>
      </c>
      <c r="F391" s="161">
        <f>ROUND(INDEX('Curva Mestra'!$C$20:$C$94,MATCH(D391,'Curva Mestra'!$A$20:$A$94,0))*INDEX($B$5:$B$8,MATCH(C391,$A$5:$A$8,0)),0)</f>
        <v/>
      </c>
      <c r="G391" s="161">
        <f>ROUND(INDEX('Curva Mestra'!$D$20:$D$94,MATCH(D391,'Curva Mestra'!$A$20:$A$94,0))+INDEX($C$5:$C$8,MATCH(C391,$A$5:$A$8,0)),0)</f>
        <v/>
      </c>
      <c r="H391" s="161" t="inlineStr">
        <is>
          <t>Filhote fraco da mesma ninhada corrompida.</t>
        </is>
      </c>
      <c r="I391" s="161" t="inlineStr">
        <is>
          <t>Mordida Desesperada</t>
        </is>
      </c>
      <c r="J391" s="161" t="inlineStr">
        <is>
          <t>+15% de chance de acerto abaixo de 50% HP.</t>
        </is>
      </c>
      <c r="K391" s="161" t="inlineStr">
        <is>
          <t>Nasceu fraco, luta por comida como se fosse a última chance.</t>
        </is>
      </c>
      <c r="L391" s="161">
        <f>IF(C391="Comum",ROUND(E391*1.3,0),"—")</f>
        <v/>
      </c>
      <c r="M391" s="161">
        <f>IF(C391="Comum",ROUND(F391*1.15,0),"—")</f>
        <v/>
      </c>
      <c r="N391" s="161">
        <f>IF(C391="Comum",G391+2,"—")</f>
        <v/>
      </c>
      <c r="O391" s="161">
        <f>IF(C391="Comum",ROUND(E391*1.6,0),"—")</f>
        <v/>
      </c>
      <c r="P391" s="161">
        <f>IF(C391="Comum",ROUND(F391*1.3,0),"—")</f>
        <v/>
      </c>
      <c r="Q391" s="161">
        <f>IF(C391="Comum",G391+4,"—")</f>
        <v/>
      </c>
      <c r="R391" s="242" t="n"/>
      <c r="S391" s="161">
        <f>ROUND(3+0.6*D391+IF(C391="Comum",0,IF(C391="Elite",2,IF(C391="Boss",4,6))),0)</f>
        <v/>
      </c>
      <c r="T391" s="161" t="inlineStr">
        <is>
          <t>Ouro + Garra de Wyrmling Faminto</t>
        </is>
      </c>
      <c r="U391" s="161" t="inlineStr">
        <is>
          <t>Atordoamento</t>
        </is>
      </c>
      <c r="V391" s="161" t="inlineStr">
        <is>
          <t>DPS</t>
        </is>
      </c>
      <c r="W391" s="161" t="inlineStr">
        <is>
          <t>Ossuário Draconiano — Ninhal</t>
        </is>
      </c>
      <c r="X391" s="243" t="n"/>
      <c r="Y391" s="243" t="n"/>
      <c r="Z391" s="243" t="n"/>
      <c r="AA391" s="243" t="n"/>
    </row>
    <row r="392">
      <c r="A392" s="161" t="inlineStr">
        <is>
          <t>Osso de Dragao</t>
        </is>
      </c>
      <c r="B392" s="161" t="inlineStr">
        <is>
          <t>Caçador de Dragões Aprendiz</t>
        </is>
      </c>
      <c r="C392" s="161" t="inlineStr">
        <is>
          <t>Comum</t>
        </is>
      </c>
      <c r="D392" s="161" t="n">
        <v>57</v>
      </c>
      <c r="E392" s="161">
        <f>ROUND(INDEX('Curva Mestra'!$F$20:$F$94,MATCH(D392,'Curva Mestra'!$A$20:$A$94,0)),0)</f>
        <v/>
      </c>
      <c r="F392" s="161">
        <f>ROUND(INDEX('Curva Mestra'!$C$20:$C$94,MATCH(D392,'Curva Mestra'!$A$20:$A$94,0))*INDEX($B$5:$B$8,MATCH(C392,$A$5:$A$8,0)),0)</f>
        <v/>
      </c>
      <c r="G392" s="161">
        <f>ROUND(INDEX('Curva Mestra'!$D$20:$D$94,MATCH(D392,'Curva Mestra'!$A$20:$A$94,0))+INDEX($C$5:$C$8,MATCH(C392,$A$5:$A$8,0)),0)</f>
        <v/>
      </c>
      <c r="H392" s="161" t="inlineStr">
        <is>
          <t>Aprendiz do ofício de caça a dragões.</t>
        </is>
      </c>
      <c r="I392" s="161" t="inlineStr">
        <is>
          <t>Lança Imprecisa</t>
        </is>
      </c>
      <c r="J392" s="161" t="inlineStr">
        <is>
          <t>Nenhum efeito adicional.</t>
        </is>
      </c>
      <c r="K392" s="161" t="inlineStr">
        <is>
          <t>Segue o Caçador-Mestre, ainda aprendendo a caçar dragões de verdade.</t>
        </is>
      </c>
      <c r="L392" s="161">
        <f>IF(C392="Comum",ROUND(E392*1.3,0),"—")</f>
        <v/>
      </c>
      <c r="M392" s="161">
        <f>IF(C392="Comum",ROUND(F392*1.15,0),"—")</f>
        <v/>
      </c>
      <c r="N392" s="161">
        <f>IF(C392="Comum",G392+2,"—")</f>
        <v/>
      </c>
      <c r="O392" s="161">
        <f>IF(C392="Comum",ROUND(E392*1.6,0),"—")</f>
        <v/>
      </c>
      <c r="P392" s="161">
        <f>IF(C392="Comum",ROUND(F392*1.3,0),"—")</f>
        <v/>
      </c>
      <c r="Q392" s="161">
        <f>IF(C392="Comum",G392+4,"—")</f>
        <v/>
      </c>
      <c r="R392" s="242" t="n"/>
      <c r="S392" s="161">
        <f>ROUND(3+0.6*D392+IF(C392="Comum",0,IF(C392="Elite",2,IF(C392="Boss",4,6))),0)</f>
        <v/>
      </c>
      <c r="T392" s="161" t="inlineStr">
        <is>
          <t>Ouro + Arco de Caçador Aprendiz</t>
        </is>
      </c>
      <c r="U392" s="161" t="inlineStr">
        <is>
          <t>Fragilidade</t>
        </is>
      </c>
      <c r="V392" s="161" t="inlineStr">
        <is>
          <t>DPS fraco</t>
        </is>
      </c>
      <c r="W392" s="161" t="inlineStr">
        <is>
          <t>Ossuário Draconiano — Trilha dos Caçadores</t>
        </is>
      </c>
      <c r="X392" s="243" t="n"/>
      <c r="Y392" s="243" t="n"/>
      <c r="Z392" s="243" t="n"/>
      <c r="AA392" s="243" t="n"/>
    </row>
    <row r="393">
      <c r="A393" s="161" t="inlineStr">
        <is>
          <t>Osso de Dragao</t>
        </is>
      </c>
      <c r="B393" s="161" t="inlineStr">
        <is>
          <t>Serva Recém-Infectada da Peste</t>
        </is>
      </c>
      <c r="C393" s="161" t="inlineStr">
        <is>
          <t>Comum</t>
        </is>
      </c>
      <c r="D393" s="161" t="n">
        <v>57</v>
      </c>
      <c r="E393" s="161">
        <f>ROUND(INDEX('Curva Mestra'!$F$20:$F$94,MATCH(D393,'Curva Mestra'!$A$20:$A$94,0)),0)</f>
        <v/>
      </c>
      <c r="F393" s="161">
        <f>ROUND(INDEX('Curva Mestra'!$C$20:$C$94,MATCH(D393,'Curva Mestra'!$A$20:$A$94,0))*INDEX($B$5:$B$8,MATCH(C393,$A$5:$A$8,0)),0)</f>
        <v/>
      </c>
      <c r="G393" s="161">
        <f>ROUND(INDEX('Curva Mestra'!$D$20:$D$94,MATCH(D393,'Curva Mestra'!$A$20:$A$94,0))+INDEX($C$5:$C$8,MATCH(C393,$A$5:$A$8,0)),0)</f>
        <v/>
      </c>
      <c r="H393" s="161" t="inlineStr">
        <is>
          <t>Recém-contaminada pela Peste Escarlate.</t>
        </is>
      </c>
      <c r="I393" s="161" t="inlineStr">
        <is>
          <t>Toque Fraco</t>
        </is>
      </c>
      <c r="J393" s="161" t="inlineStr">
        <is>
          <t>Queimadura fraca — só ativa durante surto de peste no pântano.</t>
        </is>
      </c>
      <c r="K393" s="161" t="inlineStr">
        <is>
          <t>A infecção de peste só se manifesta com força durante os surtos periódicos.</t>
        </is>
      </c>
      <c r="L393" s="161">
        <f>IF(C393="Comum",ROUND(E393*1.3,0),"—")</f>
        <v/>
      </c>
      <c r="M393" s="161">
        <f>IF(C393="Comum",ROUND(F393*1.15,0),"—")</f>
        <v/>
      </c>
      <c r="N393" s="161">
        <f>IF(C393="Comum",G393+2,"—")</f>
        <v/>
      </c>
      <c r="O393" s="161">
        <f>IF(C393="Comum",ROUND(E393*1.6,0),"—")</f>
        <v/>
      </c>
      <c r="P393" s="161">
        <f>IF(C393="Comum",ROUND(F393*1.3,0),"—")</f>
        <v/>
      </c>
      <c r="Q393" s="161">
        <f>IF(C393="Comum",G393+4,"—")</f>
        <v/>
      </c>
      <c r="R393" s="242" t="n"/>
      <c r="S393" s="161">
        <f>ROUND(3+0.6*D393+IF(C393="Comum",0,IF(C393="Elite",2,IF(C393="Boss",4,6))),0)</f>
        <v/>
      </c>
      <c r="T393" s="161" t="inlineStr">
        <is>
          <t>Ouro + Véu Manchado de Serva Recém-Infectada</t>
        </is>
      </c>
      <c r="U393" s="161" t="inlineStr">
        <is>
          <t>Ignora Resistência Mágica</t>
        </is>
      </c>
      <c r="V393" s="161" t="inlineStr">
        <is>
          <t>Condicional</t>
        </is>
      </c>
      <c r="W393" s="161" t="inlineStr">
        <is>
          <t>Pântano da Peste, só durante surto ativo</t>
        </is>
      </c>
      <c r="X393" s="243" t="n"/>
      <c r="Y393" s="243" t="n"/>
      <c r="Z393" s="243" t="n"/>
      <c r="AA393" s="243" t="n"/>
    </row>
    <row r="394">
      <c r="A394" s="161" t="inlineStr">
        <is>
          <t>Osso de Dragao</t>
        </is>
      </c>
      <c r="B394" s="161" t="inlineStr">
        <is>
          <t>Portador Menor da Peste</t>
        </is>
      </c>
      <c r="C394" s="161" t="inlineStr">
        <is>
          <t>Comum</t>
        </is>
      </c>
      <c r="D394" s="161" t="n">
        <v>57</v>
      </c>
      <c r="E394" s="161">
        <f>ROUND(INDEX('Curva Mestra'!$F$20:$F$94,MATCH(D394,'Curva Mestra'!$A$20:$A$94,0)),0)</f>
        <v/>
      </c>
      <c r="F394" s="161">
        <f>ROUND(INDEX('Curva Mestra'!$C$20:$C$94,MATCH(D394,'Curva Mestra'!$A$20:$A$94,0))*INDEX($B$5:$B$8,MATCH(C394,$A$5:$A$8,0)),0)</f>
        <v/>
      </c>
      <c r="G394" s="161">
        <f>ROUND(INDEX('Curva Mestra'!$D$20:$D$94,MATCH(D394,'Curva Mestra'!$A$20:$A$94,0))+INDEX($C$5:$C$8,MATCH(C394,$A$5:$A$8,0)),0)</f>
        <v/>
      </c>
      <c r="H394" s="161" t="inlineStr">
        <is>
          <t>Servo iniciante da Peste Escarlate.</t>
        </is>
      </c>
      <c r="I394" s="161" t="inlineStr">
        <is>
          <t>Toque Levemente Contagioso</t>
        </is>
      </c>
      <c r="J394" s="161" t="inlineStr">
        <is>
          <t>Veneno fraco (1/turno, 1 turno).</t>
        </is>
      </c>
      <c r="K394" s="161" t="inlineStr">
        <is>
          <t>Servo menor ainda que o Portador da Peste.</t>
        </is>
      </c>
      <c r="L394" s="161">
        <f>IF(C394="Comum",ROUND(E394*1.3,0),"—")</f>
        <v/>
      </c>
      <c r="M394" s="161">
        <f>IF(C394="Comum",ROUND(F394*1.15,0),"—")</f>
        <v/>
      </c>
      <c r="N394" s="161">
        <f>IF(C394="Comum",G394+2,"—")</f>
        <v/>
      </c>
      <c r="O394" s="161">
        <f>IF(C394="Comum",ROUND(E394*1.6,0),"—")</f>
        <v/>
      </c>
      <c r="P394" s="161">
        <f>IF(C394="Comum",ROUND(F394*1.3,0),"—")</f>
        <v/>
      </c>
      <c r="Q394" s="161">
        <f>IF(C394="Comum",G394+4,"—")</f>
        <v/>
      </c>
      <c r="R394" s="242" t="n"/>
      <c r="S394" s="161">
        <f>ROUND(3+0.6*D394+IF(C394="Comum",0,IF(C394="Elite",2,IF(C394="Boss",4,6))),0)</f>
        <v/>
      </c>
      <c r="T394" s="161" t="inlineStr">
        <is>
          <t>Ouro + Frasco Menor de Peste</t>
        </is>
      </c>
      <c r="U394" s="161" t="inlineStr">
        <is>
          <t>Queimadura</t>
        </is>
      </c>
      <c r="V394" s="161" t="inlineStr">
        <is>
          <t>Debuffer</t>
        </is>
      </c>
      <c r="W394" s="161" t="inlineStr">
        <is>
          <t>Ossuário Draconiano — Pântano da Peste</t>
        </is>
      </c>
      <c r="X394" s="243" t="n"/>
      <c r="Y394" s="243" t="n"/>
      <c r="Z394" s="243" t="n"/>
      <c r="AA394" s="243" t="n"/>
    </row>
    <row r="395">
      <c r="A395" s="161" t="inlineStr">
        <is>
          <t>Osso de Dragao</t>
        </is>
      </c>
      <c r="B395" s="161" t="inlineStr">
        <is>
          <t>Fera Alada Muito Doente</t>
        </is>
      </c>
      <c r="C395" s="161" t="inlineStr">
        <is>
          <t>Comum</t>
        </is>
      </c>
      <c r="D395" s="161" t="n">
        <v>57</v>
      </c>
      <c r="E395" s="161">
        <f>ROUND(INDEX('Curva Mestra'!$F$20:$F$94,MATCH(D395,'Curva Mestra'!$A$20:$A$94,0)),0)</f>
        <v/>
      </c>
      <c r="F395" s="161">
        <f>ROUND(INDEX('Curva Mestra'!$C$20:$C$94,MATCH(D395,'Curva Mestra'!$A$20:$A$94,0))*INDEX($B$5:$B$8,MATCH(C395,$A$5:$A$8,0)),0)</f>
        <v/>
      </c>
      <c r="G395" s="161">
        <f>ROUND(INDEX('Curva Mestra'!$D$20:$D$94,MATCH(D395,'Curva Mestra'!$A$20:$A$94,0))+INDEX($C$5:$C$8,MATCH(C395,$A$5:$A$8,0)),0)</f>
        <v/>
      </c>
      <c r="H395" s="161" t="inlineStr">
        <is>
          <t>Variante mais doente da linhagem.</t>
        </is>
      </c>
      <c r="I395" s="161" t="inlineStr">
        <is>
          <t>Garra Muito Fraca</t>
        </is>
      </c>
      <c r="J395" s="161" t="inlineStr">
        <is>
          <t>Nenhum efeito adicional — a mais fraca da linhagem.</t>
        </is>
      </c>
      <c r="K395" s="161" t="inlineStr">
        <is>
          <t>Doença em estágio mais avançado que a Fera Alada Enfraquecida.</t>
        </is>
      </c>
      <c r="L395" s="161">
        <f>IF(C395="Comum",ROUND(E395*1.3,0),"—")</f>
        <v/>
      </c>
      <c r="M395" s="161">
        <f>IF(C395="Comum",ROUND(F395*1.15,0),"—")</f>
        <v/>
      </c>
      <c r="N395" s="161">
        <f>IF(C395="Comum",G395+2,"—")</f>
        <v/>
      </c>
      <c r="O395" s="161">
        <f>IF(C395="Comum",ROUND(E395*1.6,0),"—")</f>
        <v/>
      </c>
      <c r="P395" s="161">
        <f>IF(C395="Comum",ROUND(F395*1.3,0),"—")</f>
        <v/>
      </c>
      <c r="Q395" s="161">
        <f>IF(C395="Comum",G395+4,"—")</f>
        <v/>
      </c>
      <c r="R395" s="242" t="n"/>
      <c r="S395" s="161">
        <f>ROUND(3+0.6*D395+IF(C395="Comum",0,IF(C395="Elite",2,IF(C395="Boss",4,6))),0)</f>
        <v/>
      </c>
      <c r="T395" s="161" t="inlineStr">
        <is>
          <t>Ouro + Pena Doente de Fera Alada</t>
        </is>
      </c>
      <c r="U395" s="161" t="inlineStr">
        <is>
          <t>Ignora Defesa</t>
        </is>
      </c>
      <c r="V395" s="161" t="inlineStr">
        <is>
          <t>DPS fraco</t>
        </is>
      </c>
      <c r="W395" s="161" t="inlineStr">
        <is>
          <t>Ossuário Draconiano — Céu Baixo</t>
        </is>
      </c>
      <c r="X395" s="243" t="n"/>
      <c r="Y395" s="243" t="n"/>
      <c r="Z395" s="243" t="n"/>
      <c r="AA395" s="243" t="n"/>
    </row>
    <row r="396">
      <c r="A396" s="161" t="inlineStr">
        <is>
          <t>Osso de Dragao</t>
        </is>
      </c>
      <c r="B396" s="161" t="inlineStr">
        <is>
          <t>Devorador de Ossos Jovem</t>
        </is>
      </c>
      <c r="C396" s="161" t="inlineStr">
        <is>
          <t>Comum</t>
        </is>
      </c>
      <c r="D396" s="161" t="n">
        <v>57</v>
      </c>
      <c r="E396" s="161">
        <f>ROUND(INDEX('Curva Mestra'!$F$20:$F$94,MATCH(D396,'Curva Mestra'!$A$20:$A$94,0)),0)</f>
        <v/>
      </c>
      <c r="F396" s="161">
        <f>ROUND(INDEX('Curva Mestra'!$C$20:$C$94,MATCH(D396,'Curva Mestra'!$A$20:$A$94,0))*INDEX($B$5:$B$8,MATCH(C396,$A$5:$A$8,0)),0)</f>
        <v/>
      </c>
      <c r="G396" s="161">
        <f>ROUND(INDEX('Curva Mestra'!$D$20:$D$94,MATCH(D396,'Curva Mestra'!$A$20:$A$94,0))+INDEX($C$5:$C$8,MATCH(C396,$A$5:$A$8,0)),0)</f>
        <v/>
      </c>
      <c r="H396" s="161" t="inlineStr">
        <is>
          <t>Criatura jovem do ossuário.</t>
        </is>
      </c>
      <c r="I396" s="161" t="inlineStr">
        <is>
          <t>Mordida Fraca de Ossos</t>
        </is>
      </c>
      <c r="J396" s="161" t="inlineStr">
        <is>
          <t>Cura 3 HP se houver cadáver no local.</t>
        </is>
      </c>
      <c r="K396" s="161" t="inlineStr">
        <is>
          <t>Variante jovem do Devorador de Ossos Antigos.</t>
        </is>
      </c>
      <c r="L396" s="161">
        <f>IF(C396="Comum",ROUND(E396*1.3,0),"—")</f>
        <v/>
      </c>
      <c r="M396" s="161">
        <f>IF(C396="Comum",ROUND(F396*1.15,0),"—")</f>
        <v/>
      </c>
      <c r="N396" s="161">
        <f>IF(C396="Comum",G396+2,"—")</f>
        <v/>
      </c>
      <c r="O396" s="161">
        <f>IF(C396="Comum",ROUND(E396*1.6,0),"—")</f>
        <v/>
      </c>
      <c r="P396" s="161">
        <f>IF(C396="Comum",ROUND(F396*1.3,0),"—")</f>
        <v/>
      </c>
      <c r="Q396" s="161">
        <f>IF(C396="Comum",G396+4,"—")</f>
        <v/>
      </c>
      <c r="R396" s="242" t="n"/>
      <c r="S396" s="161">
        <f>ROUND(3+0.6*D396+IF(C396="Comum",0,IF(C396="Elite",2,IF(C396="Boss",4,6))),0)</f>
        <v/>
      </c>
      <c r="T396" s="161" t="inlineStr">
        <is>
          <t>Ouro + Presa Jovem de Devorador de Ossos</t>
        </is>
      </c>
      <c r="U396" s="161" t="inlineStr">
        <is>
          <t>Atordoamento</t>
        </is>
      </c>
      <c r="V396" s="161" t="inlineStr">
        <is>
          <t>Necrófago</t>
        </is>
      </c>
      <c r="W396" s="161" t="inlineStr">
        <is>
          <t>Ossuário Draconiano — Ninhal, após combate vencido</t>
        </is>
      </c>
      <c r="X396" s="243" t="n"/>
      <c r="Y396" s="243" t="n"/>
      <c r="Z396" s="243" t="n"/>
      <c r="AA396" s="243" t="n"/>
    </row>
    <row r="397">
      <c r="A397" s="161" t="inlineStr">
        <is>
          <t>Osso de Dragao</t>
        </is>
      </c>
      <c r="B397" s="161" t="inlineStr">
        <is>
          <t>Verme Jovem da Peste</t>
        </is>
      </c>
      <c r="C397" s="161" t="inlineStr">
        <is>
          <t>Comum</t>
        </is>
      </c>
      <c r="D397" s="161" t="n">
        <v>57</v>
      </c>
      <c r="E397" s="161">
        <f>ROUND(INDEX('Curva Mestra'!$F$20:$F$94,MATCH(D397,'Curva Mestra'!$A$20:$A$94,0)),0)</f>
        <v/>
      </c>
      <c r="F397" s="161">
        <f>ROUND(INDEX('Curva Mestra'!$C$20:$C$94,MATCH(D397,'Curva Mestra'!$A$20:$A$94,0))*INDEX($B$5:$B$8,MATCH(C397,$A$5:$A$8,0)),0)</f>
        <v/>
      </c>
      <c r="G397" s="161">
        <f>ROUND(INDEX('Curva Mestra'!$D$20:$D$94,MATCH(D397,'Curva Mestra'!$A$20:$A$94,0))+INDEX($C$5:$C$8,MATCH(C397,$A$5:$A$8,0)),0)</f>
        <v/>
      </c>
      <c r="H397" s="161" t="inlineStr">
        <is>
          <t>Verme jovem da praga.</t>
        </is>
      </c>
      <c r="I397" s="161" t="inlineStr">
        <is>
          <t>Sugar Fraco</t>
        </is>
      </c>
      <c r="J397" s="161" t="inlineStr">
        <is>
          <t>Rouba Vida (8%) — só com Portador da Peste presente.</t>
        </is>
      </c>
      <c r="K397" s="161" t="inlineStr">
        <is>
          <t>Parasita jovem, ainda pequeno.</t>
        </is>
      </c>
      <c r="L397" s="161">
        <f>IF(C397="Comum",ROUND(E397*1.3,0),"—")</f>
        <v/>
      </c>
      <c r="M397" s="161">
        <f>IF(C397="Comum",ROUND(F397*1.15,0),"—")</f>
        <v/>
      </c>
      <c r="N397" s="161">
        <f>IF(C397="Comum",G397+2,"—")</f>
        <v/>
      </c>
      <c r="O397" s="161">
        <f>IF(C397="Comum",ROUND(E397*1.6,0),"—")</f>
        <v/>
      </c>
      <c r="P397" s="161">
        <f>IF(C397="Comum",ROUND(F397*1.3,0),"—")</f>
        <v/>
      </c>
      <c r="Q397" s="161">
        <f>IF(C397="Comum",G397+4,"—")</f>
        <v/>
      </c>
      <c r="R397" s="242" t="n"/>
      <c r="S397" s="161">
        <f>ROUND(3+0.6*D397+IF(C397="Comum",0,IF(C397="Elite",2,IF(C397="Boss",4,6))),0)</f>
        <v/>
      </c>
      <c r="T397" s="161" t="inlineStr">
        <is>
          <t>Ouro + Segmento Jovem de Verme da Peste</t>
        </is>
      </c>
      <c r="U397" s="161" t="inlineStr">
        <is>
          <t>Queimadura</t>
        </is>
      </c>
      <c r="V397" s="161" t="inlineStr">
        <is>
          <t>Parasita</t>
        </is>
      </c>
      <c r="W397" s="161" t="inlineStr">
        <is>
          <t>Pântano da Peste, só com Portador presente</t>
        </is>
      </c>
      <c r="X397" s="243" t="n"/>
      <c r="Y397" s="243" t="n"/>
      <c r="Z397" s="243" t="n"/>
      <c r="AA397" s="243" t="n"/>
    </row>
    <row r="398">
      <c r="A398" s="161" t="inlineStr">
        <is>
          <t>Osso de Dragao</t>
        </is>
      </c>
      <c r="B398" s="161" t="inlineStr">
        <is>
          <t>Guardião Muito Menor do Pilar</t>
        </is>
      </c>
      <c r="C398" s="161" t="inlineStr">
        <is>
          <t>Comum</t>
        </is>
      </c>
      <c r="D398" s="161" t="n">
        <v>57</v>
      </c>
      <c r="E398" s="161">
        <f>ROUND(INDEX('Curva Mestra'!$F$20:$F$94,MATCH(D398,'Curva Mestra'!$A$20:$A$94,0)),0)</f>
        <v/>
      </c>
      <c r="F398" s="161">
        <f>ROUND(INDEX('Curva Mestra'!$C$20:$C$94,MATCH(D398,'Curva Mestra'!$A$20:$A$94,0))*INDEX($B$5:$B$8,MATCH(C398,$A$5:$A$8,0)),0)</f>
        <v/>
      </c>
      <c r="G398" s="161">
        <f>ROUND(INDEX('Curva Mestra'!$D$20:$D$94,MATCH(D398,'Curva Mestra'!$A$20:$A$94,0))+INDEX($C$5:$C$8,MATCH(C398,$A$5:$A$8,0)),0)</f>
        <v/>
      </c>
      <c r="H398" s="161" t="inlineStr">
        <is>
          <t>Guardião em miniatura do pilar de ossos.</t>
        </is>
      </c>
      <c r="I398" s="161" t="inlineStr">
        <is>
          <t>Guarda Muito Fraca</t>
        </is>
      </c>
      <c r="J398" s="161" t="inlineStr">
        <is>
          <t>Nenhum efeito adicional.</t>
        </is>
      </c>
      <c r="K398" s="161" t="inlineStr">
        <is>
          <t>Fragmento ainda menor do Guardião Menor do Pilar.</t>
        </is>
      </c>
      <c r="L398" s="161">
        <f>IF(C398="Comum",ROUND(E398*1.3,0),"—")</f>
        <v/>
      </c>
      <c r="M398" s="161">
        <f>IF(C398="Comum",ROUND(F398*1.15,0),"—")</f>
        <v/>
      </c>
      <c r="N398" s="161">
        <f>IF(C398="Comum",G398+2,"—")</f>
        <v/>
      </c>
      <c r="O398" s="161">
        <f>IF(C398="Comum",ROUND(E398*1.6,0),"—")</f>
        <v/>
      </c>
      <c r="P398" s="161">
        <f>IF(C398="Comum",ROUND(F398*1.3,0),"—")</f>
        <v/>
      </c>
      <c r="Q398" s="161">
        <f>IF(C398="Comum",G398+4,"—")</f>
        <v/>
      </c>
      <c r="R398" s="242" t="n"/>
      <c r="S398" s="161">
        <f>ROUND(3+0.6*D398+IF(C398="Comum",0,IF(C398="Elite",2,IF(C398="Boss",4,6))),0)</f>
        <v/>
      </c>
      <c r="T398" s="161" t="inlineStr">
        <is>
          <t>Ouro + Fragmento de Guardião Muito Menor do Pilar</t>
        </is>
      </c>
      <c r="U398" s="161" t="inlineStr">
        <is>
          <t>Fragilidade</t>
        </is>
      </c>
      <c r="V398" s="161" t="inlineStr">
        <is>
          <t>Tanque</t>
        </is>
      </c>
      <c r="W398" s="161" t="inlineStr">
        <is>
          <t>Ossuário Draconiano — Ninhal</t>
        </is>
      </c>
      <c r="X398" s="243" t="n"/>
      <c r="Y398" s="243" t="n"/>
      <c r="Z398" s="243" t="n"/>
      <c r="AA398" s="243" t="n"/>
    </row>
    <row r="399">
      <c r="A399" s="161" t="inlineStr">
        <is>
          <t>Osso de Dragao</t>
        </is>
      </c>
      <c r="B399" s="161" t="inlineStr">
        <is>
          <t>Cacador de Dragoes Corrompido</t>
        </is>
      </c>
      <c r="C399" s="161" t="inlineStr">
        <is>
          <t>Comum</t>
        </is>
      </c>
      <c r="D399" s="161" t="n">
        <v>58</v>
      </c>
      <c r="E399" s="161">
        <f>ROUND(INDEX('Curva Mestra'!$F$20:$F$94,MATCH(D399,'Curva Mestra'!$A$20:$A$94,0)),0)</f>
        <v/>
      </c>
      <c r="F399" s="161">
        <f>ROUND(INDEX('Curva Mestra'!$C$20:$C$94,MATCH(D399,'Curva Mestra'!$A$20:$A$94,0))*INDEX($B$5:$B$8,MATCH(C399,$A$5:$A$8,0)),0)</f>
        <v/>
      </c>
      <c r="G399" s="161">
        <f>ROUND(INDEX('Curva Mestra'!$D$20:$D$94,MATCH(D399,'Curva Mestra'!$A$20:$A$94,0))+INDEX($C$5:$C$8,MATCH(C399,$A$5:$A$8,0)),0)</f>
        <v/>
      </c>
      <c r="H399" s="161" t="inlineStr">
        <is>
          <t>Ronda a regiao do tier Osso de Dragao</t>
        </is>
      </c>
      <c r="I399" s="161" t="inlineStr">
        <is>
          <t>Lança Envenenada</t>
        </is>
      </c>
      <c r="J399" s="161" t="inlineStr">
        <is>
          <t>Sem efeito mecânico além do dano — ataque direto.</t>
        </is>
      </c>
      <c r="K399" s="161" t="inlineStr">
        <is>
          <t>Ex-caçador da Ordem que aceitou ouro da Heresia pra vender a localização de ninhos protegidos.</t>
        </is>
      </c>
      <c r="L399" s="161">
        <f>IF(C399="Comum",ROUND(E399*1.3,0),"—")</f>
        <v/>
      </c>
      <c r="M399" s="161">
        <f>IF(C399="Comum",ROUND(F399*1.15,0),"—")</f>
        <v/>
      </c>
      <c r="N399" s="161">
        <f>IF(C399="Comum",G399+2,"—")</f>
        <v/>
      </c>
      <c r="O399" s="161">
        <f>IF(C399="Comum",ROUND(E399*1.6,0),"—")</f>
        <v/>
      </c>
      <c r="P399" s="161">
        <f>IF(C399="Comum",ROUND(F399*1.3,0),"—")</f>
        <v/>
      </c>
      <c r="Q399" s="161">
        <f>IF(C399="Comum",G399+4,"—")</f>
        <v/>
      </c>
      <c r="R399" s="161" t="inlineStr">
        <is>
          <t>A Traição do Caçador-Mestre</t>
        </is>
      </c>
      <c r="S399" s="161">
        <f>ROUND(INDEX('Curva Mestra'!$D$20:$D$94,MATCH(D399,'Curva Mestra'!$A$20:$A$94,0))-IF(C399="Comum",9,IF(C399="Elite",6,IF(C399="Boss",4,3))),0)</f>
        <v/>
      </c>
      <c r="T399" s="161" t="inlineStr">
        <is>
          <t>Ouro + Coração Incandescente de Dragão (chance rara)</t>
        </is>
      </c>
      <c r="U399" s="161" t="inlineStr">
        <is>
          <t>Sem fraqueza óbvia — precisa de Knowledge alto pra descobrir algo específico.</t>
        </is>
      </c>
      <c r="V399" s="242" t="inlineStr">
        <is>
          <t>DPS</t>
        </is>
      </c>
      <c r="W399" s="242" t="inlineStr">
        <is>
          <t>Ossuário Draconiano</t>
        </is>
      </c>
      <c r="X399" s="243" t="n"/>
      <c r="Y399" s="243" t="n"/>
      <c r="Z399" s="243" t="n"/>
      <c r="AA399" s="243" t="n"/>
    </row>
    <row r="400">
      <c r="A400" s="161" t="inlineStr">
        <is>
          <t>Osso de Dragao</t>
        </is>
      </c>
      <c r="B400" s="161" t="inlineStr">
        <is>
          <t>Portador da Peste</t>
        </is>
      </c>
      <c r="C400" s="161" t="inlineStr">
        <is>
          <t>Comum</t>
        </is>
      </c>
      <c r="D400" s="161" t="n">
        <v>58</v>
      </c>
      <c r="E400" s="161">
        <f>ROUND(INDEX('Curva Mestra'!$F$20:$F$94,MATCH(D400,'Curva Mestra'!$A$20:$A$94,0)),0)</f>
        <v/>
      </c>
      <c r="F400" s="161">
        <f>ROUND(INDEX('Curva Mestra'!$C$20:$C$94,MATCH(D400,'Curva Mestra'!$A$20:$A$94,0))*INDEX($B$5:$B$8,MATCH(C400,$A$5:$A$8,0)),0)</f>
        <v/>
      </c>
      <c r="G400" s="161">
        <f>ROUND(INDEX('Curva Mestra'!$D$20:$D$94,MATCH(D400,'Curva Mestra'!$A$20:$A$94,0))+INDEX($C$5:$C$8,MATCH(C400,$A$5:$A$8,0)),0)</f>
        <v/>
      </c>
      <c r="H400" s="161" t="inlineStr">
        <is>
          <t>Servo menor da Peste Escarlate.</t>
        </is>
      </c>
      <c r="I400" s="161" t="inlineStr">
        <is>
          <t>Toque Contagioso</t>
        </is>
      </c>
      <c r="J400" s="161" t="inlineStr">
        <is>
          <t>Veneno (1/turno, 2 turnos).</t>
        </is>
      </c>
      <c r="K400" s="161" t="inlineStr">
        <is>
          <t>Serve a Peste Escarlate, espalha a doença por onde passa.</t>
        </is>
      </c>
      <c r="L400" s="161">
        <f>IF(C400="Comum",ROUND(E400*1.3,0),"—")</f>
        <v/>
      </c>
      <c r="M400" s="161">
        <f>IF(C400="Comum",ROUND(F400*1.15,0),"—")</f>
        <v/>
      </c>
      <c r="N400" s="161">
        <f>IF(C400="Comum",G400+2,"—")</f>
        <v/>
      </c>
      <c r="O400" s="161">
        <f>IF(C400="Comum",ROUND(E400*1.6,0),"—")</f>
        <v/>
      </c>
      <c r="P400" s="161">
        <f>IF(C400="Comum",ROUND(F400*1.3,0),"—")</f>
        <v/>
      </c>
      <c r="Q400" s="161">
        <f>IF(C400="Comum",G400+4,"—")</f>
        <v/>
      </c>
      <c r="R400" s="242" t="n"/>
      <c r="S400" s="161">
        <f>ROUND(3+0.6*D400+IF(C400="Comum",0,IF(C400="Elite",2,IF(C400="Boss",4,6))),0)</f>
        <v/>
      </c>
      <c r="T400" s="161" t="inlineStr">
        <is>
          <t>Ouro + Frasco de Peste</t>
        </is>
      </c>
      <c r="U400" s="161" t="inlineStr">
        <is>
          <t>Queimadura</t>
        </is>
      </c>
      <c r="V400" s="161" t="inlineStr">
        <is>
          <t>Debuffer</t>
        </is>
      </c>
      <c r="W400" s="161" t="inlineStr">
        <is>
          <t>Ossuário Draconiano — Pântano da Peste</t>
        </is>
      </c>
      <c r="X400" s="243" t="n"/>
      <c r="Y400" s="243" t="n"/>
      <c r="Z400" s="243" t="n"/>
      <c r="AA400" s="243" t="n"/>
    </row>
    <row r="401">
      <c r="A401" s="161" t="inlineStr">
        <is>
          <t>Osso de Dragao</t>
        </is>
      </c>
      <c r="B401" s="161" t="inlineStr">
        <is>
          <t>Fera Alada Enfraquecida</t>
        </is>
      </c>
      <c r="C401" s="161" t="inlineStr">
        <is>
          <t>Comum</t>
        </is>
      </c>
      <c r="D401" s="161" t="n">
        <v>58</v>
      </c>
      <c r="E401" s="161">
        <f>ROUND(INDEX('Curva Mestra'!$F$20:$F$94,MATCH(D401,'Curva Mestra'!$A$20:$A$94,0)),0)</f>
        <v/>
      </c>
      <c r="F401" s="161">
        <f>ROUND(INDEX('Curva Mestra'!$C$20:$C$94,MATCH(D401,'Curva Mestra'!$A$20:$A$94,0))*INDEX($B$5:$B$8,MATCH(C401,$A$5:$A$8,0)),0)</f>
        <v/>
      </c>
      <c r="G401" s="161">
        <f>ROUND(INDEX('Curva Mestra'!$D$20:$D$94,MATCH(D401,'Curva Mestra'!$A$20:$A$94,0))+INDEX($C$5:$C$8,MATCH(C401,$A$5:$A$8,0)),0)</f>
        <v/>
      </c>
      <c r="H401" s="161" t="inlineStr">
        <is>
          <t>Variante enfraquecida da Fera Alada Doente.</t>
        </is>
      </c>
      <c r="I401" s="161" t="inlineStr">
        <is>
          <t>Garra Fraca</t>
        </is>
      </c>
      <c r="J401" s="161" t="inlineStr">
        <is>
          <t>Nenhum efeito adicional — variante mais fraca.</t>
        </is>
      </c>
      <c r="K401" s="161" t="inlineStr">
        <is>
          <t>Doente há mais tempo que a Fera Alada Doente comum.</t>
        </is>
      </c>
      <c r="L401" s="161">
        <f>IF(C401="Comum",ROUND(E401*1.3,0),"—")</f>
        <v/>
      </c>
      <c r="M401" s="161">
        <f>IF(C401="Comum",ROUND(F401*1.15,0),"—")</f>
        <v/>
      </c>
      <c r="N401" s="161">
        <f>IF(C401="Comum",G401+2,"—")</f>
        <v/>
      </c>
      <c r="O401" s="161">
        <f>IF(C401="Comum",ROUND(E401*1.6,0),"—")</f>
        <v/>
      </c>
      <c r="P401" s="161">
        <f>IF(C401="Comum",ROUND(F401*1.3,0),"—")</f>
        <v/>
      </c>
      <c r="Q401" s="161">
        <f>IF(C401="Comum",G401+4,"—")</f>
        <v/>
      </c>
      <c r="R401" s="242" t="n"/>
      <c r="S401" s="161">
        <f>ROUND(3+0.6*D401+IF(C401="Comum",0,IF(C401="Elite",2,IF(C401="Boss",4,6))),0)</f>
        <v/>
      </c>
      <c r="T401" s="161" t="inlineStr">
        <is>
          <t>Ouro + Pena Enfraquecida de Fera Alada</t>
        </is>
      </c>
      <c r="U401" s="161" t="inlineStr">
        <is>
          <t>Ignora Defesa</t>
        </is>
      </c>
      <c r="V401" s="161" t="inlineStr">
        <is>
          <t>DPS fraco</t>
        </is>
      </c>
      <c r="W401" s="161" t="inlineStr">
        <is>
          <t>Ossuário Draconiano — Céu Baixo</t>
        </is>
      </c>
      <c r="X401" s="243" t="n"/>
      <c r="Y401" s="243" t="n"/>
      <c r="Z401" s="243" t="n"/>
      <c r="AA401" s="243" t="n"/>
    </row>
    <row r="402">
      <c r="A402" s="161" t="inlineStr">
        <is>
          <t>Osso de Dragao</t>
        </is>
      </c>
      <c r="B402" s="161" t="inlineStr">
        <is>
          <t>Devorador de Ossos Antigos</t>
        </is>
      </c>
      <c r="C402" s="161" t="inlineStr">
        <is>
          <t>Comum</t>
        </is>
      </c>
      <c r="D402" s="161" t="n">
        <v>58</v>
      </c>
      <c r="E402" s="161">
        <f>ROUND(INDEX('Curva Mestra'!$F$20:$F$94,MATCH(D402,'Curva Mestra'!$A$20:$A$94,0)),0)</f>
        <v/>
      </c>
      <c r="F402" s="161">
        <f>ROUND(INDEX('Curva Mestra'!$C$20:$C$94,MATCH(D402,'Curva Mestra'!$A$20:$A$94,0))*INDEX($B$5:$B$8,MATCH(C402,$A$5:$A$8,0)),0)</f>
        <v/>
      </c>
      <c r="G402" s="161">
        <f>ROUND(INDEX('Curva Mestra'!$D$20:$D$94,MATCH(D402,'Curva Mestra'!$A$20:$A$94,0))+INDEX($C$5:$C$8,MATCH(C402,$A$5:$A$8,0)),0)</f>
        <v/>
      </c>
      <c r="H402" s="161" t="inlineStr">
        <is>
          <t>Criatura que vive dos ossos do ossuário.</t>
        </is>
      </c>
      <c r="I402" s="161" t="inlineStr">
        <is>
          <t>Mordida de Ossos</t>
        </is>
      </c>
      <c r="J402" s="161" t="inlineStr">
        <is>
          <t>Cura 6 HP se houver cadáver no local.</t>
        </is>
      </c>
      <c r="K402" s="161" t="inlineStr">
        <is>
          <t>Come o que resta de dragões e caçadores igualmente.</t>
        </is>
      </c>
      <c r="L402" s="161">
        <f>IF(C402="Comum",ROUND(E402*1.3,0),"—")</f>
        <v/>
      </c>
      <c r="M402" s="161">
        <f>IF(C402="Comum",ROUND(F402*1.15,0),"—")</f>
        <v/>
      </c>
      <c r="N402" s="161">
        <f>IF(C402="Comum",G402+2,"—")</f>
        <v/>
      </c>
      <c r="O402" s="161">
        <f>IF(C402="Comum",ROUND(E402*1.6,0),"—")</f>
        <v/>
      </c>
      <c r="P402" s="161">
        <f>IF(C402="Comum",ROUND(F402*1.3,0),"—")</f>
        <v/>
      </c>
      <c r="Q402" s="161">
        <f>IF(C402="Comum",G402+4,"—")</f>
        <v/>
      </c>
      <c r="R402" s="242" t="n"/>
      <c r="S402" s="161">
        <f>ROUND(3+0.6*D402+IF(C402="Comum",0,IF(C402="Elite",2,IF(C402="Boss",4,6))),0)</f>
        <v/>
      </c>
      <c r="T402" s="161" t="inlineStr">
        <is>
          <t>Ouro + Presa de Devorador de Ossos Antigos</t>
        </is>
      </c>
      <c r="U402" s="161" t="inlineStr">
        <is>
          <t>Atordoamento</t>
        </is>
      </c>
      <c r="V402" s="161" t="inlineStr">
        <is>
          <t>Necrófago</t>
        </is>
      </c>
      <c r="W402" s="161" t="inlineStr">
        <is>
          <t>Ossuário Draconiano — Ninhal, após combate vencido</t>
        </is>
      </c>
      <c r="X402" s="243" t="n"/>
      <c r="Y402" s="243" t="n"/>
      <c r="Z402" s="243" t="n"/>
      <c r="AA402" s="243" t="n"/>
    </row>
    <row r="403">
      <c r="A403" s="161" t="inlineStr">
        <is>
          <t>Osso de Dragao</t>
        </is>
      </c>
      <c r="B403" s="161" t="inlineStr">
        <is>
          <t>Verme da Peste Escarlate</t>
        </is>
      </c>
      <c r="C403" s="161" t="inlineStr">
        <is>
          <t>Comum</t>
        </is>
      </c>
      <c r="D403" s="161" t="n">
        <v>58</v>
      </c>
      <c r="E403" s="161">
        <f>ROUND(INDEX('Curva Mestra'!$F$20:$F$94,MATCH(D403,'Curva Mestra'!$A$20:$A$94,0)),0)</f>
        <v/>
      </c>
      <c r="F403" s="161">
        <f>ROUND(INDEX('Curva Mestra'!$C$20:$C$94,MATCH(D403,'Curva Mestra'!$A$20:$A$94,0))*INDEX($B$5:$B$8,MATCH(C403,$A$5:$A$8,0)),0)</f>
        <v/>
      </c>
      <c r="G403" s="161">
        <f>ROUND(INDEX('Curva Mestra'!$D$20:$D$94,MATCH(D403,'Curva Mestra'!$A$20:$A$94,0))+INDEX($C$5:$C$8,MATCH(C403,$A$5:$A$8,0)),0)</f>
        <v/>
      </c>
      <c r="H403" s="161" t="inlineStr">
        <is>
          <t>Parasita que vive na própria peste.</t>
        </is>
      </c>
      <c r="I403" s="161" t="inlineStr">
        <is>
          <t>Sugar Pestilência</t>
        </is>
      </c>
      <c r="J403" s="161" t="inlineStr">
        <is>
          <t>Rouba Vida (15%) — só aparece com Serva da Peste Escarlate presente.</t>
        </is>
      </c>
      <c r="K403" s="161" t="inlineStr">
        <is>
          <t>Vive dentro da carne dos servos da Peste, se alimenta da doença.</t>
        </is>
      </c>
      <c r="L403" s="161">
        <f>IF(C403="Comum",ROUND(E403*1.3,0),"—")</f>
        <v/>
      </c>
      <c r="M403" s="161">
        <f>IF(C403="Comum",ROUND(F403*1.15,0),"—")</f>
        <v/>
      </c>
      <c r="N403" s="161">
        <f>IF(C403="Comum",G403+2,"—")</f>
        <v/>
      </c>
      <c r="O403" s="161">
        <f>IF(C403="Comum",ROUND(E403*1.6,0),"—")</f>
        <v/>
      </c>
      <c r="P403" s="161">
        <f>IF(C403="Comum",ROUND(F403*1.3,0),"—")</f>
        <v/>
      </c>
      <c r="Q403" s="161">
        <f>IF(C403="Comum",G403+4,"—")</f>
        <v/>
      </c>
      <c r="R403" s="242" t="n"/>
      <c r="S403" s="161">
        <f>ROUND(3+0.6*D403+IF(C403="Comum",0,IF(C403="Elite",2,IF(C403="Boss",4,6))),0)</f>
        <v/>
      </c>
      <c r="T403" s="161" t="inlineStr">
        <is>
          <t>Ouro + Segmento de Verme da Peste Escarlate</t>
        </is>
      </c>
      <c r="U403" s="161" t="inlineStr">
        <is>
          <t>Queimadura</t>
        </is>
      </c>
      <c r="V403" s="161" t="inlineStr">
        <is>
          <t>Parasita</t>
        </is>
      </c>
      <c r="W403" s="161" t="inlineStr">
        <is>
          <t>Pântano da Peste, só com Serva presente</t>
        </is>
      </c>
      <c r="X403" s="243" t="n"/>
      <c r="Y403" s="243" t="n"/>
      <c r="Z403" s="243" t="n"/>
      <c r="AA403" s="243" t="n"/>
    </row>
    <row r="404">
      <c r="A404" s="161" t="inlineStr">
        <is>
          <t>Osso de Dragao</t>
        </is>
      </c>
      <c r="B404" s="161" t="inlineStr">
        <is>
          <t>Serva da Peste Escarlate</t>
        </is>
      </c>
      <c r="C404" s="161" t="inlineStr">
        <is>
          <t>Comum</t>
        </is>
      </c>
      <c r="D404" s="161" t="n">
        <v>59</v>
      </c>
      <c r="E404" s="161">
        <f>ROUND(INDEX('Curva Mestra'!$F$20:$F$94,MATCH(D404,'Curva Mestra'!$A$20:$A$94,0)),0)</f>
        <v/>
      </c>
      <c r="F404" s="161">
        <f>ROUND(INDEX('Curva Mestra'!$C$20:$C$94,MATCH(D404,'Curva Mestra'!$A$20:$A$94,0))*INDEX($B$5:$B$8,MATCH(C404,$A$5:$A$8,0)),0)</f>
        <v/>
      </c>
      <c r="G404" s="161">
        <f>ROUND(INDEX('Curva Mestra'!$D$20:$D$94,MATCH(D404,'Curva Mestra'!$A$20:$A$94,0))+INDEX($C$5:$C$8,MATCH(C404,$A$5:$A$8,0)),0)</f>
        <v/>
      </c>
      <c r="H404" s="161" t="inlineStr">
        <is>
          <t>Picos Fumegantes da Cordilheira Ígnea, região de Osso de Dragao.</t>
        </is>
      </c>
      <c r="I404" s="161" t="inlineStr">
        <is>
          <t>Toque Pestilento</t>
        </is>
      </c>
      <c r="J404" s="161" t="inlineStr">
        <is>
          <t>Aplica veneno leve, causando 1 de dano por 2 turnos.</t>
        </is>
      </c>
      <c r="K404" s="161" t="inlineStr">
        <is>
          <t>Atendente do Dragão da Peste Escarlate, contaminada pela mesma carne apodrecendo do próprio ancião que serve.</t>
        </is>
      </c>
      <c r="L404" s="161">
        <f>IF(C404="Comum",ROUND(E404*1.3,0),"—")</f>
        <v/>
      </c>
      <c r="M404" s="161">
        <f>IF(C404="Comum",ROUND(F404*1.15,0),"—")</f>
        <v/>
      </c>
      <c r="N404" s="161">
        <f>IF(C404="Comum",G404+2,"—")</f>
        <v/>
      </c>
      <c r="O404" s="161">
        <f>IF(C404="Comum",ROUND(E404*1.6,0),"—")</f>
        <v/>
      </c>
      <c r="P404" s="161">
        <f>IF(C404="Comum",ROUND(F404*1.3,0),"—")</f>
        <v/>
      </c>
      <c r="Q404" s="161">
        <f>IF(C404="Comum",G404+4,"—")</f>
        <v/>
      </c>
      <c r="R404" s="161" t="inlineStr">
        <is>
          <t>Servas da Peste</t>
        </is>
      </c>
      <c r="S404" s="161">
        <f>ROUND(INDEX('Curva Mestra'!$D$20:$D$94,MATCH(D404,'Curva Mestra'!$A$20:$A$94,0))-IF(C404="Comum",9,IF(C404="Elite",6,IF(C404="Boss",4,3))),0)</f>
        <v/>
      </c>
      <c r="T404" s="161" t="inlineStr">
        <is>
          <t>Ouro + Coração Incandescente de Dragão (chance rara)</t>
        </is>
      </c>
      <c r="U404" s="161" t="inlineStr">
        <is>
          <t>Vulnerável a Gelo/Água — queimadura recebida dura metade do tempo.</t>
        </is>
      </c>
      <c r="V404" s="242" t="inlineStr">
        <is>
          <t>DPS</t>
        </is>
      </c>
      <c r="W404" s="242" t="inlineStr">
        <is>
          <t>Ossuário Draconiano</t>
        </is>
      </c>
      <c r="X404" s="243" t="n"/>
      <c r="Y404" s="242" t="n"/>
      <c r="Z404" s="243" t="n"/>
      <c r="AA404" s="243" t="n"/>
    </row>
    <row r="405">
      <c r="A405" s="161" t="inlineStr">
        <is>
          <t>Osso de Dragao</t>
        </is>
      </c>
      <c r="B405" s="161" t="inlineStr">
        <is>
          <t>Fera Alada Doente</t>
        </is>
      </c>
      <c r="C405" s="161" t="inlineStr">
        <is>
          <t>Comum</t>
        </is>
      </c>
      <c r="D405" s="161" t="n">
        <v>59</v>
      </c>
      <c r="E405" s="161">
        <f>ROUND(INDEX('Curva Mestra'!$F$20:$F$94,MATCH(D405,'Curva Mestra'!$A$20:$A$94,0)),0)</f>
        <v/>
      </c>
      <c r="F405" s="161">
        <f>ROUND(INDEX('Curva Mestra'!$C$20:$C$94,MATCH(D405,'Curva Mestra'!$A$20:$A$94,0))*INDEX($B$5:$B$8,MATCH(C405,$A$5:$A$8,0)),0)</f>
        <v/>
      </c>
      <c r="G405" s="161">
        <f>ROUND(INDEX('Curva Mestra'!$D$20:$D$94,MATCH(D405,'Curva Mestra'!$A$20:$A$94,0))+INDEX($C$5:$C$8,MATCH(C405,$A$5:$A$8,0)),0)</f>
        <v/>
      </c>
      <c r="H405" s="161" t="inlineStr">
        <is>
          <t>Picos Fumegantes da Cordilheira Ígnea, região de Osso de Dragao.</t>
        </is>
      </c>
      <c r="I405" s="161" t="inlineStr">
        <is>
          <t>Voo Errático</t>
        </is>
      </c>
      <c r="J405" s="161" t="inlineStr">
        <is>
          <t>Tem 30% de chance de esquivar de qualquer ataque físico (voo imprevisível pela doença).</t>
        </is>
      </c>
      <c r="K405" s="161" t="inlineStr">
        <is>
          <t>Vida selvagem dos picos, infectada pela pestilência que o Dragão da Peste Escarlate espalha sem querer, só por existir.</t>
        </is>
      </c>
      <c r="L405" s="161">
        <f>IF(C405="Comum",ROUND(E405*1.3,0),"—")</f>
        <v/>
      </c>
      <c r="M405" s="161">
        <f>IF(C405="Comum",ROUND(F405*1.15,0),"—")</f>
        <v/>
      </c>
      <c r="N405" s="161">
        <f>IF(C405="Comum",G405+2,"—")</f>
        <v/>
      </c>
      <c r="O405" s="161">
        <f>IF(C405="Comum",ROUND(E405*1.6,0),"—")</f>
        <v/>
      </c>
      <c r="P405" s="161">
        <f>IF(C405="Comum",ROUND(F405*1.3,0),"—")</f>
        <v/>
      </c>
      <c r="Q405" s="161">
        <f>IF(C405="Comum",G405+4,"—")</f>
        <v/>
      </c>
      <c r="R405" s="161" t="inlineStr">
        <is>
          <t>Ninhos Doentes</t>
        </is>
      </c>
      <c r="S405" s="161">
        <f>ROUND(INDEX('Curva Mestra'!$D$20:$D$94,MATCH(D405,'Curva Mestra'!$A$20:$A$94,0))-IF(C405="Comum",9,IF(C405="Elite",6,IF(C405="Boss",4,3))),0)</f>
        <v/>
      </c>
      <c r="T405" s="161" t="inlineStr">
        <is>
          <t>Ouro + Coração Incandescente de Dragão (chance rara)</t>
        </is>
      </c>
      <c r="U405" s="161" t="inlineStr">
        <is>
          <t>Vulnerável a Gelo/Água — queimadura recebida dura metade do tempo.</t>
        </is>
      </c>
      <c r="V405" s="242" t="inlineStr">
        <is>
          <t>DPS</t>
        </is>
      </c>
      <c r="W405" s="242" t="inlineStr">
        <is>
          <t>Ossuário Draconiano</t>
        </is>
      </c>
      <c r="X405" s="243" t="n"/>
      <c r="Y405" s="243" t="n"/>
      <c r="Z405" s="243" t="n"/>
      <c r="AA405" s="243" t="n"/>
    </row>
    <row r="406">
      <c r="A406" s="161" t="inlineStr">
        <is>
          <t>Osso de Dragao</t>
        </is>
      </c>
      <c r="B406" s="161" t="inlineStr">
        <is>
          <t>Caçador-Mestre em Treinamento Ferido</t>
        </is>
      </c>
      <c r="C406" s="161" t="inlineStr">
        <is>
          <t>Elite</t>
        </is>
      </c>
      <c r="D406" s="161" t="n">
        <v>58</v>
      </c>
      <c r="E406" s="161">
        <f>ROUND(INDEX('Curva Mestra'!$G$20:$G$94,MATCH(D406,'Curva Mestra'!$A$20:$A$94,0)),0)</f>
        <v/>
      </c>
      <c r="F406" s="161">
        <f>ROUND(INDEX('Curva Mestra'!$C$20:$C$94,MATCH(D406,'Curva Mestra'!$A$20:$A$94,0))*INDEX($B$5:$B$8,MATCH(C406,$A$5:$A$8,0)),0)</f>
        <v/>
      </c>
      <c r="G406" s="161">
        <f>ROUND(INDEX('Curva Mestra'!$D$20:$D$94,MATCH(D406,'Curva Mestra'!$A$20:$A$94,0))+INDEX($C$5:$C$8,MATCH(C406,$A$5:$A$8,0)),0)</f>
        <v/>
      </c>
      <c r="H406" s="161" t="inlineStr">
        <is>
          <t>Aprendiz de caçador debilitado.</t>
        </is>
      </c>
      <c r="I406" s="161" t="inlineStr">
        <is>
          <t>Golpe Certeiro Cansado</t>
        </is>
      </c>
      <c r="J406" s="161" t="inlineStr">
        <is>
          <t>+15% de chance de acerto abaixo de 50% HP.</t>
        </is>
      </c>
      <c r="K406" s="161" t="inlineStr">
        <is>
          <t>Aprendiz já ferido em confrontos anteriores.</t>
        </is>
      </c>
      <c r="L406" s="161">
        <f>IF(C406="Comum",ROUND(E406*1.3,0),"—")</f>
        <v/>
      </c>
      <c r="M406" s="161">
        <f>IF(C406="Comum",ROUND(F406*1.15,0),"—")</f>
        <v/>
      </c>
      <c r="N406" s="161">
        <f>IF(C406="Comum",G406+2,"—")</f>
        <v/>
      </c>
      <c r="O406" s="161">
        <f>IF(C406="Comum",ROUND(E406*1.6,0),"—")</f>
        <v/>
      </c>
      <c r="P406" s="161">
        <f>IF(C406="Comum",ROUND(F406*1.3,0),"—")</f>
        <v/>
      </c>
      <c r="Q406" s="161">
        <f>IF(C406="Comum",G406+4,"—")</f>
        <v/>
      </c>
      <c r="R406" s="242" t="n"/>
      <c r="S406" s="161">
        <f>ROUND(3+0.6*D406+IF(C406="Comum",0,IF(C406="Elite",2,IF(C406="Boss",4,6))),0)</f>
        <v/>
      </c>
      <c r="T406" s="161" t="inlineStr">
        <is>
          <t>Ouro + Fragmento de Caçador-Mestre Ferido + Coração Incandescente de Dragão (chance baixa)</t>
        </is>
      </c>
      <c r="U406" s="161" t="inlineStr">
        <is>
          <t>Fragilidade</t>
        </is>
      </c>
      <c r="V406" s="161" t="inlineStr">
        <is>
          <t>DPS</t>
        </is>
      </c>
      <c r="W406" s="161" t="inlineStr">
        <is>
          <t>Trilha dos Caçadores</t>
        </is>
      </c>
      <c r="X406" s="242" t="n"/>
      <c r="Y406" s="242" t="n"/>
      <c r="Z406" s="242" t="n"/>
      <c r="AA406" s="242" t="n"/>
    </row>
    <row r="407">
      <c r="A407" s="161" t="inlineStr">
        <is>
          <t>Osso de Dragao</t>
        </is>
      </c>
      <c r="B407" s="161" t="inlineStr">
        <is>
          <t>Dracoformo Jovem</t>
        </is>
      </c>
      <c r="C407" s="161" t="inlineStr">
        <is>
          <t>Elite</t>
        </is>
      </c>
      <c r="D407" s="161" t="n">
        <v>59</v>
      </c>
      <c r="E407" s="161">
        <f>ROUND(INDEX('Curva Mestra'!$G$20:$G$94,MATCH(D407,'Curva Mestra'!$A$20:$A$94,0)),0)</f>
        <v/>
      </c>
      <c r="F407" s="161">
        <f>ROUND(INDEX('Curva Mestra'!$C$20:$C$94,MATCH(D407,'Curva Mestra'!$A$20:$A$94,0))*INDEX($B$5:$B$8,MATCH(C407,$A$5:$A$8,0)),0)</f>
        <v/>
      </c>
      <c r="G407" s="161">
        <f>ROUND(INDEX('Curva Mestra'!$D$20:$D$94,MATCH(D407,'Curva Mestra'!$A$20:$A$94,0))+INDEX($C$5:$C$8,MATCH(C407,$A$5:$A$8,0)),0)</f>
        <v/>
      </c>
      <c r="H407" s="161" t="inlineStr">
        <is>
          <t>Encontro dificil dentro do tier Osso de Dragao</t>
        </is>
      </c>
      <c r="I407" s="161" t="inlineStr">
        <is>
          <t>Sopro Incompleto</t>
        </is>
      </c>
      <c r="J407" s="161" t="inlineStr">
        <is>
          <t>Queimadura (2 dano/turno por 2 turnos) ao acertar.</t>
        </is>
      </c>
      <c r="K407" s="161" t="inlineStr">
        <is>
          <t>Ainda não desenvolveu o sopro completo — mas já sente o chamado do Dragão da Peste Escarlate, seu ancião mais próximo.</t>
        </is>
      </c>
      <c r="L407" s="161">
        <f>IF(C407="Comum",ROUND(E407*1.3,0),"—")</f>
        <v/>
      </c>
      <c r="M407" s="161">
        <f>IF(C407="Comum",ROUND(F407*1.15,0),"—")</f>
        <v/>
      </c>
      <c r="N407" s="161">
        <f>IF(C407="Comum",G407+2,"—")</f>
        <v/>
      </c>
      <c r="O407" s="161">
        <f>IF(C407="Comum",ROUND(E407*1.6,0),"—")</f>
        <v/>
      </c>
      <c r="P407" s="161">
        <f>IF(C407="Comum",ROUND(F407*1.3,0),"—")</f>
        <v/>
      </c>
      <c r="Q407" s="161">
        <f>IF(C407="Comum",G407+4,"—")</f>
        <v/>
      </c>
      <c r="R407" s="161" t="inlineStr">
        <is>
          <t>Ninhos Doentes</t>
        </is>
      </c>
      <c r="S407" s="161">
        <f>ROUND(INDEX('Curva Mestra'!$D$20:$D$94,MATCH(D407,'Curva Mestra'!$A$20:$A$94,0))-IF(C407="Comum",9,IF(C407="Elite",6,IF(C407="Boss",4,3))),0)</f>
        <v/>
      </c>
      <c r="T407" s="161" t="inlineStr">
        <is>
          <t>Escama de Dracoformo Jovem + Ouro + Coração Incandescente de Dragão (chance baixa)</t>
        </is>
      </c>
      <c r="U407" s="161" t="inlineStr">
        <is>
          <t>Vulnerável a Gelo/Água — queimadura recebida dura metade do tempo.</t>
        </is>
      </c>
      <c r="V407" s="242" t="inlineStr">
        <is>
          <t>DPS</t>
        </is>
      </c>
      <c r="W407" s="242" t="inlineStr">
        <is>
          <t>Ossuário Draconiano</t>
        </is>
      </c>
      <c r="X407" s="243" t="n"/>
      <c r="Y407" s="243" t="n"/>
      <c r="Z407" s="243" t="n"/>
      <c r="AA407" s="243" t="n"/>
    </row>
    <row r="408">
      <c r="A408" s="161" t="inlineStr">
        <is>
          <t>Osso de Dragao</t>
        </is>
      </c>
      <c r="B408" s="161" t="inlineStr">
        <is>
          <t>Caçador-Mestre em Treinamento</t>
        </is>
      </c>
      <c r="C408" s="161" t="inlineStr">
        <is>
          <t>Elite</t>
        </is>
      </c>
      <c r="D408" s="161" t="n">
        <v>59</v>
      </c>
      <c r="E408" s="161">
        <f>ROUND(INDEX('Curva Mestra'!$G$20:$G$94,MATCH(D408,'Curva Mestra'!$A$20:$A$94,0)),0)</f>
        <v/>
      </c>
      <c r="F408" s="161">
        <f>ROUND(INDEX('Curva Mestra'!$C$20:$C$94,MATCH(D408,'Curva Mestra'!$A$20:$A$94,0))*INDEX($B$5:$B$8,MATCH(C408,$A$5:$A$8,0)),0)</f>
        <v/>
      </c>
      <c r="G408" s="161">
        <f>ROUND(INDEX('Curva Mestra'!$D$20:$D$94,MATCH(D408,'Curva Mestra'!$A$20:$A$94,0))+INDEX($C$5:$C$8,MATCH(C408,$A$5:$A$8,0)),0)</f>
        <v/>
      </c>
      <c r="H408" s="161" t="inlineStr">
        <is>
          <t>Segue os passos do Caçador-Mestre Corrompido.</t>
        </is>
      </c>
      <c r="I408" s="161" t="inlineStr">
        <is>
          <t>Golpe Certeiro Fraco</t>
        </is>
      </c>
      <c r="J408" s="161" t="inlineStr">
        <is>
          <t>Ignora Defesa (moderado).</t>
        </is>
      </c>
      <c r="K408" s="161" t="inlineStr">
        <is>
          <t>Aspira ao título de Caçador-Mestre, ainda não tem a traição no sangue.</t>
        </is>
      </c>
      <c r="L408" s="161">
        <f>IF(C408="Comum",ROUND(E408*1.3,0),"—")</f>
        <v/>
      </c>
      <c r="M408" s="161">
        <f>IF(C408="Comum",ROUND(F408*1.15,0),"—")</f>
        <v/>
      </c>
      <c r="N408" s="161">
        <f>IF(C408="Comum",G408+2,"—")</f>
        <v/>
      </c>
      <c r="O408" s="161">
        <f>IF(C408="Comum",ROUND(E408*1.6,0),"—")</f>
        <v/>
      </c>
      <c r="P408" s="161">
        <f>IF(C408="Comum",ROUND(F408*1.3,0),"—")</f>
        <v/>
      </c>
      <c r="Q408" s="161">
        <f>IF(C408="Comum",G408+4,"—")</f>
        <v/>
      </c>
      <c r="R408" s="242" t="n"/>
      <c r="S408" s="161">
        <f>ROUND(3+0.6*D408+IF(C408="Comum",0,IF(C408="Elite",2,IF(C408="Boss",4,6))),0)</f>
        <v/>
      </c>
      <c r="T408" s="161" t="inlineStr">
        <is>
          <t>Ouro + Fragmento de Caçador-Mestre em Treinamento + Coração Incandescente de Dragão (chance baixa)</t>
        </is>
      </c>
      <c r="U408" s="161" t="inlineStr">
        <is>
          <t>Fragilidade</t>
        </is>
      </c>
      <c r="V408" s="161" t="inlineStr">
        <is>
          <t>DPS</t>
        </is>
      </c>
      <c r="W408" s="161" t="inlineStr">
        <is>
          <t>Trilha dos Caçadores</t>
        </is>
      </c>
      <c r="X408" s="243" t="n"/>
      <c r="Y408" s="243" t="n"/>
      <c r="Z408" s="243" t="n"/>
      <c r="AA408" s="243" t="n"/>
    </row>
    <row r="409">
      <c r="A409" s="161" t="inlineStr">
        <is>
          <t>Osso de Dragao</t>
        </is>
      </c>
      <c r="B409" s="161" t="inlineStr">
        <is>
          <t>Guardião Menor do Pilar</t>
        </is>
      </c>
      <c r="C409" s="161" t="inlineStr">
        <is>
          <t>Elite</t>
        </is>
      </c>
      <c r="D409" s="161" t="n">
        <v>59</v>
      </c>
      <c r="E409" s="161">
        <f>ROUND(INDEX('Curva Mestra'!$G$20:$G$94,MATCH(D409,'Curva Mestra'!$A$20:$A$94,0)),0)</f>
        <v/>
      </c>
      <c r="F409" s="161">
        <f>ROUND(INDEX('Curva Mestra'!$C$20:$C$94,MATCH(D409,'Curva Mestra'!$A$20:$A$94,0))*INDEX($B$5:$B$8,MATCH(C409,$A$5:$A$8,0)),0)</f>
        <v/>
      </c>
      <c r="G409" s="161">
        <f>ROUND(INDEX('Curva Mestra'!$D$20:$D$94,MATCH(D409,'Curva Mestra'!$A$20:$A$94,0))+INDEX($C$5:$C$8,MATCH(C409,$A$5:$A$8,0)),0)</f>
        <v/>
      </c>
      <c r="H409" s="161" t="inlineStr">
        <is>
          <t>Guardião menor do pilar de ossos.</t>
        </is>
      </c>
      <c r="I409" s="161" t="inlineStr">
        <is>
          <t>Guarda Firme</t>
        </is>
      </c>
      <c r="J409" s="161" t="inlineStr">
        <is>
          <t>Ignora Resistência Mágica.</t>
        </is>
      </c>
      <c r="K409" s="161" t="inlineStr">
        <is>
          <t>Fragmento funcional do Guardião do Pilar de Ossos maior.</t>
        </is>
      </c>
      <c r="L409" s="161">
        <f>IF(C409="Comum",ROUND(E409*1.3,0),"—")</f>
        <v/>
      </c>
      <c r="M409" s="161">
        <f>IF(C409="Comum",ROUND(F409*1.15,0),"—")</f>
        <v/>
      </c>
      <c r="N409" s="161">
        <f>IF(C409="Comum",G409+2,"—")</f>
        <v/>
      </c>
      <c r="O409" s="161">
        <f>IF(C409="Comum",ROUND(E409*1.6,0),"—")</f>
        <v/>
      </c>
      <c r="P409" s="161">
        <f>IF(C409="Comum",ROUND(F409*1.3,0),"—")</f>
        <v/>
      </c>
      <c r="Q409" s="161">
        <f>IF(C409="Comum",G409+4,"—")</f>
        <v/>
      </c>
      <c r="R409" s="242" t="n"/>
      <c r="S409" s="161">
        <f>ROUND(3+0.6*D409+IF(C409="Comum",0,IF(C409="Elite",2,IF(C409="Boss",4,6))),0)</f>
        <v/>
      </c>
      <c r="T409" s="161" t="inlineStr">
        <is>
          <t>Ouro + Núcleo de Guardião Menor do Pilar + Coração Incandescente de Dragão (chance baixa)</t>
        </is>
      </c>
      <c r="U409" s="161" t="inlineStr">
        <is>
          <t>Fragilidade</t>
        </is>
      </c>
      <c r="V409" s="161" t="inlineStr">
        <is>
          <t>Tanque</t>
        </is>
      </c>
      <c r="W409" s="161" t="inlineStr">
        <is>
          <t>Ossuário Draconiano — Ninhal</t>
        </is>
      </c>
      <c r="X409" s="243" t="n"/>
      <c r="Y409" s="243" t="n"/>
      <c r="Z409" s="243" t="n"/>
      <c r="AA409" s="243" t="n"/>
    </row>
    <row r="410">
      <c r="A410" s="161" t="inlineStr">
        <is>
          <t>Osso de Dragao</t>
        </is>
      </c>
      <c r="B410" s="161" t="inlineStr">
        <is>
          <t>Baú de Ossos Falso</t>
        </is>
      </c>
      <c r="C410" s="161" t="inlineStr">
        <is>
          <t>Elite</t>
        </is>
      </c>
      <c r="D410" s="161" t="n">
        <v>59</v>
      </c>
      <c r="E410" s="161">
        <f>ROUND(INDEX('Curva Mestra'!$G$20:$G$94,MATCH(D410,'Curva Mestra'!$A$20:$A$94,0)),0)</f>
        <v/>
      </c>
      <c r="F410" s="161">
        <f>ROUND(INDEX('Curva Mestra'!$C$20:$C$94,MATCH(D410,'Curva Mestra'!$A$20:$A$94,0))*INDEX($B$5:$B$8,MATCH(C410,$A$5:$A$8,0)),0)</f>
        <v/>
      </c>
      <c r="G410" s="161">
        <f>ROUND(INDEX('Curva Mestra'!$D$20:$D$94,MATCH(D410,'Curva Mestra'!$A$20:$A$94,0))+INDEX($C$5:$C$8,MATCH(C410,$A$5:$A$8,0)),0)</f>
        <v/>
      </c>
      <c r="H410" s="161" t="inlineStr">
        <is>
          <t>Armadilha viva feita de ossos empilhados.</t>
        </is>
      </c>
      <c r="I410" s="161" t="inlineStr">
        <is>
          <t>Mordida do Ossuário</t>
        </is>
      </c>
      <c r="J410" s="161" t="inlineStr">
        <is>
          <t>Ignora Defesa + jogador perde 1 turno de surpresa.</t>
        </is>
      </c>
      <c r="K410" s="161" t="inlineStr">
        <is>
          <t>Caçadores desavisados encontram "tesouros" de ossos que mordem de volta.</t>
        </is>
      </c>
      <c r="L410" s="161">
        <f>IF(C410="Comum",ROUND(E410*1.3,0),"—")</f>
        <v/>
      </c>
      <c r="M410" s="161">
        <f>IF(C410="Comum",ROUND(F410*1.15,0),"—")</f>
        <v/>
      </c>
      <c r="N410" s="161">
        <f>IF(C410="Comum",G410+2,"—")</f>
        <v/>
      </c>
      <c r="O410" s="161">
        <f>IF(C410="Comum",ROUND(E410*1.6,0),"—")</f>
        <v/>
      </c>
      <c r="P410" s="161">
        <f>IF(C410="Comum",ROUND(F410*1.3,0),"—")</f>
        <v/>
      </c>
      <c r="Q410" s="161">
        <f>IF(C410="Comum",G410+4,"—")</f>
        <v/>
      </c>
      <c r="R410" s="242" t="n"/>
      <c r="S410" s="161">
        <f>ROUND(3+0.6*D410+IF(C410="Comum",0,IF(C410="Elite",2,IF(C410="Boss",4,6))),0)</f>
        <v/>
      </c>
      <c r="T410" s="161" t="inlineStr">
        <is>
          <t>Ouro + Coração Incandescente de Dragão (chance alta, x2) + Fragmento de Baú Armadilhado</t>
        </is>
      </c>
      <c r="U410" s="161" t="inlineStr">
        <is>
          <t>Atordoamento</t>
        </is>
      </c>
      <c r="V410" s="161" t="inlineStr">
        <is>
          <t>Mímico</t>
        </is>
      </c>
      <c r="W410" s="161" t="inlineStr">
        <is>
          <t>Ossuário Draconiano, 5% ao interagir</t>
        </is>
      </c>
      <c r="X410" s="243" t="n"/>
      <c r="Y410" s="243" t="n"/>
      <c r="Z410" s="243" t="n"/>
      <c r="AA410" s="241" t="inlineStr">
        <is>
          <t>Coração Incandescente de Dragão x2 (falso — some ao ser revelado, sem uso real) — correção: nome anterior 'Escama de Dracoformo Jovem x2' reutilizava o troféu de outro Elite; ajustado pro material-base do próprio tier</t>
        </is>
      </c>
    </row>
    <row r="411">
      <c r="A411" s="161" t="inlineStr">
        <is>
          <t>Osso de Dragao</t>
        </is>
      </c>
      <c r="B411" s="161" t="inlineStr">
        <is>
          <t>Wyrmling Dourado Fugidio</t>
        </is>
      </c>
      <c r="C411" s="161" t="inlineStr">
        <is>
          <t>Elite</t>
        </is>
      </c>
      <c r="D411" s="161" t="n">
        <v>59</v>
      </c>
      <c r="E411" s="161">
        <f>ROUND(INDEX('Curva Mestra'!$G$20:$G$94,MATCH(D411,'Curva Mestra'!$A$20:$A$94,0)),0)</f>
        <v/>
      </c>
      <c r="F411" s="161">
        <f>ROUND(INDEX('Curva Mestra'!$C$20:$C$94,MATCH(D411,'Curva Mestra'!$A$20:$A$94,0))*INDEX($B$5:$B$8,MATCH(C411,$A$5:$A$8,0)),0)</f>
        <v/>
      </c>
      <c r="G411" s="161">
        <f>ROUND(INDEX('Curva Mestra'!$D$20:$D$94,MATCH(D411,'Curva Mestra'!$A$20:$A$94,0))+INDEX($C$5:$C$8,MATCH(C411,$A$5:$A$8,0)),0)</f>
        <v/>
      </c>
      <c r="H411" s="161" t="inlineStr">
        <is>
          <t>Wyrmling raro, ainda com brilho próprio.</t>
        </is>
      </c>
      <c r="I411" s="161" t="inlineStr">
        <is>
          <t>Fuga nas Alturas</t>
        </is>
      </c>
      <c r="J411" s="161" t="inlineStr">
        <is>
          <t>Não causa dano — foge no turno 3.</t>
        </is>
      </c>
      <c r="K411" s="161" t="inlineStr">
        <is>
          <t>Raro entre os wyrmlings, escamas com brilho que a corrupção não apagou.</t>
        </is>
      </c>
      <c r="L411" s="161">
        <f>IF(C411="Comum",ROUND(E411*1.3,0),"—")</f>
        <v/>
      </c>
      <c r="M411" s="161">
        <f>IF(C411="Comum",ROUND(F411*1.15,0),"—")</f>
        <v/>
      </c>
      <c r="N411" s="161">
        <f>IF(C411="Comum",G411+2,"—")</f>
        <v/>
      </c>
      <c r="O411" s="161">
        <f>IF(C411="Comum",ROUND(E411*1.6,0),"—")</f>
        <v/>
      </c>
      <c r="P411" s="161">
        <f>IF(C411="Comum",ROUND(F411*1.3,0),"—")</f>
        <v/>
      </c>
      <c r="Q411" s="161">
        <f>IF(C411="Comum",G411+4,"—")</f>
        <v/>
      </c>
      <c r="R411" s="242" t="n"/>
      <c r="S411" s="161">
        <f>ROUND(3+0.6*D411+IF(C411="Comum",0,IF(C411="Elite",2,IF(C411="Boss",4,6))),0)</f>
        <v/>
      </c>
      <c r="T411" s="161" t="inlineStr">
        <is>
          <t>Ouro + Escama Dourada de Wyrmling Fugidio</t>
        </is>
      </c>
      <c r="U411" s="161" t="inlineStr">
        <is>
          <t>Lentidão</t>
        </is>
      </c>
      <c r="V411" s="161" t="inlineStr">
        <is>
          <t>Superloot/Evasivo</t>
        </is>
      </c>
      <c r="W411" s="161" t="inlineStr">
        <is>
          <t>Ossuário Draconiano, spawn raro (2%)</t>
        </is>
      </c>
      <c r="X411" s="243" t="n"/>
      <c r="Y411" s="243" t="n"/>
      <c r="Z411" s="243" t="n"/>
      <c r="AA411" s="241" t="inlineStr">
        <is>
          <t>Veio do Pacto Abissal (material de Tier 13)</t>
        </is>
      </c>
    </row>
    <row r="412">
      <c r="A412" s="161" t="inlineStr">
        <is>
          <t>Osso de Dragao</t>
        </is>
      </c>
      <c r="B412" s="161" t="inlineStr">
        <is>
          <t>Guardião do Pilar de Ossos</t>
        </is>
      </c>
      <c r="C412" s="161" t="inlineStr">
        <is>
          <t>Elite</t>
        </is>
      </c>
      <c r="D412" s="161" t="n">
        <v>60</v>
      </c>
      <c r="E412" s="161">
        <f>ROUND(INDEX('Curva Mestra'!$G$20:$G$94,MATCH(D412,'Curva Mestra'!$A$20:$A$94,0)),0)</f>
        <v/>
      </c>
      <c r="F412" s="161">
        <f>ROUND(INDEX('Curva Mestra'!$C$20:$C$94,MATCH(D412,'Curva Mestra'!$A$20:$A$94,0))*INDEX($B$5:$B$8,MATCH(C412,$A$5:$A$8,0)),0)</f>
        <v/>
      </c>
      <c r="G412" s="161">
        <f>ROUND(INDEX('Curva Mestra'!$D$20:$D$94,MATCH(D412,'Curva Mestra'!$A$20:$A$94,0))+INDEX($C$5:$C$8,MATCH(C412,$A$5:$A$8,0)),0)</f>
        <v/>
      </c>
      <c r="H412" s="161" t="inlineStr">
        <is>
          <t>Picos Fumegantes da Cordilheira Ígnea, região de Osso de Dragao.</t>
        </is>
      </c>
      <c r="I412" s="161" t="inlineStr">
        <is>
          <t>Guarda Eterna</t>
        </is>
      </c>
      <c r="J412" s="161" t="inlineStr">
        <is>
          <t>Ignora o primeiro ponto de dano recebido a cada turno.</t>
        </is>
      </c>
      <c r="K412" s="161" t="inlineStr">
        <is>
          <t>Protege "O Olho do Dragão Ancião Cego" no Pilar de Ossos — segue ordem do próprio Dragão Ancião, não da Ordem dos Cavaleiros.</t>
        </is>
      </c>
      <c r="L412" s="161">
        <f>IF(C412="Comum",ROUND(E412*1.3,0),"—")</f>
        <v/>
      </c>
      <c r="M412" s="161">
        <f>IF(C412="Comum",ROUND(F412*1.15,0),"—")</f>
        <v/>
      </c>
      <c r="N412" s="161">
        <f>IF(C412="Comum",G412+2,"—")</f>
        <v/>
      </c>
      <c r="O412" s="161">
        <f>IF(C412="Comum",ROUND(E412*1.6,0),"—")</f>
        <v/>
      </c>
      <c r="P412" s="161">
        <f>IF(C412="Comum",ROUND(F412*1.3,0),"—")</f>
        <v/>
      </c>
      <c r="Q412" s="161">
        <f>IF(C412="Comum",G412+4,"—")</f>
        <v/>
      </c>
      <c r="R412" s="161" t="inlineStr">
        <is>
          <t>O Olho do Dragão Ancião Cego</t>
        </is>
      </c>
      <c r="S412" s="161">
        <f>ROUND(INDEX('Curva Mestra'!$D$20:$D$94,MATCH(D412,'Curva Mestra'!$A$20:$A$94,0))-IF(C412="Comum",9,IF(C412="Elite",6,IF(C412="Boss",4,3))),0)</f>
        <v/>
      </c>
      <c r="T412" s="161" t="inlineStr">
        <is>
          <t>Núcleo de Guardião do Pilar de Ossos + Ouro + Coração Incandescente de Dragão (chance baixa)</t>
        </is>
      </c>
      <c r="U412" s="161" t="inlineStr">
        <is>
          <t>Vulnerável no ventre — Ignora Defesa se atacado logo após ele atacar (guarda baixa).</t>
        </is>
      </c>
      <c r="V412" s="242" t="inlineStr">
        <is>
          <t>DPS</t>
        </is>
      </c>
      <c r="W412" s="242" t="inlineStr">
        <is>
          <t>Ossuário Draconiano</t>
        </is>
      </c>
      <c r="X412" s="243" t="n"/>
      <c r="Y412" s="243" t="n"/>
      <c r="Z412" s="243" t="n"/>
      <c r="AA412" s="243" t="n"/>
    </row>
    <row r="413">
      <c r="A413" s="161" t="inlineStr">
        <is>
          <t>Osso de Dragao</t>
        </is>
      </c>
      <c r="B413" s="161" t="inlineStr">
        <is>
          <t>Caçador-Mestre Corrompido</t>
        </is>
      </c>
      <c r="C413" s="161" t="inlineStr">
        <is>
          <t>Elite</t>
        </is>
      </c>
      <c r="D413" s="161" t="n">
        <v>60</v>
      </c>
      <c r="E413" s="161">
        <f>ROUND(INDEX('Curva Mestra'!$G$20:$G$94,MATCH(D413,'Curva Mestra'!$A$20:$A$94,0)),0)</f>
        <v/>
      </c>
      <c r="F413" s="161">
        <f>ROUND(INDEX('Curva Mestra'!$C$20:$C$94,MATCH(D413,'Curva Mestra'!$A$20:$A$94,0))*INDEX($B$5:$B$8,MATCH(C413,$A$5:$A$8,0)),0)</f>
        <v/>
      </c>
      <c r="G413" s="161">
        <f>ROUND(INDEX('Curva Mestra'!$D$20:$D$94,MATCH(D413,'Curva Mestra'!$A$20:$A$94,0))+INDEX($C$5:$C$8,MATCH(C413,$A$5:$A$8,0)),0)</f>
        <v/>
      </c>
      <c r="H413" s="161" t="inlineStr">
        <is>
          <t>Picos Fumegantes da Cordilheira Ígnea, região de Osso de Dragao.</t>
        </is>
      </c>
      <c r="I413" s="161" t="inlineStr">
        <is>
          <t>Traição Certeira</t>
        </is>
      </c>
      <c r="J413" s="161" t="inlineStr">
        <is>
          <t>+3 de Ataque no primeiro golpe contra um alvo que ele já treinou (bônus contra caçadores da Ordem). Também aplica: Queimadura (2 dano/turno por 2 turnos) ao acertar.</t>
        </is>
      </c>
      <c r="K413" s="161" t="inlineStr">
        <is>
          <t>Foi mentor de Elowen a Caçadora de Wyrms antes de vender informações à Heresia do Titã Negro. Ela ainda não sabe.</t>
        </is>
      </c>
      <c r="L413" s="161">
        <f>IF(C413="Comum",ROUND(E413*1.3,0),"—")</f>
        <v/>
      </c>
      <c r="M413" s="161">
        <f>IF(C413="Comum",ROUND(F413*1.15,0),"—")</f>
        <v/>
      </c>
      <c r="N413" s="161">
        <f>IF(C413="Comum",G413+2,"—")</f>
        <v/>
      </c>
      <c r="O413" s="161">
        <f>IF(C413="Comum",ROUND(E413*1.6,0),"—")</f>
        <v/>
      </c>
      <c r="P413" s="161">
        <f>IF(C413="Comum",ROUND(F413*1.3,0),"—")</f>
        <v/>
      </c>
      <c r="Q413" s="161">
        <f>IF(C413="Comum",G413+4,"—")</f>
        <v/>
      </c>
      <c r="R413" s="161" t="inlineStr">
        <is>
          <t>A Traição do Caçador-Mestre</t>
        </is>
      </c>
      <c r="S413" s="161">
        <f>ROUND(INDEX('Curva Mestra'!$D$20:$D$94,MATCH(D413,'Curva Mestra'!$A$20:$A$94,0))-IF(C413="Comum",9,IF(C413="Elite",6,IF(C413="Boss",4,3))),0)</f>
        <v/>
      </c>
      <c r="T413" s="161" t="inlineStr">
        <is>
          <t>Fragmento de Caçador-Mestre Corrompido + Ouro + Coração Incandescente de Dragão (chance baixa)</t>
        </is>
      </c>
      <c r="U413" s="161" t="inlineStr">
        <is>
          <t>Vulnerável no ventre — Ignora Defesa se atacado logo após ele atacar (guarda baixa).</t>
        </is>
      </c>
      <c r="V413" s="242" t="inlineStr">
        <is>
          <t>DPS</t>
        </is>
      </c>
      <c r="W413" s="242" t="inlineStr">
        <is>
          <t>Ossuário Draconiano</t>
        </is>
      </c>
      <c r="X413" s="243" t="n"/>
      <c r="Y413" s="243" t="n"/>
      <c r="Z413" s="243" t="n"/>
      <c r="AA413" s="243" t="n"/>
    </row>
    <row r="414">
      <c r="A414" s="161" t="inlineStr">
        <is>
          <t>Osso de Dragao</t>
        </is>
      </c>
      <c r="B414" s="161" t="inlineStr">
        <is>
          <t>Kessandra, a Caçadora Que Se Recusou a Trair</t>
        </is>
      </c>
      <c r="C414" s="161" t="inlineStr">
        <is>
          <t>Elite</t>
        </is>
      </c>
      <c r="D414" s="161" t="n">
        <v>60</v>
      </c>
      <c r="E414" s="161">
        <f>ROUND(INDEX('Curva Mestra'!$G$20:$G$94,MATCH(D414,'Curva Mestra'!$A$20:$A$94,0)),0)</f>
        <v/>
      </c>
      <c r="F414" s="161">
        <f>ROUND(INDEX('Curva Mestra'!$C$20:$C$94,MATCH(D414,'Curva Mestra'!$A$20:$A$94,0))*INDEX($B$5:$B$8,MATCH(C414,$A$5:$A$8,0)),0)</f>
        <v/>
      </c>
      <c r="G414" s="161">
        <f>ROUND(INDEX('Curva Mestra'!$D$20:$D$94,MATCH(D414,'Curva Mestra'!$A$20:$A$94,0))+INDEX($C$5:$C$8,MATCH(C414,$A$5:$A$8,0)),0)</f>
        <v/>
      </c>
      <c r="H414" s="161" t="inlineStr">
        <is>
          <t>Última caçadora que não traiu o próprio ofício.</t>
        </is>
      </c>
      <c r="I414" s="161" t="inlineStr">
        <is>
          <t>Lança da Lealdade</t>
        </is>
      </c>
      <c r="J414" s="161" t="inlineStr">
        <is>
          <t>Ignora Defesa + Ignora Resistência Mágica.</t>
        </is>
      </c>
      <c r="K414" s="161" t="inlineStr">
        <is>
          <t>Era aprendiz do Caçador-Mestre. Recusou-se a trair os dragões pela recompensa da Infecção.</t>
        </is>
      </c>
      <c r="L414" s="161">
        <f>IF(C414="Comum",ROUND(E414*1.3,0),"—")</f>
        <v/>
      </c>
      <c r="M414" s="161">
        <f>IF(C414="Comum",ROUND(F414*1.15,0),"—")</f>
        <v/>
      </c>
      <c r="N414" s="161">
        <f>IF(C414="Comum",G414+2,"—")</f>
        <v/>
      </c>
      <c r="O414" s="161">
        <f>IF(C414="Comum",ROUND(E414*1.6,0),"—")</f>
        <v/>
      </c>
      <c r="P414" s="161">
        <f>IF(C414="Comum",ROUND(F414*1.3,0),"—")</f>
        <v/>
      </c>
      <c r="Q414" s="161">
        <f>IF(C414="Comum",G414+4,"—")</f>
        <v/>
      </c>
      <c r="R414" s="242" t="n"/>
      <c r="S414" s="161">
        <f>ROUND(3+0.6*D414+IF(C414="Comum",0,IF(C414="Elite",2,IF(C414="Boss",4,6))),0)</f>
        <v/>
      </c>
      <c r="T414" s="161" t="inlineStr">
        <is>
          <t>Ouro + Fragmento de Kessandra + Coração Incandescente de Dragão (chance baixa)</t>
        </is>
      </c>
      <c r="U414" s="161" t="inlineStr">
        <is>
          <t>Lentidão</t>
        </is>
      </c>
      <c r="V414" s="161" t="inlineStr">
        <is>
          <t>Nomeado / Mini-Boss</t>
        </is>
      </c>
      <c r="W414" s="161" t="inlineStr">
        <is>
          <t>Trilha dos Caçadores, spawn raro (4%)</t>
        </is>
      </c>
      <c r="X414" s="241" t="inlineStr">
        <is>
          <t>A 30% de HP para de atacar e pede ajuda pra proteger o Ninhal do Caçador-Mestre corrompido — vira aliada se aceito.</t>
        </is>
      </c>
      <c r="Y414" s="243" t="n"/>
      <c r="Z414" s="243" t="n"/>
      <c r="AA414" s="241" t="inlineStr">
        <is>
          <t>Lança da Lealdade Quebrada (se derrotada em vez de recrutada) [ver Artefatos e Relíquias]</t>
        </is>
      </c>
    </row>
    <row r="415">
      <c r="A415" s="161" t="inlineStr">
        <is>
          <t>Osso de Dragao</t>
        </is>
      </c>
      <c r="B415" s="161" t="inlineStr">
        <is>
          <t>Dragao Anciao</t>
        </is>
      </c>
      <c r="C415" s="161" t="inlineStr">
        <is>
          <t>Boss</t>
        </is>
      </c>
      <c r="D415" s="161" t="n">
        <v>61</v>
      </c>
      <c r="E415" s="161">
        <f>ROUND(INDEX('Curva Mestra'!$H$20:$H$94,MATCH(D415,'Curva Mestra'!$A$20:$A$94,0)),0)</f>
        <v/>
      </c>
      <c r="F415" s="161">
        <f>ROUND(INDEX('Curva Mestra'!$C$20:$C$94,MATCH(D415,'Curva Mestra'!$A$20:$A$94,0))*INDEX($B$5:$B$8,MATCH(C415,$A$5:$A$8,0)),0)</f>
        <v/>
      </c>
      <c r="G415" s="161">
        <f>ROUND(INDEX('Curva Mestra'!$D$20:$D$94,MATCH(D415,'Curva Mestra'!$A$20:$A$94,0))+INDEX($C$5:$C$8,MATCH(C415,$A$5:$A$8,0)),0)</f>
        <v/>
      </c>
      <c r="H415" s="161" t="inlineStr">
        <is>
          <t>Chefe / marco final do tier Osso de Dragao</t>
        </is>
      </c>
      <c r="I415" s="161" t="inlineStr">
        <is>
          <t>Rugido Ancestral</t>
        </is>
      </c>
      <c r="J415" s="161" t="inlineStr">
        <is>
          <t>Queimadura (2 dano/turno por 2 turnos) ao acertar.</t>
        </is>
      </c>
      <c r="K415" s="161" t="inlineStr">
        <is>
          <t>Não serve à infecção — guarda o Pilar de Ossos e "O Olho do Dragão Ancião Cego" por juramento próprio, muito antes da Mão existir.</t>
        </is>
      </c>
      <c r="L415" s="161">
        <f>IF(C415="Comum",ROUND(E415*1.3,0),"—")</f>
        <v/>
      </c>
      <c r="M415" s="161">
        <f>IF(C415="Comum",ROUND(F415*1.15,0),"—")</f>
        <v/>
      </c>
      <c r="N415" s="161">
        <f>IF(C415="Comum",G415+2,"—")</f>
        <v/>
      </c>
      <c r="O415" s="161">
        <f>IF(C415="Comum",ROUND(E415*1.6,0),"—")</f>
        <v/>
      </c>
      <c r="P415" s="161">
        <f>IF(C415="Comum",ROUND(F415*1.3,0),"—")</f>
        <v/>
      </c>
      <c r="Q415" s="161">
        <f>IF(C415="Comum",G415+4,"—")</f>
        <v/>
      </c>
      <c r="R415" s="161" t="inlineStr">
        <is>
          <t>A Última Prece do Dragão Ancião</t>
        </is>
      </c>
      <c r="S415" s="161">
        <f>ROUND(INDEX('Curva Mestra'!$D$20:$D$94,MATCH(D415,'Curva Mestra'!$A$20:$A$94,0))-IF(C415="Comum",9,IF(C415="Elite",6,IF(C415="Boss",4,3))),0)</f>
        <v/>
      </c>
      <c r="T415" s="161" t="inlineStr">
        <is>
          <t>Escama de Dragao Anciao + Essência de Dragao Anciao + Ouro + Coração Incandescente de Dragão (chance baixa)</t>
        </is>
      </c>
      <c r="U415" s="161" t="inlineStr">
        <is>
          <t>Vulnerável no ventre — Ignora Defesa se atacado logo após ele atacar (guarda baixa).</t>
        </is>
      </c>
      <c r="V415" s="242" t="inlineStr">
        <is>
          <t>DPS</t>
        </is>
      </c>
      <c r="W415" s="242" t="inlineStr">
        <is>
          <t>Ossuário Draconiano</t>
        </is>
      </c>
      <c r="X415" s="243" t="n"/>
      <c r="Y415" s="243" t="n"/>
      <c r="Z415" s="243" t="n"/>
      <c r="AA415" s="243" t="inlineStr">
        <is>
          <t>O Olho do Dragão Ancião Cego</t>
        </is>
      </c>
    </row>
    <row r="416">
      <c r="A416" s="161" t="inlineStr">
        <is>
          <t>Osso de Dragao</t>
        </is>
      </c>
      <c r="B416" s="161" t="inlineStr">
        <is>
          <t>O Dragão da Peste Escarlate</t>
        </is>
      </c>
      <c r="C416" s="161" t="inlineStr">
        <is>
          <t>Boss</t>
        </is>
      </c>
      <c r="D416" s="161" t="n">
        <v>62</v>
      </c>
      <c r="E416" s="161">
        <f>ROUND(INDEX('Curva Mestra'!$H$20:$H$94,MATCH(D416,'Curva Mestra'!$A$20:$A$94,0)),0)</f>
        <v/>
      </c>
      <c r="F416" s="161">
        <f>ROUND(INDEX('Curva Mestra'!$C$20:$C$94,MATCH(D416,'Curva Mestra'!$A$20:$A$94,0))*INDEX($B$5:$B$8,MATCH(C416,$A$5:$A$8,0)),0)</f>
        <v/>
      </c>
      <c r="G416" s="161">
        <f>ROUND(INDEX('Curva Mestra'!$D$20:$D$94,MATCH(D416,'Curva Mestra'!$A$20:$A$94,0))+INDEX($C$5:$C$8,MATCH(C416,$A$5:$A$8,0)),0)</f>
        <v/>
      </c>
      <c r="H416" s="161" t="inlineStr">
        <is>
          <t>Picos Fumegantes da Cordilheira Ígnea, região de Osso de Dragao.</t>
        </is>
      </c>
      <c r="I416" s="161" t="inlineStr">
        <is>
          <t>Sopro de Carne Podre</t>
        </is>
      </c>
      <c r="J416" s="161" t="inlineStr">
        <is>
          <t>Ignora 4 pontos de Defesa e aplica veneno grave a todos os heróis.</t>
        </is>
      </c>
      <c r="K416" s="161" t="inlineStr">
        <is>
          <t>Dragão ancião cuja carne começou a apodrecer viva pela infecção — o clímax real do Ato IV, e prova de que nem dragões escapam da Mão.</t>
        </is>
      </c>
      <c r="L416" s="161">
        <f>IF(C416="Comum",ROUND(E416*1.3,0),"—")</f>
        <v/>
      </c>
      <c r="M416" s="161">
        <f>IF(C416="Comum",ROUND(F416*1.15,0),"—")</f>
        <v/>
      </c>
      <c r="N416" s="161">
        <f>IF(C416="Comum",G416+2,"—")</f>
        <v/>
      </c>
      <c r="O416" s="161">
        <f>IF(C416="Comum",ROUND(E416*1.6,0),"—")</f>
        <v/>
      </c>
      <c r="P416" s="161">
        <f>IF(C416="Comum",ROUND(F416*1.3,0),"—")</f>
        <v/>
      </c>
      <c r="Q416" s="161">
        <f>IF(C416="Comum",G416+4,"—")</f>
        <v/>
      </c>
      <c r="R416" s="161" t="inlineStr">
        <is>
          <t>O Dragão da Peste Escarlate (fecha o Ato IV)</t>
        </is>
      </c>
      <c r="S416" s="161">
        <f>ROUND(INDEX('Curva Mestra'!$D$20:$D$94,MATCH(D416,'Curva Mestra'!$A$20:$A$94,0))-IF(C416="Comum",9,IF(C416="Elite",6,IF(C416="Boss",4,3))),0)</f>
        <v/>
      </c>
      <c r="T416" s="161" t="inlineStr">
        <is>
          <t>Escama de O Dragão da Peste Escarlate + Essência de O Dragão da Peste Escarlate + Ouro + Coração Incandescente de Dragão (chance baixa)</t>
        </is>
      </c>
      <c r="U416" s="161" t="inlineStr">
        <is>
          <t>Vulnerável a Gelo/Água — queimadura recebida dura metade do tempo.</t>
        </is>
      </c>
      <c r="V416" s="242" t="inlineStr">
        <is>
          <t>DPS</t>
        </is>
      </c>
      <c r="W416" s="242" t="inlineStr">
        <is>
          <t>Ossuário Draconiano</t>
        </is>
      </c>
      <c r="X416" s="243" t="n"/>
      <c r="Y416" s="243" t="n"/>
      <c r="Z416" s="243" t="n"/>
      <c r="AA416" s="243" t="n"/>
    </row>
    <row r="417">
      <c r="A417" s="161" t="inlineStr">
        <is>
          <t>Pacto Daedrico</t>
        </is>
      </c>
      <c r="B417" s="161" t="inlineStr">
        <is>
          <t>Cultista Muito Novo</t>
        </is>
      </c>
      <c r="C417" s="161" t="inlineStr">
        <is>
          <t>Comum</t>
        </is>
      </c>
      <c r="D417" s="161" t="n">
        <v>62</v>
      </c>
      <c r="E417" s="161">
        <f>ROUND(INDEX('Curva Mestra'!$F$20:$F$94,MATCH(D417,'Curva Mestra'!$A$20:$A$94,0)),0)</f>
        <v/>
      </c>
      <c r="F417" s="161">
        <f>ROUND(INDEX('Curva Mestra'!$C$20:$C$94,MATCH(D417,'Curva Mestra'!$A$20:$A$94,0))*INDEX($B$5:$B$8,MATCH(C417,$A$5:$A$8,0)),0)</f>
        <v/>
      </c>
      <c r="G417" s="161">
        <f>ROUND(INDEX('Curva Mestra'!$D$20:$D$94,MATCH(D417,'Curva Mestra'!$A$20:$A$94,0))+INDEX($C$5:$C$8,MATCH(C417,$A$5:$A$8,0)),0)</f>
        <v/>
      </c>
      <c r="H417" s="161" t="inlineStr">
        <is>
          <t>O membro mais recente do Círculo Daédrico.</t>
        </is>
      </c>
      <c r="I417" s="161" t="inlineStr">
        <is>
          <t>Punhal Muito Hesitante</t>
        </is>
      </c>
      <c r="J417" s="161" t="inlineStr">
        <is>
          <t>Nenhum — 15% de chance de recusar lutar.</t>
        </is>
      </c>
      <c r="K417" s="161" t="inlineStr">
        <is>
          <t>Mais novo ainda que o Cultista Recém-Iniciado.</t>
        </is>
      </c>
      <c r="L417" s="161">
        <f>IF(C417="Comum",ROUND(E417*1.3,0),"—")</f>
        <v/>
      </c>
      <c r="M417" s="161">
        <f>IF(C417="Comum",ROUND(F417*1.15,0),"—")</f>
        <v/>
      </c>
      <c r="N417" s="161">
        <f>IF(C417="Comum",G417+2,"—")</f>
        <v/>
      </c>
      <c r="O417" s="161">
        <f>IF(C417="Comum",ROUND(E417*1.6,0),"—")</f>
        <v/>
      </c>
      <c r="P417" s="161">
        <f>IF(C417="Comum",ROUND(F417*1.3,0),"—")</f>
        <v/>
      </c>
      <c r="Q417" s="161">
        <f>IF(C417="Comum",G417+4,"—")</f>
        <v/>
      </c>
      <c r="R417" s="242" t="n"/>
      <c r="S417" s="161">
        <f>ROUND(3+0.6*D417+IF(C417="Comum",0,IF(C417="Elite",2,IF(C417="Boss",4,6))),0)</f>
        <v/>
      </c>
      <c r="T417" s="161" t="inlineStr">
        <is>
          <t>Ouro + Manto Novo de Cultista</t>
        </is>
      </c>
      <c r="U417" s="161" t="inlineStr">
        <is>
          <t>Atordoamento</t>
        </is>
      </c>
      <c r="V417" s="161" t="inlineStr">
        <is>
          <t>Não-hostil condicional</t>
        </is>
      </c>
      <c r="W417" s="161" t="inlineStr">
        <is>
          <t>Círculo do Pacto — Entrada</t>
        </is>
      </c>
      <c r="X417" s="243" t="n"/>
      <c r="Y417" s="241" t="inlineStr">
        <is>
          <t>Se abordado em paz, pode desertar antes de qualquer ritual (quest).</t>
        </is>
      </c>
      <c r="Z417" s="243" t="n"/>
      <c r="AA417" s="243" t="n"/>
    </row>
    <row r="418">
      <c r="A418" s="161" t="inlineStr">
        <is>
          <t>Pacto Daedrico</t>
        </is>
      </c>
      <c r="B418" s="161" t="inlineStr">
        <is>
          <t>Escriba Iniciante</t>
        </is>
      </c>
      <c r="C418" s="161" t="inlineStr">
        <is>
          <t>Comum</t>
        </is>
      </c>
      <c r="D418" s="161" t="n">
        <v>62</v>
      </c>
      <c r="E418" s="161">
        <f>ROUND(INDEX('Curva Mestra'!$F$20:$F$94,MATCH(D418,'Curva Mestra'!$A$20:$A$94,0)),0)</f>
        <v/>
      </c>
      <c r="F418" s="161">
        <f>ROUND(INDEX('Curva Mestra'!$C$20:$C$94,MATCH(D418,'Curva Mestra'!$A$20:$A$94,0))*INDEX($B$5:$B$8,MATCH(C418,$A$5:$A$8,0)),0)</f>
        <v/>
      </c>
      <c r="G418" s="161">
        <f>ROUND(INDEX('Curva Mestra'!$D$20:$D$94,MATCH(D418,'Curva Mestra'!$A$20:$A$94,0))+INDEX($C$5:$C$8,MATCH(C418,$A$5:$A$8,0)),0)</f>
        <v/>
      </c>
      <c r="H418" s="161" t="inlineStr">
        <is>
          <t>Novo escriba a serviço do Arquivista.</t>
        </is>
      </c>
      <c r="I418" s="161" t="inlineStr">
        <is>
          <t>Golpe Trêmulo de Pena</t>
        </is>
      </c>
      <c r="J418" s="161" t="inlineStr">
        <is>
          <t>Nenhum efeito adicional.</t>
        </is>
      </c>
      <c r="K418" s="161" t="inlineStr">
        <is>
          <t>Escriba iniciante do Arquivista Traidor, ainda aprendendo os segredos.</t>
        </is>
      </c>
      <c r="L418" s="161">
        <f>IF(C418="Comum",ROUND(E418*1.3,0),"—")</f>
        <v/>
      </c>
      <c r="M418" s="161">
        <f>IF(C418="Comum",ROUND(F418*1.15,0),"—")</f>
        <v/>
      </c>
      <c r="N418" s="161">
        <f>IF(C418="Comum",G418+2,"—")</f>
        <v/>
      </c>
      <c r="O418" s="161">
        <f>IF(C418="Comum",ROUND(E418*1.6,0),"—")</f>
        <v/>
      </c>
      <c r="P418" s="161">
        <f>IF(C418="Comum",ROUND(F418*1.3,0),"—")</f>
        <v/>
      </c>
      <c r="Q418" s="161">
        <f>IF(C418="Comum",G418+4,"—")</f>
        <v/>
      </c>
      <c r="R418" s="242" t="n"/>
      <c r="S418" s="161">
        <f>ROUND(3+0.6*D418+IF(C418="Comum",0,IF(C418="Elite",2,IF(C418="Boss",4,6))),0)</f>
        <v/>
      </c>
      <c r="T418" s="161" t="inlineStr">
        <is>
          <t>Ouro + Pena Rachada de Escriba Iniciante</t>
        </is>
      </c>
      <c r="U418" s="161" t="inlineStr">
        <is>
          <t>Ignora Defesa</t>
        </is>
      </c>
      <c r="V418" s="161" t="inlineStr">
        <is>
          <t>DPS fraco</t>
        </is>
      </c>
      <c r="W418" s="161" t="inlineStr">
        <is>
          <t>Círculo do Pacto — Entrada</t>
        </is>
      </c>
      <c r="X418" s="243" t="n"/>
      <c r="Y418" s="243" t="n"/>
      <c r="Z418" s="243" t="n"/>
      <c r="AA418" s="243" t="n"/>
    </row>
    <row r="419">
      <c r="A419" s="161" t="inlineStr">
        <is>
          <t>Pacto Daedrico</t>
        </is>
      </c>
      <c r="B419" s="161" t="inlineStr">
        <is>
          <t>Cultista Daedrico</t>
        </is>
      </c>
      <c r="C419" s="161" t="inlineStr">
        <is>
          <t>Comum</t>
        </is>
      </c>
      <c r="D419" s="161" t="n">
        <v>63</v>
      </c>
      <c r="E419" s="161">
        <f>ROUND(INDEX('Curva Mestra'!$F$20:$F$94,MATCH(D419,'Curva Mestra'!$A$20:$A$94,0)),0)</f>
        <v/>
      </c>
      <c r="F419" s="161">
        <f>ROUND(INDEX('Curva Mestra'!$C$20:$C$94,MATCH(D419,'Curva Mestra'!$A$20:$A$94,0))*INDEX($B$5:$B$8,MATCH(C419,$A$5:$A$8,0)),0)</f>
        <v/>
      </c>
      <c r="G419" s="161">
        <f>ROUND(INDEX('Curva Mestra'!$D$20:$D$94,MATCH(D419,'Curva Mestra'!$A$20:$A$94,0))+INDEX($C$5:$C$8,MATCH(C419,$A$5:$A$8,0)),0)</f>
        <v/>
      </c>
      <c r="H419" s="161" t="inlineStr">
        <is>
          <t>Ronda a regiao do tier Pacto Daedrico</t>
        </is>
      </c>
      <c r="I419" s="161" t="inlineStr">
        <is>
          <t>Punhal Ritual</t>
        </is>
      </c>
      <c r="J419" s="161" t="inlineStr">
        <is>
          <t>Sem efeito mecânico além do dano — ataque direto.</t>
        </is>
      </c>
      <c r="K419" s="161" t="inlineStr">
        <is>
          <t>Devoto dos Arautos do Aspecto Supremo — crê que "o ciclo de dor acaba quando a Mão fechar o punho sobre o mundo".</t>
        </is>
      </c>
      <c r="L419" s="161">
        <f>IF(C419="Comum",ROUND(E419*1.3,0),"—")</f>
        <v/>
      </c>
      <c r="M419" s="161">
        <f>IF(C419="Comum",ROUND(F419*1.15,0),"—")</f>
        <v/>
      </c>
      <c r="N419" s="161">
        <f>IF(C419="Comum",G419+2,"—")</f>
        <v/>
      </c>
      <c r="O419" s="161">
        <f>IF(C419="Comum",ROUND(E419*1.6,0),"—")</f>
        <v/>
      </c>
      <c r="P419" s="161">
        <f>IF(C419="Comum",ROUND(F419*1.3,0),"—")</f>
        <v/>
      </c>
      <c r="Q419" s="161">
        <f>IF(C419="Comum",G419+4,"—")</f>
        <v/>
      </c>
      <c r="R419" s="161" t="inlineStr">
        <is>
          <t>Sussurros no Círculo</t>
        </is>
      </c>
      <c r="S419" s="161">
        <f>ROUND(INDEX('Curva Mestra'!$D$20:$D$94,MATCH(D419,'Curva Mestra'!$A$20:$A$94,0))-IF(C419="Comum",9,IF(C419="Elite",6,IF(C419="Boss",4,3))),0)</f>
        <v/>
      </c>
      <c r="T419" s="161" t="inlineStr">
        <is>
          <t>Ouro + Olho Preservado do Arauto (chance rara)</t>
        </is>
      </c>
      <c r="U419" s="161" t="inlineStr">
        <is>
          <t>Perde o bônus de grupo se isolado dos outros cultistas em combate.</t>
        </is>
      </c>
      <c r="V419" s="242" t="inlineStr">
        <is>
          <t>DPS</t>
        </is>
      </c>
      <c r="W419" s="242" t="inlineStr">
        <is>
          <t>Círculo do Pacto</t>
        </is>
      </c>
      <c r="X419" s="243" t="n"/>
      <c r="Y419" s="243" t="n"/>
      <c r="Z419" s="243" t="n"/>
      <c r="AA419" s="243" t="n"/>
    </row>
    <row r="420">
      <c r="A420" s="161" t="inlineStr">
        <is>
          <t>Pacto Daedrico</t>
        </is>
      </c>
      <c r="B420" s="161" t="inlineStr">
        <is>
          <t>Cultista Recém-Iniciado</t>
        </is>
      </c>
      <c r="C420" s="161" t="inlineStr">
        <is>
          <t>Comum</t>
        </is>
      </c>
      <c r="D420" s="161" t="n">
        <v>63</v>
      </c>
      <c r="E420" s="161">
        <f>ROUND(INDEX('Curva Mestra'!$F$20:$F$94,MATCH(D420,'Curva Mestra'!$A$20:$A$94,0)),0)</f>
        <v/>
      </c>
      <c r="F420" s="161">
        <f>ROUND(INDEX('Curva Mestra'!$C$20:$C$94,MATCH(D420,'Curva Mestra'!$A$20:$A$94,0))*INDEX($B$5:$B$8,MATCH(C420,$A$5:$A$8,0)),0)</f>
        <v/>
      </c>
      <c r="G420" s="161">
        <f>ROUND(INDEX('Curva Mestra'!$D$20:$D$94,MATCH(D420,'Curva Mestra'!$A$20:$A$94,0))+INDEX($C$5:$C$8,MATCH(C420,$A$5:$A$8,0)),0)</f>
        <v/>
      </c>
      <c r="H420" s="161" t="inlineStr">
        <is>
          <t>Recém-chegado ao Círculo Daédrico.</t>
        </is>
      </c>
      <c r="I420" s="161" t="inlineStr">
        <is>
          <t>Punhal Hesitante</t>
        </is>
      </c>
      <c r="J420" s="161" t="inlineStr">
        <is>
          <t>Nenhum — 20% de chance de recusar lutar se abordado sem hostilidade.</t>
        </is>
      </c>
      <c r="K420" s="161" t="inlineStr">
        <is>
          <t>Entrou no Círculo há dias, ainda não entende o que jurou.</t>
        </is>
      </c>
      <c r="L420" s="161">
        <f>IF(C420="Comum",ROUND(E420*1.3,0),"—")</f>
        <v/>
      </c>
      <c r="M420" s="161">
        <f>IF(C420="Comum",ROUND(F420*1.15,0),"—")</f>
        <v/>
      </c>
      <c r="N420" s="161">
        <f>IF(C420="Comum",G420+2,"—")</f>
        <v/>
      </c>
      <c r="O420" s="161">
        <f>IF(C420="Comum",ROUND(E420*1.6,0),"—")</f>
        <v/>
      </c>
      <c r="P420" s="161">
        <f>IF(C420="Comum",ROUND(F420*1.3,0),"—")</f>
        <v/>
      </c>
      <c r="Q420" s="161">
        <f>IF(C420="Comum",G420+4,"—")</f>
        <v/>
      </c>
      <c r="R420" s="242" t="n"/>
      <c r="S420" s="161">
        <f>ROUND(3+0.6*D420+IF(C420="Comum",0,IF(C420="Elite",2,IF(C420="Boss",4,6))),0)</f>
        <v/>
      </c>
      <c r="T420" s="161" t="inlineStr">
        <is>
          <t>Ouro + Marca Fresca de Cultista Iniciado</t>
        </is>
      </c>
      <c r="U420" s="161" t="inlineStr">
        <is>
          <t>Atordoamento</t>
        </is>
      </c>
      <c r="V420" s="161" t="inlineStr">
        <is>
          <t>Não-hostil condicional</t>
        </is>
      </c>
      <c r="W420" s="161" t="inlineStr">
        <is>
          <t>Círculo do Pacto — Entrada</t>
        </is>
      </c>
      <c r="X420" s="243" t="n"/>
      <c r="Y420" s="241" t="inlineStr">
        <is>
          <t>Se abordado em paz, pode desertar antes do próprio sacrifício ritual (quest).</t>
        </is>
      </c>
      <c r="Z420" s="243" t="n"/>
      <c r="AA420" s="243" t="n"/>
    </row>
    <row r="421">
      <c r="A421" s="161" t="inlineStr">
        <is>
          <t>Pacto Daedrico</t>
        </is>
      </c>
      <c r="B421" s="161" t="inlineStr">
        <is>
          <t>Escriba Renegado do Arquivista</t>
        </is>
      </c>
      <c r="C421" s="161" t="inlineStr">
        <is>
          <t>Comum</t>
        </is>
      </c>
      <c r="D421" s="161" t="n">
        <v>63</v>
      </c>
      <c r="E421" s="161">
        <f>ROUND(INDEX('Curva Mestra'!$F$20:$F$94,MATCH(D421,'Curva Mestra'!$A$20:$A$94,0)),0)</f>
        <v/>
      </c>
      <c r="F421" s="161">
        <f>ROUND(INDEX('Curva Mestra'!$C$20:$C$94,MATCH(D421,'Curva Mestra'!$A$20:$A$94,0))*INDEX($B$5:$B$8,MATCH(C421,$A$5:$A$8,0)),0)</f>
        <v/>
      </c>
      <c r="G421" s="161">
        <f>ROUND(INDEX('Curva Mestra'!$D$20:$D$94,MATCH(D421,'Curva Mestra'!$A$20:$A$94,0))+INDEX($C$5:$C$8,MATCH(C421,$A$5:$A$8,0)),0)</f>
        <v/>
      </c>
      <c r="H421" s="161" t="inlineStr">
        <is>
          <t>Ex-escriba que fugiu do serviço ao Arquivista.</t>
        </is>
      </c>
      <c r="I421" s="161" t="inlineStr">
        <is>
          <t>(não ataca)</t>
        </is>
      </c>
      <c r="J421" s="161" t="inlineStr">
        <is>
          <t>Não-hostil: se poupado, ensina 1 receita rara ligada ao Pacto.</t>
        </is>
      </c>
      <c r="K421" s="161" t="inlineStr">
        <is>
          <t>Escrevia os segredos do Arquivista Traidor. Fugiu quando entendeu o que estava registrando.</t>
        </is>
      </c>
      <c r="L421" s="161">
        <f>IF(C421="Comum",ROUND(E421*1.3,0),"—")</f>
        <v/>
      </c>
      <c r="M421" s="161">
        <f>IF(C421="Comum",ROUND(F421*1.15,0),"—")</f>
        <v/>
      </c>
      <c r="N421" s="161">
        <f>IF(C421="Comum",G421+2,"—")</f>
        <v/>
      </c>
      <c r="O421" s="161">
        <f>IF(C421="Comum",ROUND(E421*1.6,0),"—")</f>
        <v/>
      </c>
      <c r="P421" s="161">
        <f>IF(C421="Comum",ROUND(F421*1.3,0),"—")</f>
        <v/>
      </c>
      <c r="Q421" s="161">
        <f>IF(C421="Comum",G421+4,"—")</f>
        <v/>
      </c>
      <c r="R421" s="242" t="n"/>
      <c r="S421" s="161">
        <f>ROUND(3+0.6*D421+IF(C421="Comum",0,IF(C421="Elite",2,IF(C421="Boss",4,6))),0)</f>
        <v/>
      </c>
      <c r="T421" s="161" t="inlineStr">
        <is>
          <t>Ouro + Registro Roubado do Escriba</t>
        </is>
      </c>
      <c r="U421" s="161" t="inlineStr">
        <is>
          <t>Sem fraqueza óbvia — precisa de Knowledge alto pra descobrir algo específico.</t>
        </is>
      </c>
      <c r="V421" s="161" t="inlineStr">
        <is>
          <t>Não-hostil</t>
        </is>
      </c>
      <c r="W421" s="161" t="inlineStr">
        <is>
          <t>Círculo do Pacto — Entrada</t>
        </is>
      </c>
      <c r="X421" s="243" t="n"/>
      <c r="Y421" s="241" t="inlineStr">
        <is>
          <t>Ensina uma Receita rara se poupado.</t>
        </is>
      </c>
      <c r="Z421" s="243" t="n"/>
      <c r="AA421" s="243" t="n"/>
    </row>
    <row r="422">
      <c r="A422" s="161" t="inlineStr">
        <is>
          <t>Pacto Daedrico</t>
        </is>
      </c>
      <c r="B422" s="161" t="inlineStr">
        <is>
          <t>Horror Muito Fragmentado</t>
        </is>
      </c>
      <c r="C422" s="161" t="inlineStr">
        <is>
          <t>Comum</t>
        </is>
      </c>
      <c r="D422" s="161" t="n">
        <v>63</v>
      </c>
      <c r="E422" s="161">
        <f>ROUND(INDEX('Curva Mestra'!$F$20:$F$94,MATCH(D422,'Curva Mestra'!$A$20:$A$94,0)),0)</f>
        <v/>
      </c>
      <c r="F422" s="161">
        <f>ROUND(INDEX('Curva Mestra'!$C$20:$C$94,MATCH(D422,'Curva Mestra'!$A$20:$A$94,0))*INDEX($B$5:$B$8,MATCH(C422,$A$5:$A$8,0)),0)</f>
        <v/>
      </c>
      <c r="G422" s="161">
        <f>ROUND(INDEX('Curva Mestra'!$D$20:$D$94,MATCH(D422,'Curva Mestra'!$A$20:$A$94,0))+INDEX($C$5:$C$8,MATCH(C422,$A$5:$A$8,0)),0)</f>
        <v/>
      </c>
      <c r="H422" s="161" t="inlineStr">
        <is>
          <t>Fragmento mínimo de uma invocação falha.</t>
        </is>
      </c>
      <c r="I422" s="161" t="inlineStr">
        <is>
          <t>Toque Muito Parcial</t>
        </is>
      </c>
      <c r="J422" s="161" t="inlineStr">
        <is>
          <t>Nenhum efeito adicional — o mais fraco da linhagem.</t>
        </is>
      </c>
      <c r="K422" s="161" t="inlineStr">
        <is>
          <t>Fragmento ainda menor do Horror Fragmentado.</t>
        </is>
      </c>
      <c r="L422" s="161">
        <f>IF(C422="Comum",ROUND(E422*1.3,0),"—")</f>
        <v/>
      </c>
      <c r="M422" s="161">
        <f>IF(C422="Comum",ROUND(F422*1.15,0),"—")</f>
        <v/>
      </c>
      <c r="N422" s="161">
        <f>IF(C422="Comum",G422+2,"—")</f>
        <v/>
      </c>
      <c r="O422" s="161">
        <f>IF(C422="Comum",ROUND(E422*1.6,0),"—")</f>
        <v/>
      </c>
      <c r="P422" s="161">
        <f>IF(C422="Comum",ROUND(F422*1.3,0),"—")</f>
        <v/>
      </c>
      <c r="Q422" s="161">
        <f>IF(C422="Comum",G422+4,"—")</f>
        <v/>
      </c>
      <c r="R422" s="242" t="n"/>
      <c r="S422" s="161">
        <f>ROUND(3+0.6*D422+IF(C422="Comum",0,IF(C422="Elite",2,IF(C422="Boss",4,6))),0)</f>
        <v/>
      </c>
      <c r="T422" s="161" t="inlineStr">
        <is>
          <t>Ouro + Resíduo de Horror Muito Fragmentado</t>
        </is>
      </c>
      <c r="U422" s="161" t="inlineStr">
        <is>
          <t>Fragilidade</t>
        </is>
      </c>
      <c r="V422" s="161" t="inlineStr">
        <is>
          <t>DPS fraco</t>
        </is>
      </c>
      <c r="W422" s="161" t="inlineStr">
        <is>
          <t>Círculo do Pacto — Salão Ritual</t>
        </is>
      </c>
      <c r="X422" s="243" t="n"/>
      <c r="Y422" s="243" t="n"/>
      <c r="Z422" s="243" t="n"/>
      <c r="AA422" s="243" t="n"/>
    </row>
    <row r="423">
      <c r="A423" s="161" t="inlineStr">
        <is>
          <t>Pacto Daedrico</t>
        </is>
      </c>
      <c r="B423" s="161" t="inlineStr">
        <is>
          <t>Devorador de Sacrifícios Jovem</t>
        </is>
      </c>
      <c r="C423" s="161" t="inlineStr">
        <is>
          <t>Comum</t>
        </is>
      </c>
      <c r="D423" s="161" t="n">
        <v>63</v>
      </c>
      <c r="E423" s="161">
        <f>ROUND(INDEX('Curva Mestra'!$F$20:$F$94,MATCH(D423,'Curva Mestra'!$A$20:$A$94,0)),0)</f>
        <v/>
      </c>
      <c r="F423" s="161">
        <f>ROUND(INDEX('Curva Mestra'!$C$20:$C$94,MATCH(D423,'Curva Mestra'!$A$20:$A$94,0))*INDEX($B$5:$B$8,MATCH(C423,$A$5:$A$8,0)),0)</f>
        <v/>
      </c>
      <c r="G423" s="161">
        <f>ROUND(INDEX('Curva Mestra'!$D$20:$D$94,MATCH(D423,'Curva Mestra'!$A$20:$A$94,0))+INDEX($C$5:$C$8,MATCH(C423,$A$5:$A$8,0)),0)</f>
        <v/>
      </c>
      <c r="H423" s="161" t="inlineStr">
        <is>
          <t>Criatura jovem que se alimenta dos restos rituais.</t>
        </is>
      </c>
      <c r="I423" s="161" t="inlineStr">
        <is>
          <t>Mordida Ritual Fraca</t>
        </is>
      </c>
      <c r="J423" s="161" t="inlineStr">
        <is>
          <t>Cura 3 HP se houver cadáver no local.</t>
        </is>
      </c>
      <c r="K423" s="161" t="inlineStr">
        <is>
          <t>Variante jovem do Devorador de Sacrifícios.</t>
        </is>
      </c>
      <c r="L423" s="161">
        <f>IF(C423="Comum",ROUND(E423*1.3,0),"—")</f>
        <v/>
      </c>
      <c r="M423" s="161">
        <f>IF(C423="Comum",ROUND(F423*1.15,0),"—")</f>
        <v/>
      </c>
      <c r="N423" s="161">
        <f>IF(C423="Comum",G423+2,"—")</f>
        <v/>
      </c>
      <c r="O423" s="161">
        <f>IF(C423="Comum",ROUND(E423*1.6,0),"—")</f>
        <v/>
      </c>
      <c r="P423" s="161">
        <f>IF(C423="Comum",ROUND(F423*1.3,0),"—")</f>
        <v/>
      </c>
      <c r="Q423" s="161">
        <f>IF(C423="Comum",G423+4,"—")</f>
        <v/>
      </c>
      <c r="R423" s="242" t="n"/>
      <c r="S423" s="161">
        <f>ROUND(3+0.6*D423+IF(C423="Comum",0,IF(C423="Elite",2,IF(C423="Boss",4,6))),0)</f>
        <v/>
      </c>
      <c r="T423" s="161" t="inlineStr">
        <is>
          <t>Ouro + Presa Jovem de Devorador de Sacrifícios</t>
        </is>
      </c>
      <c r="U423" s="161" t="inlineStr">
        <is>
          <t>Queimadura</t>
        </is>
      </c>
      <c r="V423" s="161" t="inlineStr">
        <is>
          <t>Necrófago</t>
        </is>
      </c>
      <c r="W423" s="161" t="inlineStr">
        <is>
          <t>Círculo do Pacto, após combate vencido</t>
        </is>
      </c>
      <c r="X423" s="243" t="n"/>
      <c r="Y423" s="243" t="n"/>
      <c r="Z423" s="243" t="n"/>
      <c r="AA423" s="243" t="n"/>
    </row>
    <row r="424">
      <c r="A424" s="161" t="inlineStr">
        <is>
          <t>Pacto Daedrico</t>
        </is>
      </c>
      <c r="B424" s="161" t="inlineStr">
        <is>
          <t>Parasita Jovem do Véu</t>
        </is>
      </c>
      <c r="C424" s="161" t="inlineStr">
        <is>
          <t>Comum</t>
        </is>
      </c>
      <c r="D424" s="161" t="n">
        <v>63</v>
      </c>
      <c r="E424" s="161">
        <f>ROUND(INDEX('Curva Mestra'!$F$20:$F$94,MATCH(D424,'Curva Mestra'!$A$20:$A$94,0)),0)</f>
        <v/>
      </c>
      <c r="F424" s="161">
        <f>ROUND(INDEX('Curva Mestra'!$C$20:$C$94,MATCH(D424,'Curva Mestra'!$A$20:$A$94,0))*INDEX($B$5:$B$8,MATCH(C424,$A$5:$A$8,0)),0)</f>
        <v/>
      </c>
      <c r="G424" s="161">
        <f>ROUND(INDEX('Curva Mestra'!$D$20:$D$94,MATCH(D424,'Curva Mestra'!$A$20:$A$94,0))+INDEX($C$5:$C$8,MATCH(C424,$A$5:$A$8,0)),0)</f>
        <v/>
      </c>
      <c r="H424" s="161" t="inlineStr">
        <is>
          <t>Parasita jovem da fenda dimensional.</t>
        </is>
      </c>
      <c r="I424" s="161" t="inlineStr">
        <is>
          <t>Sugar Fraco através do Véu</t>
        </is>
      </c>
      <c r="J424" s="161" t="inlineStr">
        <is>
          <t>Rouba Vida (8%) — só com Horror presente.</t>
        </is>
      </c>
      <c r="K424" s="161" t="inlineStr">
        <is>
          <t>Parasita jovem, ainda pequeno.</t>
        </is>
      </c>
      <c r="L424" s="161">
        <f>IF(C424="Comum",ROUND(E424*1.3,0),"—")</f>
        <v/>
      </c>
      <c r="M424" s="161">
        <f>IF(C424="Comum",ROUND(F424*1.15,0),"—")</f>
        <v/>
      </c>
      <c r="N424" s="161">
        <f>IF(C424="Comum",G424+2,"—")</f>
        <v/>
      </c>
      <c r="O424" s="161">
        <f>IF(C424="Comum",ROUND(E424*1.6,0),"—")</f>
        <v/>
      </c>
      <c r="P424" s="161">
        <f>IF(C424="Comum",ROUND(F424*1.3,0),"—")</f>
        <v/>
      </c>
      <c r="Q424" s="161">
        <f>IF(C424="Comum",G424+4,"—")</f>
        <v/>
      </c>
      <c r="R424" s="242" t="n"/>
      <c r="S424" s="161">
        <f>ROUND(3+0.6*D424+IF(C424="Comum",0,IF(C424="Elite",2,IF(C424="Boss",4,6))),0)</f>
        <v/>
      </c>
      <c r="T424" s="161" t="inlineStr">
        <is>
          <t>Ouro + Fragmento Jovem do Véu</t>
        </is>
      </c>
      <c r="U424" s="161" t="inlineStr">
        <is>
          <t>Queimadura</t>
        </is>
      </c>
      <c r="V424" s="161" t="inlineStr">
        <is>
          <t>Parasita</t>
        </is>
      </c>
      <c r="W424" s="161" t="inlineStr">
        <is>
          <t>Círculo do Pacto, só com Horror presente</t>
        </is>
      </c>
      <c r="X424" s="243" t="n"/>
      <c r="Y424" s="243" t="n"/>
      <c r="Z424" s="243" t="n"/>
      <c r="AA424" s="243" t="n"/>
    </row>
    <row r="425">
      <c r="A425" s="161" t="inlineStr">
        <is>
          <t>Pacto Daedrico</t>
        </is>
      </c>
      <c r="B425" s="161" t="inlineStr">
        <is>
          <t>Horror Menor Invocado</t>
        </is>
      </c>
      <c r="C425" s="161" t="inlineStr">
        <is>
          <t>Comum</t>
        </is>
      </c>
      <c r="D425" s="161" t="n">
        <v>64</v>
      </c>
      <c r="E425" s="161">
        <f>ROUND(INDEX('Curva Mestra'!$F$20:$F$94,MATCH(D425,'Curva Mestra'!$A$20:$A$94,0)),0)</f>
        <v/>
      </c>
      <c r="F425" s="161">
        <f>ROUND(INDEX('Curva Mestra'!$C$20:$C$94,MATCH(D425,'Curva Mestra'!$A$20:$A$94,0))*INDEX($B$5:$B$8,MATCH(C425,$A$5:$A$8,0)),0)</f>
        <v/>
      </c>
      <c r="G425" s="161">
        <f>ROUND(INDEX('Curva Mestra'!$D$20:$D$94,MATCH(D425,'Curva Mestra'!$A$20:$A$94,0))+INDEX($C$5:$C$8,MATCH(C425,$A$5:$A$8,0)),0)</f>
        <v/>
      </c>
      <c r="H425" s="161" t="inlineStr">
        <is>
          <t>Ronda a regiao do tier Pacto Daedrico</t>
        </is>
      </c>
      <c r="I425" s="161" t="inlineStr">
        <is>
          <t>Toque do Vazio</t>
        </is>
      </c>
      <c r="J425" s="161" t="inlineStr">
        <is>
          <t>Sem efeito mecânico além do dano — ataque direto.</t>
        </is>
      </c>
      <c r="K425" s="161" t="inlineStr">
        <is>
          <t>Convocado pelos rituais de sangue nos círculos daédricos — cada invocação abre um pouco mais o caminho pro Portal Estelar.</t>
        </is>
      </c>
      <c r="L425" s="161">
        <f>IF(C425="Comum",ROUND(E425*1.3,0),"—")</f>
        <v/>
      </c>
      <c r="M425" s="161">
        <f>IF(C425="Comum",ROUND(F425*1.15,0),"—")</f>
        <v/>
      </c>
      <c r="N425" s="161">
        <f>IF(C425="Comum",G425+2,"—")</f>
        <v/>
      </c>
      <c r="O425" s="161">
        <f>IF(C425="Comum",ROUND(E425*1.6,0),"—")</f>
        <v/>
      </c>
      <c r="P425" s="161">
        <f>IF(C425="Comum",ROUND(F425*1.3,0),"—")</f>
        <v/>
      </c>
      <c r="Q425" s="161">
        <f>IF(C425="Comum",G425+4,"—")</f>
        <v/>
      </c>
      <c r="R425" s="161" t="inlineStr">
        <is>
          <t>Sussurros no Círculo</t>
        </is>
      </c>
      <c r="S425" s="161">
        <f>ROUND(INDEX('Curva Mestra'!$D$20:$D$94,MATCH(D425,'Curva Mestra'!$A$20:$A$94,0))-IF(C425="Comum",9,IF(C425="Elite",6,IF(C425="Boss",4,3))),0)</f>
        <v/>
      </c>
      <c r="T425" s="161" t="inlineStr">
        <is>
          <t>Ouro + Olho Preservado do Arauto (chance rara)</t>
        </is>
      </c>
      <c r="U425" s="161" t="inlineStr">
        <is>
          <t>Vulnerável a Rouba Vida — o próprio pacto de sangue vira contra ele quando ferido fundo.</t>
        </is>
      </c>
      <c r="V425" s="242" t="inlineStr">
        <is>
          <t>DPS</t>
        </is>
      </c>
      <c r="W425" s="242" t="inlineStr">
        <is>
          <t>Círculo do Pacto</t>
        </is>
      </c>
      <c r="X425" s="243" t="n"/>
      <c r="Y425" s="243" t="n"/>
      <c r="Z425" s="243" t="n"/>
      <c r="AA425" s="243" t="n"/>
    </row>
    <row r="426">
      <c r="A426" s="161" t="inlineStr">
        <is>
          <t>Pacto Daedrico</t>
        </is>
      </c>
      <c r="B426" s="161" t="inlineStr">
        <is>
          <t>Horror Fragmentado</t>
        </is>
      </c>
      <c r="C426" s="161" t="inlineStr">
        <is>
          <t>Comum</t>
        </is>
      </c>
      <c r="D426" s="161" t="n">
        <v>64</v>
      </c>
      <c r="E426" s="161">
        <f>ROUND(INDEX('Curva Mestra'!$F$20:$F$94,MATCH(D426,'Curva Mestra'!$A$20:$A$94,0)),0)</f>
        <v/>
      </c>
      <c r="F426" s="161">
        <f>ROUND(INDEX('Curva Mestra'!$C$20:$C$94,MATCH(D426,'Curva Mestra'!$A$20:$A$94,0))*INDEX($B$5:$B$8,MATCH(C426,$A$5:$A$8,0)),0)</f>
        <v/>
      </c>
      <c r="G426" s="161">
        <f>ROUND(INDEX('Curva Mestra'!$D$20:$D$94,MATCH(D426,'Curva Mestra'!$A$20:$A$94,0))+INDEX($C$5:$C$8,MATCH(C426,$A$5:$A$8,0)),0)</f>
        <v/>
      </c>
      <c r="H426" s="161" t="inlineStr">
        <is>
          <t>Fragmento de uma invocação que deu errado.</t>
        </is>
      </c>
      <c r="I426" s="161" t="inlineStr">
        <is>
          <t>Toque Parcial</t>
        </is>
      </c>
      <c r="J426" s="161" t="inlineStr">
        <is>
          <t>Nenhum efeito adicional — mais fraco que o Horror Menor.</t>
        </is>
      </c>
      <c r="K426" s="161" t="inlineStr">
        <is>
          <t>Invocação incompleta, um pedaço só do que deveria ter vindo.</t>
        </is>
      </c>
      <c r="L426" s="161">
        <f>IF(C426="Comum",ROUND(E426*1.3,0),"—")</f>
        <v/>
      </c>
      <c r="M426" s="161">
        <f>IF(C426="Comum",ROUND(F426*1.15,0),"—")</f>
        <v/>
      </c>
      <c r="N426" s="161">
        <f>IF(C426="Comum",G426+2,"—")</f>
        <v/>
      </c>
      <c r="O426" s="161">
        <f>IF(C426="Comum",ROUND(E426*1.6,0),"—")</f>
        <v/>
      </c>
      <c r="P426" s="161">
        <f>IF(C426="Comum",ROUND(F426*1.3,0),"—")</f>
        <v/>
      </c>
      <c r="Q426" s="161">
        <f>IF(C426="Comum",G426+4,"—")</f>
        <v/>
      </c>
      <c r="R426" s="242" t="n"/>
      <c r="S426" s="161">
        <f>ROUND(3+0.6*D426+IF(C426="Comum",0,IF(C426="Elite",2,IF(C426="Boss",4,6))),0)</f>
        <v/>
      </c>
      <c r="T426" s="161" t="inlineStr">
        <is>
          <t>Ouro + Resíduo de Horror Fragmentado</t>
        </is>
      </c>
      <c r="U426" s="161" t="inlineStr">
        <is>
          <t>Fragilidade</t>
        </is>
      </c>
      <c r="V426" s="161" t="inlineStr">
        <is>
          <t>DPS fraco</t>
        </is>
      </c>
      <c r="W426" s="161" t="inlineStr">
        <is>
          <t>Círculo do Pacto — Salão Ritual</t>
        </is>
      </c>
      <c r="X426" s="243" t="n"/>
      <c r="Y426" s="243" t="n"/>
      <c r="Z426" s="243" t="n"/>
      <c r="AA426" s="243" t="n"/>
    </row>
    <row r="427">
      <c r="A427" s="161" t="inlineStr">
        <is>
          <t>Pacto Daedrico</t>
        </is>
      </c>
      <c r="B427" s="161" t="inlineStr">
        <is>
          <t>Devorador de Sacrifícios</t>
        </is>
      </c>
      <c r="C427" s="161" t="inlineStr">
        <is>
          <t>Comum</t>
        </is>
      </c>
      <c r="D427" s="161" t="n">
        <v>64</v>
      </c>
      <c r="E427" s="161">
        <f>ROUND(INDEX('Curva Mestra'!$F$20:$F$94,MATCH(D427,'Curva Mestra'!$A$20:$A$94,0)),0)</f>
        <v/>
      </c>
      <c r="F427" s="161">
        <f>ROUND(INDEX('Curva Mestra'!$C$20:$C$94,MATCH(D427,'Curva Mestra'!$A$20:$A$94,0))*INDEX($B$5:$B$8,MATCH(C427,$A$5:$A$8,0)),0)</f>
        <v/>
      </c>
      <c r="G427" s="161">
        <f>ROUND(INDEX('Curva Mestra'!$D$20:$D$94,MATCH(D427,'Curva Mestra'!$A$20:$A$94,0))+INDEX($C$5:$C$8,MATCH(C427,$A$5:$A$8,0)),0)</f>
        <v/>
      </c>
      <c r="H427" s="161" t="inlineStr">
        <is>
          <t>Criatura que vive dos restos rituais.</t>
        </is>
      </c>
      <c r="I427" s="161" t="inlineStr">
        <is>
          <t>Mordida Ritual</t>
        </is>
      </c>
      <c r="J427" s="161" t="inlineStr">
        <is>
          <t>Cura 6 HP se houver cadáver no local.</t>
        </is>
      </c>
      <c r="K427" s="161" t="inlineStr">
        <is>
          <t>Se alimenta do que sobra dos sacrifícios do Círculo.</t>
        </is>
      </c>
      <c r="L427" s="161">
        <f>IF(C427="Comum",ROUND(E427*1.3,0),"—")</f>
        <v/>
      </c>
      <c r="M427" s="161">
        <f>IF(C427="Comum",ROUND(F427*1.15,0),"—")</f>
        <v/>
      </c>
      <c r="N427" s="161">
        <f>IF(C427="Comum",G427+2,"—")</f>
        <v/>
      </c>
      <c r="O427" s="161">
        <f>IF(C427="Comum",ROUND(E427*1.6,0),"—")</f>
        <v/>
      </c>
      <c r="P427" s="161">
        <f>IF(C427="Comum",ROUND(F427*1.3,0),"—")</f>
        <v/>
      </c>
      <c r="Q427" s="161">
        <f>IF(C427="Comum",G427+4,"—")</f>
        <v/>
      </c>
      <c r="R427" s="242" t="n"/>
      <c r="S427" s="161">
        <f>ROUND(3+0.6*D427+IF(C427="Comum",0,IF(C427="Elite",2,IF(C427="Boss",4,6))),0)</f>
        <v/>
      </c>
      <c r="T427" s="161" t="inlineStr">
        <is>
          <t>Ouro + Presa de Devorador de Sacrifícios</t>
        </is>
      </c>
      <c r="U427" s="161" t="inlineStr">
        <is>
          <t>Queimadura</t>
        </is>
      </c>
      <c r="V427" s="161" t="inlineStr">
        <is>
          <t>Necrófago</t>
        </is>
      </c>
      <c r="W427" s="161" t="inlineStr">
        <is>
          <t>Círculo do Pacto, após combate vencido</t>
        </is>
      </c>
      <c r="X427" s="243" t="n"/>
      <c r="Y427" s="243" t="n"/>
      <c r="Z427" s="243" t="n"/>
      <c r="AA427" s="243" t="n"/>
    </row>
    <row r="428">
      <c r="A428" s="161" t="inlineStr">
        <is>
          <t>Pacto Daedrico</t>
        </is>
      </c>
      <c r="B428" s="161" t="inlineStr">
        <is>
          <t>Parasita do Véu</t>
        </is>
      </c>
      <c r="C428" s="161" t="inlineStr">
        <is>
          <t>Comum</t>
        </is>
      </c>
      <c r="D428" s="161" t="n">
        <v>64</v>
      </c>
      <c r="E428" s="161">
        <f>ROUND(INDEX('Curva Mestra'!$F$20:$F$94,MATCH(D428,'Curva Mestra'!$A$20:$A$94,0)),0)</f>
        <v/>
      </c>
      <c r="F428" s="161">
        <f>ROUND(INDEX('Curva Mestra'!$C$20:$C$94,MATCH(D428,'Curva Mestra'!$A$20:$A$94,0))*INDEX($B$5:$B$8,MATCH(C428,$A$5:$A$8,0)),0)</f>
        <v/>
      </c>
      <c r="G428" s="161">
        <f>ROUND(INDEX('Curva Mestra'!$D$20:$D$94,MATCH(D428,'Curva Mestra'!$A$20:$A$94,0))+INDEX($C$5:$C$8,MATCH(C428,$A$5:$A$8,0)),0)</f>
        <v/>
      </c>
      <c r="H428" s="161" t="inlineStr">
        <is>
          <t>Parasita que vive na fenda dimensional.</t>
        </is>
      </c>
      <c r="I428" s="161" t="inlineStr">
        <is>
          <t>Sugar através do Véu</t>
        </is>
      </c>
      <c r="J428" s="161" t="inlineStr">
        <is>
          <t>Rouba Vida (15%) — só aparece com Horror Sem Rosto presente.</t>
        </is>
      </c>
      <c r="K428" s="161" t="inlineStr">
        <is>
          <t>Vive na fenda entre mundos que o Horror Sem Rosto abre.</t>
        </is>
      </c>
      <c r="L428" s="161">
        <f>IF(C428="Comum",ROUND(E428*1.3,0),"—")</f>
        <v/>
      </c>
      <c r="M428" s="161">
        <f>IF(C428="Comum",ROUND(F428*1.15,0),"—")</f>
        <v/>
      </c>
      <c r="N428" s="161">
        <f>IF(C428="Comum",G428+2,"—")</f>
        <v/>
      </c>
      <c r="O428" s="161">
        <f>IF(C428="Comum",ROUND(E428*1.6,0),"—")</f>
        <v/>
      </c>
      <c r="P428" s="161">
        <f>IF(C428="Comum",ROUND(F428*1.3,0),"—")</f>
        <v/>
      </c>
      <c r="Q428" s="161">
        <f>IF(C428="Comum",G428+4,"—")</f>
        <v/>
      </c>
      <c r="R428" s="242" t="n"/>
      <c r="S428" s="161">
        <f>ROUND(3+0.6*D428+IF(C428="Comum",0,IF(C428="Elite",2,IF(C428="Boss",4,6))),0)</f>
        <v/>
      </c>
      <c r="T428" s="161" t="inlineStr">
        <is>
          <t>Ouro + Fragmento do Véu</t>
        </is>
      </c>
      <c r="U428" s="161" t="inlineStr">
        <is>
          <t>Queimadura</t>
        </is>
      </c>
      <c r="V428" s="161" t="inlineStr">
        <is>
          <t>Parasita</t>
        </is>
      </c>
      <c r="W428" s="161" t="inlineStr">
        <is>
          <t>Círculo do Pacto, só com Horror presente</t>
        </is>
      </c>
      <c r="X428" s="243" t="n"/>
      <c r="Y428" s="243" t="n"/>
      <c r="Z428" s="243" t="n"/>
      <c r="AA428" s="243" t="n"/>
    </row>
    <row r="429">
      <c r="A429" s="161" t="inlineStr">
        <is>
          <t>Pacto Daedrico</t>
        </is>
      </c>
      <c r="B429" s="161" t="inlineStr">
        <is>
          <t>Sombra Sem Rosto Muito Menor</t>
        </is>
      </c>
      <c r="C429" s="161" t="inlineStr">
        <is>
          <t>Comum</t>
        </is>
      </c>
      <c r="D429" s="161" t="n">
        <v>64</v>
      </c>
      <c r="E429" s="161">
        <f>ROUND(INDEX('Curva Mestra'!$F$20:$F$94,MATCH(D429,'Curva Mestra'!$A$20:$A$94,0)),0)</f>
        <v/>
      </c>
      <c r="F429" s="161">
        <f>ROUND(INDEX('Curva Mestra'!$C$20:$C$94,MATCH(D429,'Curva Mestra'!$A$20:$A$94,0))*INDEX($B$5:$B$8,MATCH(C429,$A$5:$A$8,0)),0)</f>
        <v/>
      </c>
      <c r="G429" s="161">
        <f>ROUND(INDEX('Curva Mestra'!$D$20:$D$94,MATCH(D429,'Curva Mestra'!$A$20:$A$94,0))+INDEX($C$5:$C$8,MATCH(C429,$A$5:$A$8,0)),0)</f>
        <v/>
      </c>
      <c r="H429" s="161" t="inlineStr">
        <is>
          <t>Pedaço muito pequeno do Horror maior.</t>
        </is>
      </c>
      <c r="I429" s="161" t="inlineStr">
        <is>
          <t>Toque do Quase-Nada Fraco</t>
        </is>
      </c>
      <c r="J429" s="161" t="inlineStr">
        <is>
          <t>Lentidão fraca.</t>
        </is>
      </c>
      <c r="K429" s="161" t="inlineStr">
        <is>
          <t>Fragmento ainda menor da Sombra Sem Rosto Menor.</t>
        </is>
      </c>
      <c r="L429" s="161">
        <f>IF(C429="Comum",ROUND(E429*1.3,0),"—")</f>
        <v/>
      </c>
      <c r="M429" s="161">
        <f>IF(C429="Comum",ROUND(F429*1.15,0),"—")</f>
        <v/>
      </c>
      <c r="N429" s="161">
        <f>IF(C429="Comum",G429+2,"—")</f>
        <v/>
      </c>
      <c r="O429" s="161">
        <f>IF(C429="Comum",ROUND(E429*1.6,0),"—")</f>
        <v/>
      </c>
      <c r="P429" s="161">
        <f>IF(C429="Comum",ROUND(F429*1.3,0),"—")</f>
        <v/>
      </c>
      <c r="Q429" s="161">
        <f>IF(C429="Comum",G429+4,"—")</f>
        <v/>
      </c>
      <c r="R429" s="242" t="n"/>
      <c r="S429" s="161">
        <f>ROUND(3+0.6*D429+IF(C429="Comum",0,IF(C429="Elite",2,IF(C429="Boss",4,6))),0)</f>
        <v/>
      </c>
      <c r="T429" s="161" t="inlineStr">
        <is>
          <t>Ouro + Resíduo de Sombra Sem Rosto Muito Menor</t>
        </is>
      </c>
      <c r="U429" s="161" t="inlineStr">
        <is>
          <t>Ignora Resistência Mágica</t>
        </is>
      </c>
      <c r="V429" s="161" t="inlineStr">
        <is>
          <t>Controle</t>
        </is>
      </c>
      <c r="W429" s="161" t="inlineStr">
        <is>
          <t>Círculo do Pacto — Salão Ritual</t>
        </is>
      </c>
      <c r="X429" s="243" t="n"/>
      <c r="Y429" s="243" t="n"/>
      <c r="Z429" s="243" t="n"/>
      <c r="AA429" s="243" t="n"/>
    </row>
    <row r="430">
      <c r="A430" s="161" t="inlineStr">
        <is>
          <t>Pacto Daedrico</t>
        </is>
      </c>
      <c r="B430" s="161" t="inlineStr">
        <is>
          <t>Aprendiz Menor do Sacerdote</t>
        </is>
      </c>
      <c r="C430" s="161" t="inlineStr">
        <is>
          <t>Comum</t>
        </is>
      </c>
      <c r="D430" s="161" t="n">
        <v>64</v>
      </c>
      <c r="E430" s="161">
        <f>ROUND(INDEX('Curva Mestra'!$F$20:$F$94,MATCH(D430,'Curva Mestra'!$A$20:$A$94,0)),0)</f>
        <v/>
      </c>
      <c r="F430" s="161">
        <f>ROUND(INDEX('Curva Mestra'!$C$20:$C$94,MATCH(D430,'Curva Mestra'!$A$20:$A$94,0))*INDEX($B$5:$B$8,MATCH(C430,$A$5:$A$8,0)),0)</f>
        <v/>
      </c>
      <c r="G430" s="161">
        <f>ROUND(INDEX('Curva Mestra'!$D$20:$D$94,MATCH(D430,'Curva Mestra'!$A$20:$A$94,0))+INDEX($C$5:$C$8,MATCH(C430,$A$5:$A$8,0)),0)</f>
        <v/>
      </c>
      <c r="H430" s="161" t="inlineStr">
        <is>
          <t>Iniciante absoluto nos rituais do Pacto.</t>
        </is>
      </c>
      <c r="I430" s="161" t="inlineStr">
        <is>
          <t>Sussurro Muito Fraco</t>
        </is>
      </c>
      <c r="J430" s="161" t="inlineStr">
        <is>
          <t>Cura 2 HP/turno em 1 aliado.</t>
        </is>
      </c>
      <c r="K430" s="161" t="inlineStr">
        <is>
          <t>Ainda mais novo que o Aprendiz do Sacerdote do Pacto.</t>
        </is>
      </c>
      <c r="L430" s="161">
        <f>IF(C430="Comum",ROUND(E430*1.3,0),"—")</f>
        <v/>
      </c>
      <c r="M430" s="161">
        <f>IF(C430="Comum",ROUND(F430*1.15,0),"—")</f>
        <v/>
      </c>
      <c r="N430" s="161">
        <f>IF(C430="Comum",G430+2,"—")</f>
        <v/>
      </c>
      <c r="O430" s="161">
        <f>IF(C430="Comum",ROUND(E430*1.6,0),"—")</f>
        <v/>
      </c>
      <c r="P430" s="161">
        <f>IF(C430="Comum",ROUND(F430*1.3,0),"—")</f>
        <v/>
      </c>
      <c r="Q430" s="161">
        <f>IF(C430="Comum",G430+4,"—")</f>
        <v/>
      </c>
      <c r="R430" s="242" t="n"/>
      <c r="S430" s="161">
        <f>ROUND(3+0.6*D430+IF(C430="Comum",0,IF(C430="Elite",2,IF(C430="Boss",4,6))),0)</f>
        <v/>
      </c>
      <c r="T430" s="161" t="inlineStr">
        <is>
          <t>Ouro + Amuleto do Aprendiz Menor</t>
        </is>
      </c>
      <c r="U430" s="161" t="inlineStr">
        <is>
          <t>Ignora Resistência Mágica</t>
        </is>
      </c>
      <c r="V430" s="161" t="inlineStr">
        <is>
          <t>Suporte</t>
        </is>
      </c>
      <c r="W430" s="161" t="inlineStr">
        <is>
          <t>Círculo do Pacto — Salão Ritual</t>
        </is>
      </c>
      <c r="X430" s="243" t="n"/>
      <c r="Y430" s="243" t="n"/>
      <c r="Z430" s="243" t="n"/>
      <c r="AA430" s="243" t="n"/>
    </row>
    <row r="431">
      <c r="A431" s="161" t="inlineStr">
        <is>
          <t>Pacto Daedrico</t>
        </is>
      </c>
      <c r="B431" s="161" t="inlineStr">
        <is>
          <t>Guardiã Muito Menor dos Altares</t>
        </is>
      </c>
      <c r="C431" s="161" t="inlineStr">
        <is>
          <t>Comum</t>
        </is>
      </c>
      <c r="D431" s="161" t="n">
        <v>64</v>
      </c>
      <c r="E431" s="161">
        <f>ROUND(INDEX('Curva Mestra'!$F$20:$F$94,MATCH(D431,'Curva Mestra'!$A$20:$A$94,0)),0)</f>
        <v/>
      </c>
      <c r="F431" s="161">
        <f>ROUND(INDEX('Curva Mestra'!$C$20:$C$94,MATCH(D431,'Curva Mestra'!$A$20:$A$94,0))*INDEX($B$5:$B$8,MATCH(C431,$A$5:$A$8,0)),0)</f>
        <v/>
      </c>
      <c r="G431" s="161">
        <f>ROUND(INDEX('Curva Mestra'!$D$20:$D$94,MATCH(D431,'Curva Mestra'!$A$20:$A$94,0))+INDEX($C$5:$C$8,MATCH(C431,$A$5:$A$8,0)),0)</f>
        <v/>
      </c>
      <c r="H431" s="161" t="inlineStr">
        <is>
          <t>Guardiã em miniatura dos altares.</t>
        </is>
      </c>
      <c r="I431" s="161" t="inlineStr">
        <is>
          <t>Proteção Muito Parcial</t>
        </is>
      </c>
      <c r="J431" s="161" t="inlineStr">
        <is>
          <t>Nenhum efeito adicional.</t>
        </is>
      </c>
      <c r="K431" s="161" t="inlineStr">
        <is>
          <t>Fragmento ainda menor da Guardiã Menor dos Altares.</t>
        </is>
      </c>
      <c r="L431" s="161">
        <f>IF(C431="Comum",ROUND(E431*1.3,0),"—")</f>
        <v/>
      </c>
      <c r="M431" s="161">
        <f>IF(C431="Comum",ROUND(F431*1.15,0),"—")</f>
        <v/>
      </c>
      <c r="N431" s="161">
        <f>IF(C431="Comum",G431+2,"—")</f>
        <v/>
      </c>
      <c r="O431" s="161">
        <f>IF(C431="Comum",ROUND(E431*1.6,0),"—")</f>
        <v/>
      </c>
      <c r="P431" s="161">
        <f>IF(C431="Comum",ROUND(F431*1.3,0),"—")</f>
        <v/>
      </c>
      <c r="Q431" s="161">
        <f>IF(C431="Comum",G431+4,"—")</f>
        <v/>
      </c>
      <c r="R431" s="242" t="n"/>
      <c r="S431" s="161">
        <f>ROUND(3+0.6*D431+IF(C431="Comum",0,IF(C431="Elite",2,IF(C431="Boss",4,6))),0)</f>
        <v/>
      </c>
      <c r="T431" s="161" t="inlineStr">
        <is>
          <t>Ouro + Fragmento de Guardiã Muito Menor</t>
        </is>
      </c>
      <c r="U431" s="161" t="inlineStr">
        <is>
          <t>Fragilidade</t>
        </is>
      </c>
      <c r="V431" s="161" t="inlineStr">
        <is>
          <t>Tanque</t>
        </is>
      </c>
      <c r="W431" s="161" t="inlineStr">
        <is>
          <t>Círculo do Pacto — Salão Ritual</t>
        </is>
      </c>
      <c r="X431" s="243" t="n"/>
      <c r="Y431" s="243" t="n"/>
      <c r="Z431" s="243" t="n"/>
      <c r="AA431" s="243" t="n"/>
    </row>
    <row r="432">
      <c r="A432" s="161" t="inlineStr">
        <is>
          <t>Pacto Daedrico</t>
        </is>
      </c>
      <c r="B432" s="161" t="inlineStr">
        <is>
          <t>Horror Sem Rosto do Abismo</t>
        </is>
      </c>
      <c r="C432" s="161" t="inlineStr">
        <is>
          <t>Comum</t>
        </is>
      </c>
      <c r="D432" s="161" t="n">
        <v>65</v>
      </c>
      <c r="E432" s="161">
        <f>ROUND(INDEX('Curva Mestra'!$F$20:$F$94,MATCH(D432,'Curva Mestra'!$A$20:$A$94,0)),0)</f>
        <v/>
      </c>
      <c r="F432" s="161">
        <f>ROUND(INDEX('Curva Mestra'!$C$20:$C$94,MATCH(D432,'Curva Mestra'!$A$20:$A$94,0))*INDEX($B$5:$B$8,MATCH(C432,$A$5:$A$8,0)),0)</f>
        <v/>
      </c>
      <c r="G432" s="161">
        <f>ROUND(INDEX('Curva Mestra'!$D$20:$D$94,MATCH(D432,'Curva Mestra'!$A$20:$A$94,0))+INDEX($C$5:$C$8,MATCH(C432,$A$5:$A$8,0)),0)</f>
        <v/>
      </c>
      <c r="H432" s="161" t="inlineStr">
        <is>
          <t>Círculo Ritualístico Daédrico, Culto do Aspecto Supremo, região de Pacto Daedrico.</t>
        </is>
      </c>
      <c r="I432" s="161" t="inlineStr">
        <is>
          <t>Toque da Não-Existência</t>
        </is>
      </c>
      <c r="J432" s="161" t="inlineStr">
        <is>
          <t>Anula bônus de itens mágicos do alvo por 1 rodada.</t>
        </is>
      </c>
      <c r="K432" s="161" t="inlineStr">
        <is>
          <t>Entidade sem forma fixa que distorce a visão de quem a foca — um eco do que espera do outro lado do Portal Estelar.</t>
        </is>
      </c>
      <c r="L432" s="161">
        <f>IF(C432="Comum",ROUND(E432*1.3,0),"—")</f>
        <v/>
      </c>
      <c r="M432" s="161">
        <f>IF(C432="Comum",ROUND(F432*1.15,0),"—")</f>
        <v/>
      </c>
      <c r="N432" s="161">
        <f>IF(C432="Comum",G432+2,"—")</f>
        <v/>
      </c>
      <c r="O432" s="161">
        <f>IF(C432="Comum",ROUND(E432*1.6,0),"—")</f>
        <v/>
      </c>
      <c r="P432" s="161">
        <f>IF(C432="Comum",ROUND(F432*1.3,0),"—")</f>
        <v/>
      </c>
      <c r="Q432" s="161">
        <f>IF(C432="Comum",G432+4,"—")</f>
        <v/>
      </c>
      <c r="R432" s="161" t="inlineStr">
        <is>
          <t>Sussurros no Círculo</t>
        </is>
      </c>
      <c r="S432" s="161">
        <f>ROUND(INDEX('Curva Mestra'!$D$20:$D$94,MATCH(D432,'Curva Mestra'!$A$20:$A$94,0))-IF(C432="Comum",9,IF(C432="Elite",6,IF(C432="Boss",4,3))),0)</f>
        <v/>
      </c>
      <c r="T432" s="161" t="inlineStr">
        <is>
          <t>Ouro + Olho Preservado do Arauto (chance rara)</t>
        </is>
      </c>
      <c r="U432" s="161" t="inlineStr">
        <is>
          <t>Vulnerável a Ignora Defesa — pele grossa, mas com pontos fracos previsíveis.</t>
        </is>
      </c>
      <c r="V432" s="242" t="inlineStr">
        <is>
          <t>DPS</t>
        </is>
      </c>
      <c r="W432" s="242" t="inlineStr">
        <is>
          <t>Círculo do Pacto</t>
        </is>
      </c>
      <c r="X432" s="243" t="n"/>
      <c r="Y432" s="243" t="n"/>
      <c r="Z432" s="243" t="n"/>
      <c r="AA432" s="243" t="n"/>
    </row>
    <row r="433">
      <c r="A433" s="161" t="inlineStr">
        <is>
          <t>Pacto Daedrico</t>
        </is>
      </c>
      <c r="B433" s="161" t="inlineStr">
        <is>
          <t>Sombra Sem Rosto Menor</t>
        </is>
      </c>
      <c r="C433" s="161" t="inlineStr">
        <is>
          <t>Comum</t>
        </is>
      </c>
      <c r="D433" s="161" t="n">
        <v>65</v>
      </c>
      <c r="E433" s="161">
        <f>ROUND(INDEX('Curva Mestra'!$F$20:$F$94,MATCH(D433,'Curva Mestra'!$A$20:$A$94,0)),0)</f>
        <v/>
      </c>
      <c r="F433" s="161">
        <f>ROUND(INDEX('Curva Mestra'!$C$20:$C$94,MATCH(D433,'Curva Mestra'!$A$20:$A$94,0))*INDEX($B$5:$B$8,MATCH(C433,$A$5:$A$8,0)),0)</f>
        <v/>
      </c>
      <c r="G433" s="161">
        <f>ROUND(INDEX('Curva Mestra'!$D$20:$D$94,MATCH(D433,'Curva Mestra'!$A$20:$A$94,0))+INDEX($C$5:$C$8,MATCH(C433,$A$5:$A$8,0)),0)</f>
        <v/>
      </c>
      <c r="H433" s="161" t="inlineStr">
        <is>
          <t>Pedaço menor do Horror maior.</t>
        </is>
      </c>
      <c r="I433" s="161" t="inlineStr">
        <is>
          <t>Toque do Quase-Nada</t>
        </is>
      </c>
      <c r="J433" s="161" t="inlineStr">
        <is>
          <t>Lentidão.</t>
        </is>
      </c>
      <c r="K433" s="161" t="inlineStr">
        <is>
          <t>Fragmento do Horror Sem Rosto do Abismo, ainda se formando.</t>
        </is>
      </c>
      <c r="L433" s="161">
        <f>IF(C433="Comum",ROUND(E433*1.3,0),"—")</f>
        <v/>
      </c>
      <c r="M433" s="161">
        <f>IF(C433="Comum",ROUND(F433*1.15,0),"—")</f>
        <v/>
      </c>
      <c r="N433" s="161">
        <f>IF(C433="Comum",G433+2,"—")</f>
        <v/>
      </c>
      <c r="O433" s="161">
        <f>IF(C433="Comum",ROUND(E433*1.6,0),"—")</f>
        <v/>
      </c>
      <c r="P433" s="161">
        <f>IF(C433="Comum",ROUND(F433*1.3,0),"—")</f>
        <v/>
      </c>
      <c r="Q433" s="161">
        <f>IF(C433="Comum",G433+4,"—")</f>
        <v/>
      </c>
      <c r="R433" s="242" t="n"/>
      <c r="S433" s="161">
        <f>ROUND(3+0.6*D433+IF(C433="Comum",0,IF(C433="Elite",2,IF(C433="Boss",4,6))),0)</f>
        <v/>
      </c>
      <c r="T433" s="161" t="inlineStr">
        <is>
          <t>Ouro + Resíduo de Sombra Sem Rosto Menor</t>
        </is>
      </c>
      <c r="U433" s="161" t="inlineStr">
        <is>
          <t>Ignora Resistência Mágica</t>
        </is>
      </c>
      <c r="V433" s="161" t="inlineStr">
        <is>
          <t>Controle</t>
        </is>
      </c>
      <c r="W433" s="161" t="inlineStr">
        <is>
          <t>Círculo do Pacto — Salão Ritual</t>
        </is>
      </c>
      <c r="X433" s="243" t="n"/>
      <c r="Y433" s="243" t="n"/>
      <c r="Z433" s="243" t="n"/>
      <c r="AA433" s="243" t="n"/>
    </row>
    <row r="434">
      <c r="A434" s="161" t="inlineStr">
        <is>
          <t>Pacto Daedrico</t>
        </is>
      </c>
      <c r="B434" s="161" t="inlineStr">
        <is>
          <t>Aprendiz do Sacerdote do Pacto</t>
        </is>
      </c>
      <c r="C434" s="161" t="inlineStr">
        <is>
          <t>Comum</t>
        </is>
      </c>
      <c r="D434" s="161" t="n">
        <v>65</v>
      </c>
      <c r="E434" s="161">
        <f>ROUND(INDEX('Curva Mestra'!$F$20:$F$94,MATCH(D434,'Curva Mestra'!$A$20:$A$94,0)),0)</f>
        <v/>
      </c>
      <c r="F434" s="161">
        <f>ROUND(INDEX('Curva Mestra'!$C$20:$C$94,MATCH(D434,'Curva Mestra'!$A$20:$A$94,0))*INDEX($B$5:$B$8,MATCH(C434,$A$5:$A$8,0)),0)</f>
        <v/>
      </c>
      <c r="G434" s="161">
        <f>ROUND(INDEX('Curva Mestra'!$D$20:$D$94,MATCH(D434,'Curva Mestra'!$A$20:$A$94,0))+INDEX($C$5:$C$8,MATCH(C434,$A$5:$A$8,0)),0)</f>
        <v/>
      </c>
      <c r="H434" s="161" t="inlineStr">
        <is>
          <t>Aprendiz direto do Sacerdote do Pacto.</t>
        </is>
      </c>
      <c r="I434" s="161" t="inlineStr">
        <is>
          <t>Sussurro Fraco</t>
        </is>
      </c>
      <c r="J434" s="161" t="inlineStr">
        <is>
          <t>Cura 3 HP/turno em 1 aliado.</t>
        </is>
      </c>
      <c r="K434" s="161" t="inlineStr">
        <is>
          <t>Aprende os rituais do Pacto, ainda longe do poder do Sacerdote.</t>
        </is>
      </c>
      <c r="L434" s="161">
        <f>IF(C434="Comum",ROUND(E434*1.3,0),"—")</f>
        <v/>
      </c>
      <c r="M434" s="161">
        <f>IF(C434="Comum",ROUND(F434*1.15,0),"—")</f>
        <v/>
      </c>
      <c r="N434" s="161">
        <f>IF(C434="Comum",G434+2,"—")</f>
        <v/>
      </c>
      <c r="O434" s="161">
        <f>IF(C434="Comum",ROUND(E434*1.6,0),"—")</f>
        <v/>
      </c>
      <c r="P434" s="161">
        <f>IF(C434="Comum",ROUND(F434*1.3,0),"—")</f>
        <v/>
      </c>
      <c r="Q434" s="161">
        <f>IF(C434="Comum",G434+4,"—")</f>
        <v/>
      </c>
      <c r="R434" s="242" t="n"/>
      <c r="S434" s="161">
        <f>ROUND(3+0.6*D434+IF(C434="Comum",0,IF(C434="Elite",2,IF(C434="Boss",4,6))),0)</f>
        <v/>
      </c>
      <c r="T434" s="161" t="inlineStr">
        <is>
          <t>Ouro + Amuleto do Aprendiz do Pacto</t>
        </is>
      </c>
      <c r="U434" s="161" t="inlineStr">
        <is>
          <t>Ignora Resistência Mágica</t>
        </is>
      </c>
      <c r="V434" s="161" t="inlineStr">
        <is>
          <t>Suporte</t>
        </is>
      </c>
      <c r="W434" s="161" t="inlineStr">
        <is>
          <t>Círculo do Pacto — Salão Ritual</t>
        </is>
      </c>
      <c r="X434" s="243" t="n"/>
      <c r="Y434" s="243" t="n"/>
      <c r="Z434" s="243" t="n"/>
      <c r="AA434" s="243" t="n"/>
    </row>
    <row r="435">
      <c r="A435" s="161" t="inlineStr">
        <is>
          <t>Pacto Daedrico</t>
        </is>
      </c>
      <c r="B435" s="161" t="inlineStr">
        <is>
          <t>Sussurrante Só Se Manifesta em Ritual</t>
        </is>
      </c>
      <c r="C435" s="161" t="inlineStr">
        <is>
          <t>Comum</t>
        </is>
      </c>
      <c r="D435" s="161" t="n">
        <v>65</v>
      </c>
      <c r="E435" s="161">
        <f>ROUND(INDEX('Curva Mestra'!$F$20:$F$94,MATCH(D435,'Curva Mestra'!$A$20:$A$94,0)),0)</f>
        <v/>
      </c>
      <c r="F435" s="161">
        <f>ROUND(INDEX('Curva Mestra'!$C$20:$C$94,MATCH(D435,'Curva Mestra'!$A$20:$A$94,0))*INDEX($B$5:$B$8,MATCH(C435,$A$5:$A$8,0)),0)</f>
        <v/>
      </c>
      <c r="G435" s="161">
        <f>ROUND(INDEX('Curva Mestra'!$D$20:$D$94,MATCH(D435,'Curva Mestra'!$A$20:$A$94,0))+INDEX($C$5:$C$8,MATCH(C435,$A$5:$A$8,0)),0)</f>
        <v/>
      </c>
      <c r="H435" s="161" t="inlineStr">
        <is>
          <t>Manifestação que só existe durante rituais completos.</t>
        </is>
      </c>
      <c r="I435" s="161" t="inlineStr">
        <is>
          <t>Voz do Vazio</t>
        </is>
      </c>
      <c r="J435" s="161" t="inlineStr">
        <is>
          <t>Atordoamento — só ativo durante ritual completo do Círculo.</t>
        </is>
      </c>
      <c r="K435" s="161" t="inlineStr">
        <is>
          <t>Só ganha forma quando o Círculo completa um ritual inteiro, do início ao fim.</t>
        </is>
      </c>
      <c r="L435" s="161">
        <f>IF(C435="Comum",ROUND(E435*1.3,0),"—")</f>
        <v/>
      </c>
      <c r="M435" s="161">
        <f>IF(C435="Comum",ROUND(F435*1.15,0),"—")</f>
        <v/>
      </c>
      <c r="N435" s="161">
        <f>IF(C435="Comum",G435+2,"—")</f>
        <v/>
      </c>
      <c r="O435" s="161">
        <f>IF(C435="Comum",ROUND(E435*1.6,0),"—")</f>
        <v/>
      </c>
      <c r="P435" s="161">
        <f>IF(C435="Comum",ROUND(F435*1.3,0),"—")</f>
        <v/>
      </c>
      <c r="Q435" s="161">
        <f>IF(C435="Comum",G435+4,"—")</f>
        <v/>
      </c>
      <c r="R435" s="242" t="n"/>
      <c r="S435" s="161">
        <f>ROUND(3+0.6*D435+IF(C435="Comum",0,IF(C435="Elite",2,IF(C435="Boss",4,6))),0)</f>
        <v/>
      </c>
      <c r="T435" s="161" t="inlineStr">
        <is>
          <t>Ouro + Eco Condicional do Sussurrante</t>
        </is>
      </c>
      <c r="U435" s="161" t="inlineStr">
        <is>
          <t>Ignora Resistência Mágica</t>
        </is>
      </c>
      <c r="V435" s="161" t="inlineStr">
        <is>
          <t>Condicional</t>
        </is>
      </c>
      <c r="W435" s="161" t="inlineStr">
        <is>
          <t>Círculo do Pacto, só durante ritual completo ativo</t>
        </is>
      </c>
      <c r="X435" s="243" t="n"/>
      <c r="Y435" s="243" t="n"/>
      <c r="Z435" s="243" t="n"/>
      <c r="AA435" s="243" t="n"/>
    </row>
    <row r="436">
      <c r="A436" s="161" t="inlineStr">
        <is>
          <t>Pacto Daedrico</t>
        </is>
      </c>
      <c r="B436" s="161" t="inlineStr">
        <is>
          <t>Terceiro Sussurrante</t>
        </is>
      </c>
      <c r="C436" s="161" t="inlineStr">
        <is>
          <t>Comum</t>
        </is>
      </c>
      <c r="D436" s="161" t="n">
        <v>65</v>
      </c>
      <c r="E436" s="161">
        <f>ROUND(INDEX('Curva Mestra'!$F$20:$F$94,MATCH(D436,'Curva Mestra'!$A$20:$A$94,0)),0)</f>
        <v/>
      </c>
      <c r="F436" s="161">
        <f>ROUND(INDEX('Curva Mestra'!$C$20:$C$94,MATCH(D436,'Curva Mestra'!$A$20:$A$94,0))*INDEX($B$5:$B$8,MATCH(C436,$A$5:$A$8,0)),0)</f>
        <v/>
      </c>
      <c r="G436" s="161">
        <f>ROUND(INDEX('Curva Mestra'!$D$20:$D$94,MATCH(D436,'Curva Mestra'!$A$20:$A$94,0))+INDEX($C$5:$C$8,MATCH(C436,$A$5:$A$8,0)),0)</f>
        <v/>
      </c>
      <c r="H436" s="161" t="inlineStr">
        <is>
          <t>Fragmento vocal mais fraco.</t>
        </is>
      </c>
      <c r="I436" s="161" t="inlineStr">
        <is>
          <t>Eco Fraco do Sacrifício</t>
        </is>
      </c>
      <c r="J436" s="161" t="inlineStr">
        <is>
          <t>Atordoamento fraco (15%).</t>
        </is>
      </c>
      <c r="K436" s="161" t="inlineStr">
        <is>
          <t>Terceiro eco vocal, ainda mais atrasado que o Segundo Sussurrante.</t>
        </is>
      </c>
      <c r="L436" s="161">
        <f>IF(C436="Comum",ROUND(E436*1.3,0),"—")</f>
        <v/>
      </c>
      <c r="M436" s="161">
        <f>IF(C436="Comum",ROUND(F436*1.15,0),"—")</f>
        <v/>
      </c>
      <c r="N436" s="161">
        <f>IF(C436="Comum",G436+2,"—")</f>
        <v/>
      </c>
      <c r="O436" s="161">
        <f>IF(C436="Comum",ROUND(E436*1.6,0),"—")</f>
        <v/>
      </c>
      <c r="P436" s="161">
        <f>IF(C436="Comum",ROUND(F436*1.3,0),"—")</f>
        <v/>
      </c>
      <c r="Q436" s="161">
        <f>IF(C436="Comum",G436+4,"—")</f>
        <v/>
      </c>
      <c r="R436" s="242" t="n"/>
      <c r="S436" s="161">
        <f>ROUND(3+0.6*D436+IF(C436="Comum",0,IF(C436="Elite",2,IF(C436="Boss",4,6))),0)</f>
        <v/>
      </c>
      <c r="T436" s="161" t="inlineStr">
        <is>
          <t>Ouro + Eco do Terceiro Sussurrante</t>
        </is>
      </c>
      <c r="U436" s="161" t="inlineStr">
        <is>
          <t>Ignora Resistência Mágica</t>
        </is>
      </c>
      <c r="V436" s="161" t="inlineStr">
        <is>
          <t>Controle</t>
        </is>
      </c>
      <c r="W436" s="161" t="inlineStr">
        <is>
          <t>Círculo do Pacto — Salão Ritual</t>
        </is>
      </c>
      <c r="X436" s="243" t="n"/>
      <c r="Y436" s="243" t="n"/>
      <c r="Z436" s="243" t="n"/>
      <c r="AA436" s="243" t="n"/>
    </row>
    <row r="437">
      <c r="A437" s="161" t="inlineStr">
        <is>
          <t>Pacto Daedrico</t>
        </is>
      </c>
      <c r="B437" s="161" t="inlineStr">
        <is>
          <t>Sussurrante do Círculo</t>
        </is>
      </c>
      <c r="C437" s="161" t="inlineStr">
        <is>
          <t>Comum</t>
        </is>
      </c>
      <c r="D437" s="161" t="n">
        <v>66</v>
      </c>
      <c r="E437" s="161">
        <f>ROUND(INDEX('Curva Mestra'!$F$20:$F$94,MATCH(D437,'Curva Mestra'!$A$20:$A$94,0)),0)</f>
        <v/>
      </c>
      <c r="F437" s="161">
        <f>ROUND(INDEX('Curva Mestra'!$C$20:$C$94,MATCH(D437,'Curva Mestra'!$A$20:$A$94,0))*INDEX($B$5:$B$8,MATCH(C437,$A$5:$A$8,0)),0)</f>
        <v/>
      </c>
      <c r="G437" s="161">
        <f>ROUND(INDEX('Curva Mestra'!$D$20:$D$94,MATCH(D437,'Curva Mestra'!$A$20:$A$94,0))+INDEX($C$5:$C$8,MATCH(C437,$A$5:$A$8,0)),0)</f>
        <v/>
      </c>
      <c r="H437" s="161" t="inlineStr">
        <is>
          <t>Círculo Ritualístico Daédrico, Culto do Aspecto Supremo, região de Pacto Daedrico.</t>
        </is>
      </c>
      <c r="I437" s="161" t="inlineStr">
        <is>
          <t>Voz do Sacrifício</t>
        </is>
      </c>
      <c r="J437" s="161" t="inlineStr">
        <is>
          <t>Reduz o Bônus de Ataque do alvo em 1 se ele hesitar (teste SAB CD 14 pra resistir).</t>
        </is>
      </c>
      <c r="K437" s="161" t="inlineStr">
        <is>
          <t>Nasceu das oferendas de sangue derramadas nos altares — não é exatamente vivo, mas também não descansa.</t>
        </is>
      </c>
      <c r="L437" s="161">
        <f>IF(C437="Comum",ROUND(E437*1.3,0),"—")</f>
        <v/>
      </c>
      <c r="M437" s="161">
        <f>IF(C437="Comum",ROUND(F437*1.15,0),"—")</f>
        <v/>
      </c>
      <c r="N437" s="161">
        <f>IF(C437="Comum",G437+2,"—")</f>
        <v/>
      </c>
      <c r="O437" s="161">
        <f>IF(C437="Comum",ROUND(E437*1.6,0),"—")</f>
        <v/>
      </c>
      <c r="P437" s="161">
        <f>IF(C437="Comum",ROUND(F437*1.3,0),"—")</f>
        <v/>
      </c>
      <c r="Q437" s="161">
        <f>IF(C437="Comum",G437+4,"—")</f>
        <v/>
      </c>
      <c r="R437" s="161" t="inlineStr">
        <is>
          <t>Erva da Oferenda Sombria</t>
        </is>
      </c>
      <c r="S437" s="161">
        <f>ROUND(INDEX('Curva Mestra'!$D$20:$D$94,MATCH(D437,'Curva Mestra'!$A$20:$A$94,0))-IF(C437="Comum",9,IF(C437="Elite",6,IF(C437="Boss",4,3))),0)</f>
        <v/>
      </c>
      <c r="T437" s="161" t="inlineStr">
        <is>
          <t>Ouro + Olho Preservado do Arauto (chance rara)</t>
        </is>
      </c>
      <c r="U437" s="161" t="inlineStr">
        <is>
          <t>Sem fraqueza óbvia — precisa de Knowledge alto pra descobrir algo específico.</t>
        </is>
      </c>
      <c r="V437" s="242" t="inlineStr">
        <is>
          <t>DPS</t>
        </is>
      </c>
      <c r="W437" s="242" t="inlineStr">
        <is>
          <t>Círculo do Pacto</t>
        </is>
      </c>
      <c r="X437" s="243" t="n"/>
      <c r="Y437" s="243" t="n"/>
      <c r="Z437" s="243" t="n"/>
      <c r="AA437" s="243" t="n"/>
    </row>
    <row r="438">
      <c r="A438" s="161" t="inlineStr">
        <is>
          <t>Pacto Daedrico</t>
        </is>
      </c>
      <c r="B438" s="161" t="inlineStr">
        <is>
          <t>Segundo Sussurrante</t>
        </is>
      </c>
      <c r="C438" s="161" t="inlineStr">
        <is>
          <t>Comum</t>
        </is>
      </c>
      <c r="D438" s="161" t="n">
        <v>66</v>
      </c>
      <c r="E438" s="161">
        <f>ROUND(INDEX('Curva Mestra'!$F$20:$F$94,MATCH(D438,'Curva Mestra'!$A$20:$A$94,0)),0)</f>
        <v/>
      </c>
      <c r="F438" s="161">
        <f>ROUND(INDEX('Curva Mestra'!$C$20:$C$94,MATCH(D438,'Curva Mestra'!$A$20:$A$94,0))*INDEX($B$5:$B$8,MATCH(C438,$A$5:$A$8,0)),0)</f>
        <v/>
      </c>
      <c r="G438" s="161">
        <f>ROUND(INDEX('Curva Mestra'!$D$20:$D$94,MATCH(D438,'Curva Mestra'!$A$20:$A$94,0))+INDEX($C$5:$C$8,MATCH(C438,$A$5:$A$8,0)),0)</f>
        <v/>
      </c>
      <c r="H438" s="161" t="inlineStr">
        <is>
          <t>Fragmento vocal do Sussurrante principal.</t>
        </is>
      </c>
      <c r="I438" s="161" t="inlineStr">
        <is>
          <t>Eco do Sacrifício</t>
        </is>
      </c>
      <c r="J438" s="161" t="inlineStr">
        <is>
          <t>Atordoamento (20%).</t>
        </is>
      </c>
      <c r="K438" s="161" t="inlineStr">
        <is>
          <t>Repete o que o Sussurrante do Círculo já disse, um instante atrasado.</t>
        </is>
      </c>
      <c r="L438" s="161">
        <f>IF(C438="Comum",ROUND(E438*1.3,0),"—")</f>
        <v/>
      </c>
      <c r="M438" s="161">
        <f>IF(C438="Comum",ROUND(F438*1.15,0),"—")</f>
        <v/>
      </c>
      <c r="N438" s="161">
        <f>IF(C438="Comum",G438+2,"—")</f>
        <v/>
      </c>
      <c r="O438" s="161">
        <f>IF(C438="Comum",ROUND(E438*1.6,0),"—")</f>
        <v/>
      </c>
      <c r="P438" s="161">
        <f>IF(C438="Comum",ROUND(F438*1.3,0),"—")</f>
        <v/>
      </c>
      <c r="Q438" s="161">
        <f>IF(C438="Comum",G438+4,"—")</f>
        <v/>
      </c>
      <c r="R438" s="242" t="n"/>
      <c r="S438" s="161">
        <f>ROUND(3+0.6*D438+IF(C438="Comum",0,IF(C438="Elite",2,IF(C438="Boss",4,6))),0)</f>
        <v/>
      </c>
      <c r="T438" s="161" t="inlineStr">
        <is>
          <t>Ouro + Eco do Segundo Sussurrante</t>
        </is>
      </c>
      <c r="U438" s="161" t="inlineStr">
        <is>
          <t>Ignora Resistência Mágica</t>
        </is>
      </c>
      <c r="V438" s="161" t="inlineStr">
        <is>
          <t>Controle</t>
        </is>
      </c>
      <c r="W438" s="161" t="inlineStr">
        <is>
          <t>Círculo do Pacto — Salão Ritual</t>
        </is>
      </c>
      <c r="X438" s="243" t="n"/>
      <c r="Y438" s="243" t="n"/>
      <c r="Z438" s="243" t="n"/>
      <c r="AA438" s="243" t="n"/>
    </row>
    <row r="439">
      <c r="A439" s="161" t="inlineStr">
        <is>
          <t>Pacto Daedrico</t>
        </is>
      </c>
      <c r="B439" s="161" t="inlineStr">
        <is>
          <t>Sacerdote do Pacto</t>
        </is>
      </c>
      <c r="C439" s="161" t="inlineStr">
        <is>
          <t>Elite</t>
        </is>
      </c>
      <c r="D439" s="161" t="n">
        <v>66</v>
      </c>
      <c r="E439" s="161">
        <f>ROUND(INDEX('Curva Mestra'!$G$20:$G$94,MATCH(D439,'Curva Mestra'!$A$20:$A$94,0)),0)</f>
        <v/>
      </c>
      <c r="F439" s="161">
        <f>ROUND(INDEX('Curva Mestra'!$C$20:$C$94,MATCH(D439,'Curva Mestra'!$A$20:$A$94,0))*INDEX($B$5:$B$8,MATCH(C439,$A$5:$A$8,0)),0)</f>
        <v/>
      </c>
      <c r="G439" s="161">
        <f>ROUND(INDEX('Curva Mestra'!$D$20:$D$94,MATCH(D439,'Curva Mestra'!$A$20:$A$94,0))+INDEX($C$5:$C$8,MATCH(C439,$A$5:$A$8,0)),0)</f>
        <v/>
      </c>
      <c r="H439" s="161" t="inlineStr">
        <is>
          <t>Encontro dificil dentro do tier Pacto Daedrico</t>
        </is>
      </c>
      <c r="I439" s="161" t="inlineStr">
        <is>
          <t>Sussurro do Pacto</t>
        </is>
      </c>
      <c r="J439" s="161" t="inlineStr">
        <is>
          <t>Ignora toda Resistência Mágica do alvo nesse golpe.</t>
        </is>
      </c>
      <c r="K439" s="161" t="inlineStr">
        <is>
          <t>Conduz rituais no Círculo Ritualístico Daédrico — um dos muitos que "apertaram a Mão" quando ela tocou a terra pela primeira vez.</t>
        </is>
      </c>
      <c r="L439" s="161">
        <f>IF(C439="Comum",ROUND(E439*1.3,0),"—")</f>
        <v/>
      </c>
      <c r="M439" s="161">
        <f>IF(C439="Comum",ROUND(F439*1.15,0),"—")</f>
        <v/>
      </c>
      <c r="N439" s="161">
        <f>IF(C439="Comum",G439+2,"—")</f>
        <v/>
      </c>
      <c r="O439" s="161">
        <f>IF(C439="Comum",ROUND(E439*1.6,0),"—")</f>
        <v/>
      </c>
      <c r="P439" s="161">
        <f>IF(C439="Comum",ROUND(F439*1.3,0),"—")</f>
        <v/>
      </c>
      <c r="Q439" s="161">
        <f>IF(C439="Comum",G439+4,"—")</f>
        <v/>
      </c>
      <c r="R439" s="161" t="inlineStr">
        <is>
          <t>O Pacto dos Dez Dedos Ensanguentados</t>
        </is>
      </c>
      <c r="S439" s="161">
        <f>ROUND(INDEX('Curva Mestra'!$D$20:$D$94,MATCH(D439,'Curva Mestra'!$A$20:$A$94,0))-IF(C439="Comum",9,IF(C439="Elite",6,IF(C439="Boss",4,3))),0)</f>
        <v/>
      </c>
      <c r="T439" s="161" t="inlineStr">
        <is>
          <t>Relicário de Sacerdote do Pacto + Ouro + Olho Preservado do Arauto (chance baixa)</t>
        </is>
      </c>
      <c r="U439" s="161" t="inlineStr">
        <is>
          <t>Perde o bônus de grupo se isolado dos outros cultistas em combate.</t>
        </is>
      </c>
      <c r="V439" s="242" t="inlineStr">
        <is>
          <t>DPS</t>
        </is>
      </c>
      <c r="W439" s="242" t="inlineStr">
        <is>
          <t>Círculo do Pacto</t>
        </is>
      </c>
      <c r="X439" s="243" t="n"/>
      <c r="Y439" s="243" t="n"/>
      <c r="Z439" s="243" t="n"/>
      <c r="AA439" s="243" t="n"/>
    </row>
    <row r="440">
      <c r="A440" s="161" t="inlineStr">
        <is>
          <t>Pacto Daedrico</t>
        </is>
      </c>
      <c r="B440" s="161" t="inlineStr">
        <is>
          <t>Altar Falso do Sacrifício</t>
        </is>
      </c>
      <c r="C440" s="161" t="inlineStr">
        <is>
          <t>Elite</t>
        </is>
      </c>
      <c r="D440" s="161" t="n">
        <v>66</v>
      </c>
      <c r="E440" s="161">
        <f>ROUND(INDEX('Curva Mestra'!$G$20:$G$94,MATCH(D440,'Curva Mestra'!$A$20:$A$94,0)),0)</f>
        <v/>
      </c>
      <c r="F440" s="161">
        <f>ROUND(INDEX('Curva Mestra'!$C$20:$C$94,MATCH(D440,'Curva Mestra'!$A$20:$A$94,0))*INDEX($B$5:$B$8,MATCH(C440,$A$5:$A$8,0)),0)</f>
        <v/>
      </c>
      <c r="G440" s="161">
        <f>ROUND(INDEX('Curva Mestra'!$D$20:$D$94,MATCH(D440,'Curva Mestra'!$A$20:$A$94,0))+INDEX($C$5:$C$8,MATCH(C440,$A$5:$A$8,0)),0)</f>
        <v/>
      </c>
      <c r="H440" s="161" t="inlineStr">
        <is>
          <t>Armadilha viva disfarçada de altar ritual.</t>
        </is>
      </c>
      <c r="I440" s="161" t="inlineStr">
        <is>
          <t>Mordida do Altar</t>
        </is>
      </c>
      <c r="J440" s="161" t="inlineStr">
        <is>
          <t>Ignora Defesa (alto) + jogador perde 1 turno de surpresa.</t>
        </is>
      </c>
      <c r="K440" s="161" t="inlineStr">
        <is>
          <t>O Círculo planta altares-armadilha pra pegar intrusos que tentam roubar relíquias.</t>
        </is>
      </c>
      <c r="L440" s="161">
        <f>IF(C440="Comum",ROUND(E440*1.3,0),"—")</f>
        <v/>
      </c>
      <c r="M440" s="161">
        <f>IF(C440="Comum",ROUND(F440*1.15,0),"—")</f>
        <v/>
      </c>
      <c r="N440" s="161">
        <f>IF(C440="Comum",G440+2,"—")</f>
        <v/>
      </c>
      <c r="O440" s="161">
        <f>IF(C440="Comum",ROUND(E440*1.6,0),"—")</f>
        <v/>
      </c>
      <c r="P440" s="161">
        <f>IF(C440="Comum",ROUND(F440*1.3,0),"—")</f>
        <v/>
      </c>
      <c r="Q440" s="161">
        <f>IF(C440="Comum",G440+4,"—")</f>
        <v/>
      </c>
      <c r="R440" s="242" t="n"/>
      <c r="S440" s="161">
        <f>ROUND(3+0.6*D440+IF(C440="Comum",0,IF(C440="Elite",2,IF(C440="Boss",4,6))),0)</f>
        <v/>
      </c>
      <c r="T440" s="161" t="inlineStr">
        <is>
          <t>Ouro + Olho Preservado do Arauto (chance alta, x2) + Fragmento de Altar Armadilhado</t>
        </is>
      </c>
      <c r="U440" s="161" t="inlineStr">
        <is>
          <t>Atordoamento</t>
        </is>
      </c>
      <c r="V440" s="161" t="inlineStr">
        <is>
          <t>Mímico</t>
        </is>
      </c>
      <c r="W440" s="161" t="inlineStr">
        <is>
          <t>Círculo do Pacto, 5% ao interagir com altar</t>
        </is>
      </c>
      <c r="X440" s="243" t="n"/>
      <c r="Y440" s="243" t="n"/>
      <c r="Z440" s="243" t="n"/>
      <c r="AA440" s="241" t="inlineStr">
        <is>
          <t>Olho Preservado do Arauto x2 (falso — some ao ser revelado, sem uso real) — correção: nome anterior 'Relicário de Sacerdote do Pacto x2' reutilizava o troféu de outro Elite; ajustado pro material-base do próprio tier</t>
        </is>
      </c>
    </row>
    <row r="441">
      <c r="A441" s="161" t="inlineStr">
        <is>
          <t>Pacto Daedrico</t>
        </is>
      </c>
      <c r="B441" s="161" t="inlineStr">
        <is>
          <t>Horror Fugidio do Vazio</t>
        </is>
      </c>
      <c r="C441" s="161" t="inlineStr">
        <is>
          <t>Elite</t>
        </is>
      </c>
      <c r="D441" s="161" t="n">
        <v>66</v>
      </c>
      <c r="E441" s="161">
        <f>ROUND(INDEX('Curva Mestra'!$G$20:$G$94,MATCH(D441,'Curva Mestra'!$A$20:$A$94,0)),0)</f>
        <v/>
      </c>
      <c r="F441" s="161">
        <f>ROUND(INDEX('Curva Mestra'!$C$20:$C$94,MATCH(D441,'Curva Mestra'!$A$20:$A$94,0))*INDEX($B$5:$B$8,MATCH(C441,$A$5:$A$8,0)),0)</f>
        <v/>
      </c>
      <c r="G441" s="161">
        <f>ROUND(INDEX('Curva Mestra'!$D$20:$D$94,MATCH(D441,'Curva Mestra'!$A$20:$A$94,0))+INDEX($C$5:$C$8,MATCH(C441,$A$5:$A$8,0)),0)</f>
        <v/>
      </c>
      <c r="H441" s="161" t="inlineStr">
        <is>
          <t>Fragmento instável tentando escapar de volta ao vazio.</t>
        </is>
      </c>
      <c r="I441" s="161" t="inlineStr">
        <is>
          <t>Fuga Dimensional</t>
        </is>
      </c>
      <c r="J441" s="161" t="inlineStr">
        <is>
          <t>Não causa dano — foge no turno 3.</t>
        </is>
      </c>
      <c r="K441" s="161" t="inlineStr">
        <is>
          <t>Fragmento de invocação que tenta voltar pro próprio plano antes de ser destruído.</t>
        </is>
      </c>
      <c r="L441" s="161">
        <f>IF(C441="Comum",ROUND(E441*1.3,0),"—")</f>
        <v/>
      </c>
      <c r="M441" s="161">
        <f>IF(C441="Comum",ROUND(F441*1.15,0),"—")</f>
        <v/>
      </c>
      <c r="N441" s="161">
        <f>IF(C441="Comum",G441+2,"—")</f>
        <v/>
      </c>
      <c r="O441" s="161">
        <f>IF(C441="Comum",ROUND(E441*1.6,0),"—")</f>
        <v/>
      </c>
      <c r="P441" s="161">
        <f>IF(C441="Comum",ROUND(F441*1.3,0),"—")</f>
        <v/>
      </c>
      <c r="Q441" s="161">
        <f>IF(C441="Comum",G441+4,"—")</f>
        <v/>
      </c>
      <c r="R441" s="242" t="n"/>
      <c r="S441" s="161">
        <f>ROUND(3+0.6*D441+IF(C441="Comum",0,IF(C441="Elite",2,IF(C441="Boss",4,6))),0)</f>
        <v/>
      </c>
      <c r="T441" s="161" t="inlineStr">
        <is>
          <t>Ouro + Resíduo Instável do Horror Fugidio</t>
        </is>
      </c>
      <c r="U441" s="161" t="inlineStr">
        <is>
          <t>Lentidão</t>
        </is>
      </c>
      <c r="V441" s="161" t="inlineStr">
        <is>
          <t>Superloot/Evasivo</t>
        </is>
      </c>
      <c r="W441" s="161" t="inlineStr">
        <is>
          <t>Círculo do Pacto, spawn raro (2%)</t>
        </is>
      </c>
      <c r="X441" s="243" t="n"/>
      <c r="Y441" s="243" t="n"/>
      <c r="Z441" s="243" t="n"/>
      <c r="AA441" s="241" t="inlineStr">
        <is>
          <t>Minério Estelar / Poeira de Quasar (material de Tier 14)</t>
        </is>
      </c>
    </row>
    <row r="442">
      <c r="A442" s="161" t="inlineStr">
        <is>
          <t>Pacto Daedrico</t>
        </is>
      </c>
      <c r="B442" s="161" t="inlineStr">
        <is>
          <t>Guardiã Menor dos Altares</t>
        </is>
      </c>
      <c r="C442" s="161" t="inlineStr">
        <is>
          <t>Elite</t>
        </is>
      </c>
      <c r="D442" s="161" t="n">
        <v>66</v>
      </c>
      <c r="E442" s="161">
        <f>ROUND(INDEX('Curva Mestra'!$G$20:$G$94,MATCH(D442,'Curva Mestra'!$A$20:$A$94,0)),0)</f>
        <v/>
      </c>
      <c r="F442" s="161">
        <f>ROUND(INDEX('Curva Mestra'!$C$20:$C$94,MATCH(D442,'Curva Mestra'!$A$20:$A$94,0))*INDEX($B$5:$B$8,MATCH(C442,$A$5:$A$8,0)),0)</f>
        <v/>
      </c>
      <c r="G442" s="161">
        <f>ROUND(INDEX('Curva Mestra'!$D$20:$D$94,MATCH(D442,'Curva Mestra'!$A$20:$A$94,0))+INDEX($C$5:$C$8,MATCH(C442,$A$5:$A$8,0)),0)</f>
        <v/>
      </c>
      <c r="H442" s="161" t="inlineStr">
        <is>
          <t>Guardiã menor dos altares de sangue.</t>
        </is>
      </c>
      <c r="I442" s="161" t="inlineStr">
        <is>
          <t>Proteção Parcial</t>
        </is>
      </c>
      <c r="J442" s="161" t="inlineStr">
        <is>
          <t>Ignora Resistência Mágica.</t>
        </is>
      </c>
      <c r="K442" s="161" t="inlineStr">
        <is>
          <t>Fragmento funcional da Guardiã dos Altares de Sangue maior.</t>
        </is>
      </c>
      <c r="L442" s="161">
        <f>IF(C442="Comum",ROUND(E442*1.3,0),"—")</f>
        <v/>
      </c>
      <c r="M442" s="161">
        <f>IF(C442="Comum",ROUND(F442*1.15,0),"—")</f>
        <v/>
      </c>
      <c r="N442" s="161">
        <f>IF(C442="Comum",G442+2,"—")</f>
        <v/>
      </c>
      <c r="O442" s="161">
        <f>IF(C442="Comum",ROUND(E442*1.6,0),"—")</f>
        <v/>
      </c>
      <c r="P442" s="161">
        <f>IF(C442="Comum",ROUND(F442*1.3,0),"—")</f>
        <v/>
      </c>
      <c r="Q442" s="161">
        <f>IF(C442="Comum",G442+4,"—")</f>
        <v/>
      </c>
      <c r="R442" s="242" t="n"/>
      <c r="S442" s="161">
        <f>ROUND(3+0.6*D442+IF(C442="Comum",0,IF(C442="Elite",2,IF(C442="Boss",4,6))),0)</f>
        <v/>
      </c>
      <c r="T442" s="161" t="inlineStr">
        <is>
          <t>Ouro + Núcleo de Guardiã Menor dos Altares + Olho Preservado do Arauto (chance baixa)</t>
        </is>
      </c>
      <c r="U442" s="161" t="inlineStr">
        <is>
          <t>Fragilidade</t>
        </is>
      </c>
      <c r="V442" s="161" t="inlineStr">
        <is>
          <t>Tanque</t>
        </is>
      </c>
      <c r="W442" s="161" t="inlineStr">
        <is>
          <t>Círculo do Pacto — Salão Ritual</t>
        </is>
      </c>
      <c r="X442" s="243" t="n"/>
      <c r="Y442" s="243" t="n"/>
      <c r="Z442" s="243" t="n"/>
      <c r="AA442" s="243" t="n"/>
    </row>
    <row r="443">
      <c r="A443" s="161" t="inlineStr">
        <is>
          <t>Pacto Daedrico</t>
        </is>
      </c>
      <c r="B443" s="161" t="inlineStr">
        <is>
          <t>Sacerdote do Sangue Final</t>
        </is>
      </c>
      <c r="C443" s="161" t="inlineStr">
        <is>
          <t>Elite</t>
        </is>
      </c>
      <c r="D443" s="161" t="n">
        <v>67</v>
      </c>
      <c r="E443" s="161">
        <f>ROUND(INDEX('Curva Mestra'!$G$20:$G$94,MATCH(D443,'Curva Mestra'!$A$20:$A$94,0)),0)</f>
        <v/>
      </c>
      <c r="F443" s="161">
        <f>ROUND(INDEX('Curva Mestra'!$C$20:$C$94,MATCH(D443,'Curva Mestra'!$A$20:$A$94,0))*INDEX($B$5:$B$8,MATCH(C443,$A$5:$A$8,0)),0)</f>
        <v/>
      </c>
      <c r="G443" s="161">
        <f>ROUND(INDEX('Curva Mestra'!$D$20:$D$94,MATCH(D443,'Curva Mestra'!$A$20:$A$94,0))+INDEX($C$5:$C$8,MATCH(C443,$A$5:$A$8,0)),0)</f>
        <v/>
      </c>
      <c r="H443" s="161" t="inlineStr">
        <is>
          <t>Círculo Ritualístico Daédrico, Culto do Aspecto Supremo, região de Pacto Daedrico.</t>
        </is>
      </c>
      <c r="I443" s="161" t="inlineStr">
        <is>
          <t>Sacrifício dos Dez Dedos</t>
        </is>
      </c>
      <c r="J443" s="161" t="inlineStr">
        <is>
          <t>No início do combate, um herói perde sua ação primária. Também aplica: Cura 15% do dano causado como HP.</t>
        </is>
      </c>
      <c r="K443" s="161" t="inlineStr">
        <is>
          <t>O mestre de cerimônias do pacto daédrico final — comanda os Altares de Sangue do Círculo Daédrico.</t>
        </is>
      </c>
      <c r="L443" s="161">
        <f>IF(C443="Comum",ROUND(E443*1.3,0),"—")</f>
        <v/>
      </c>
      <c r="M443" s="161">
        <f>IF(C443="Comum",ROUND(F443*1.15,0),"—")</f>
        <v/>
      </c>
      <c r="N443" s="161">
        <f>IF(C443="Comum",G443+2,"—")</f>
        <v/>
      </c>
      <c r="O443" s="161">
        <f>IF(C443="Comum",ROUND(E443*1.6,0),"—")</f>
        <v/>
      </c>
      <c r="P443" s="161">
        <f>IF(C443="Comum",ROUND(F443*1.3,0),"—")</f>
        <v/>
      </c>
      <c r="Q443" s="161">
        <f>IF(C443="Comum",G443+4,"—")</f>
        <v/>
      </c>
      <c r="R443" s="161" t="inlineStr">
        <is>
          <t>A Guardiã dos Altares</t>
        </is>
      </c>
      <c r="S443" s="161">
        <f>ROUND(INDEX('Curva Mestra'!$D$20:$D$94,MATCH(D443,'Curva Mestra'!$A$20:$A$94,0))-IF(C443="Comum",9,IF(C443="Elite",6,IF(C443="Boss",4,3))),0)</f>
        <v/>
      </c>
      <c r="T443" s="161" t="inlineStr">
        <is>
          <t>Relicário de Sacerdote do Sangue Final + Ouro + Olho Preservado do Arauto (chance baixa)</t>
        </is>
      </c>
      <c r="U443" s="161" t="inlineStr">
        <is>
          <t>Perde o bônus de grupo se isolado dos outros cultistas em combate.</t>
        </is>
      </c>
      <c r="V443" s="242" t="inlineStr">
        <is>
          <t>Suporte</t>
        </is>
      </c>
      <c r="W443" s="242" t="inlineStr">
        <is>
          <t>Círculo do Pacto</t>
        </is>
      </c>
      <c r="X443" s="243" t="n"/>
      <c r="Y443" s="243" t="n"/>
      <c r="Z443" s="243" t="n"/>
      <c r="AA443" s="243" t="n"/>
    </row>
    <row r="444">
      <c r="A444" s="161" t="inlineStr">
        <is>
          <t>Pacto Daedrico</t>
        </is>
      </c>
      <c r="B444" s="161" t="inlineStr">
        <is>
          <t>Guardiã dos Altares de Sangue</t>
        </is>
      </c>
      <c r="C444" s="161" t="inlineStr">
        <is>
          <t>Elite</t>
        </is>
      </c>
      <c r="D444" s="161" t="n">
        <v>67</v>
      </c>
      <c r="E444" s="161">
        <f>ROUND(INDEX('Curva Mestra'!$G$20:$G$94,MATCH(D444,'Curva Mestra'!$A$20:$A$94,0)),0)</f>
        <v/>
      </c>
      <c r="F444" s="161">
        <f>ROUND(INDEX('Curva Mestra'!$C$20:$C$94,MATCH(D444,'Curva Mestra'!$A$20:$A$94,0))*INDEX($B$5:$B$8,MATCH(C444,$A$5:$A$8,0)),0)</f>
        <v/>
      </c>
      <c r="G444" s="161">
        <f>ROUND(INDEX('Curva Mestra'!$D$20:$D$94,MATCH(D444,'Curva Mestra'!$A$20:$A$94,0))+INDEX($C$5:$C$8,MATCH(C444,$A$5:$A$8,0)),0)</f>
        <v/>
      </c>
      <c r="H444" s="161" t="inlineStr">
        <is>
          <t>Círculo Ritualístico Daédrico, Culto do Aspecto Supremo, região de Pacto Daedrico.</t>
        </is>
      </c>
      <c r="I444" s="161" t="inlineStr">
        <is>
          <t>Proteção Ritual</t>
        </is>
      </c>
      <c r="J444" s="161" t="inlineStr">
        <is>
          <t>Reduz em 2 todo dano recebido enquanto estiver ao lado de um altar ativo. Também aplica: Ignora toda Resistência Mágica do alvo nesse golpe.</t>
        </is>
      </c>
      <c r="K444" s="161" t="inlineStr">
        <is>
          <t>Protege os altares onde as sementes da Erva da Oferenda Sombria crescem, alimentadas pelas almas dos cultistas da Mão.</t>
        </is>
      </c>
      <c r="L444" s="161">
        <f>IF(C444="Comum",ROUND(E444*1.3,0),"—")</f>
        <v/>
      </c>
      <c r="M444" s="161">
        <f>IF(C444="Comum",ROUND(F444*1.15,0),"—")</f>
        <v/>
      </c>
      <c r="N444" s="161">
        <f>IF(C444="Comum",G444+2,"—")</f>
        <v/>
      </c>
      <c r="O444" s="161">
        <f>IF(C444="Comum",ROUND(E444*1.6,0),"—")</f>
        <v/>
      </c>
      <c r="P444" s="161">
        <f>IF(C444="Comum",ROUND(F444*1.3,0),"—")</f>
        <v/>
      </c>
      <c r="Q444" s="161">
        <f>IF(C444="Comum",G444+4,"—")</f>
        <v/>
      </c>
      <c r="R444" s="161" t="inlineStr">
        <is>
          <t>A Guardiã dos Altares</t>
        </is>
      </c>
      <c r="S444" s="161">
        <f>ROUND(INDEX('Curva Mestra'!$D$20:$D$94,MATCH(D444,'Curva Mestra'!$A$20:$A$94,0))-IF(C444="Comum",9,IF(C444="Elite",6,IF(C444="Boss",4,3))),0)</f>
        <v/>
      </c>
      <c r="T444" s="161" t="inlineStr">
        <is>
          <t>Núcleo de Guardiã dos Altares de Sangue + Ouro + Olho Preservado do Arauto (chance baixa)</t>
        </is>
      </c>
      <c r="U444" s="161" t="inlineStr">
        <is>
          <t>Perde o bônus de grupo se isolado dos outros cultistas em combate.</t>
        </is>
      </c>
      <c r="V444" s="242" t="inlineStr">
        <is>
          <t>DPS</t>
        </is>
      </c>
      <c r="W444" s="242" t="inlineStr">
        <is>
          <t>Círculo do Pacto</t>
        </is>
      </c>
      <c r="X444" s="243" t="n"/>
      <c r="Y444" s="243" t="n"/>
      <c r="Z444" s="243" t="n"/>
      <c r="AA444" s="243" t="n"/>
    </row>
    <row r="445">
      <c r="A445" s="161" t="inlineStr">
        <is>
          <t>Pacto Daedrico</t>
        </is>
      </c>
      <c r="B445" s="161" t="inlineStr">
        <is>
          <t>Irmã Coral, a Que Quebrou o Círculo</t>
        </is>
      </c>
      <c r="C445" s="161" t="inlineStr">
        <is>
          <t>Elite</t>
        </is>
      </c>
      <c r="D445" s="161" t="n">
        <v>67</v>
      </c>
      <c r="E445" s="161">
        <f>ROUND(INDEX('Curva Mestra'!$G$20:$G$94,MATCH(D445,'Curva Mestra'!$A$20:$A$94,0)),0)</f>
        <v/>
      </c>
      <c r="F445" s="161">
        <f>ROUND(INDEX('Curva Mestra'!$C$20:$C$94,MATCH(D445,'Curva Mestra'!$A$20:$A$94,0))*INDEX($B$5:$B$8,MATCH(C445,$A$5:$A$8,0)),0)</f>
        <v/>
      </c>
      <c r="G445" s="161">
        <f>ROUND(INDEX('Curva Mestra'!$D$20:$D$94,MATCH(D445,'Curva Mestra'!$A$20:$A$94,0))+INDEX($C$5:$C$8,MATCH(C445,$A$5:$A$8,0)),0)</f>
        <v/>
      </c>
      <c r="H445" s="161" t="inlineStr">
        <is>
          <t>Ex-Sacerdotisa que se recusou a completar o pacto final.</t>
        </is>
      </c>
      <c r="I445" s="161" t="inlineStr">
        <is>
          <t>Punhal do Arrependimento</t>
        </is>
      </c>
      <c r="J445" s="161" t="inlineStr">
        <is>
          <t>Ignora Defesa + Rouba Vida (10%).</t>
        </is>
      </c>
      <c r="K445" s="161" t="inlineStr">
        <is>
          <t>Era Sacerdotisa do Pacto. Recusou-se a completar o último sacrifício exigido.</t>
        </is>
      </c>
      <c r="L445" s="161">
        <f>IF(C445="Comum",ROUND(E445*1.3,0),"—")</f>
        <v/>
      </c>
      <c r="M445" s="161">
        <f>IF(C445="Comum",ROUND(F445*1.15,0),"—")</f>
        <v/>
      </c>
      <c r="N445" s="161">
        <f>IF(C445="Comum",G445+2,"—")</f>
        <v/>
      </c>
      <c r="O445" s="161">
        <f>IF(C445="Comum",ROUND(E445*1.6,0),"—")</f>
        <v/>
      </c>
      <c r="P445" s="161">
        <f>IF(C445="Comum",ROUND(F445*1.3,0),"—")</f>
        <v/>
      </c>
      <c r="Q445" s="161">
        <f>IF(C445="Comum",G445+4,"—")</f>
        <v/>
      </c>
      <c r="R445" s="242" t="n"/>
      <c r="S445" s="161">
        <f>ROUND(3+0.6*D445+IF(C445="Comum",0,IF(C445="Elite",2,IF(C445="Boss",4,6))),0)</f>
        <v/>
      </c>
      <c r="T445" s="161" t="inlineStr">
        <is>
          <t>Ouro</t>
        </is>
      </c>
      <c r="U445" s="161" t="inlineStr">
        <is>
          <t>Lentidão</t>
        </is>
      </c>
      <c r="V445" s="161" t="inlineStr">
        <is>
          <t>Nomeado / Mini-Boss</t>
        </is>
      </c>
      <c r="W445" s="161" t="inlineStr">
        <is>
          <t>Círculo do Pacto, spawn raro (4%)</t>
        </is>
      </c>
      <c r="X445" s="241" t="inlineStr">
        <is>
          <t>A 30% de HP para de atacar e revela um segredo do Arquivista Traidor — poupá-la dá Título e a informação.</t>
        </is>
      </c>
      <c r="Y445" s="243" t="n"/>
      <c r="Z445" s="243" t="n"/>
      <c r="AA445" s="241" t="inlineStr">
        <is>
          <t>Punhal do Círculo Quebrado (se derrotada em vez de poupada) [ver Artefatos e Relíquias]</t>
        </is>
      </c>
    </row>
    <row r="446">
      <c r="A446" s="161" t="inlineStr">
        <is>
          <t>Pacto Daedrico</t>
        </is>
      </c>
      <c r="B446" s="161" t="inlineStr">
        <is>
          <t>Sacerdote do Sangue Final Ferido</t>
        </is>
      </c>
      <c r="C446" s="161" t="inlineStr">
        <is>
          <t>Elite</t>
        </is>
      </c>
      <c r="D446" s="161" t="n">
        <v>67</v>
      </c>
      <c r="E446" s="161">
        <f>ROUND(INDEX('Curva Mestra'!$G$20:$G$94,MATCH(D446,'Curva Mestra'!$A$20:$A$94,0)),0)</f>
        <v/>
      </c>
      <c r="F446" s="161">
        <f>ROUND(INDEX('Curva Mestra'!$C$20:$C$94,MATCH(D446,'Curva Mestra'!$A$20:$A$94,0))*INDEX($B$5:$B$8,MATCH(C446,$A$5:$A$8,0)),0)</f>
        <v/>
      </c>
      <c r="G446" s="161">
        <f>ROUND(INDEX('Curva Mestra'!$D$20:$D$94,MATCH(D446,'Curva Mestra'!$A$20:$A$94,0))+INDEX($C$5:$C$8,MATCH(C446,$A$5:$A$8,0)),0)</f>
        <v/>
      </c>
      <c r="H446" s="161" t="inlineStr">
        <is>
          <t>Sacerdote enfraquecido por excesso de rituais.</t>
        </is>
      </c>
      <c r="I446" s="161" t="inlineStr">
        <is>
          <t>Sacrifício Cansado</t>
        </is>
      </c>
      <c r="J446" s="161" t="inlineStr">
        <is>
          <t>+15% de chance de acerto abaixo de 50% HP.</t>
        </is>
      </c>
      <c r="K446" s="161" t="inlineStr">
        <is>
          <t>Sacerdote já debilitado por rituais anteriores.</t>
        </is>
      </c>
      <c r="L446" s="161">
        <f>IF(C446="Comum",ROUND(E446*1.3,0),"—")</f>
        <v/>
      </c>
      <c r="M446" s="161">
        <f>IF(C446="Comum",ROUND(F446*1.15,0),"—")</f>
        <v/>
      </c>
      <c r="N446" s="161">
        <f>IF(C446="Comum",G446+2,"—")</f>
        <v/>
      </c>
      <c r="O446" s="161">
        <f>IF(C446="Comum",ROUND(E446*1.6,0),"—")</f>
        <v/>
      </c>
      <c r="P446" s="161">
        <f>IF(C446="Comum",ROUND(F446*1.3,0),"—")</f>
        <v/>
      </c>
      <c r="Q446" s="161">
        <f>IF(C446="Comum",G446+4,"—")</f>
        <v/>
      </c>
      <c r="R446" s="242" t="n"/>
      <c r="S446" s="161">
        <f>ROUND(3+0.6*D446+IF(C446="Comum",0,IF(C446="Elite",2,IF(C446="Boss",4,6))),0)</f>
        <v/>
      </c>
      <c r="T446" s="161" t="inlineStr">
        <is>
          <t>Ouro + Fragmento de Sacerdote do Sangue Final Ferido + Olho Preservado do Arauto (chance baixa)</t>
        </is>
      </c>
      <c r="U446" s="161" t="inlineStr">
        <is>
          <t>Fragilidade</t>
        </is>
      </c>
      <c r="V446" s="161" t="inlineStr">
        <is>
          <t>DPS</t>
        </is>
      </c>
      <c r="W446" s="161" t="inlineStr">
        <is>
          <t>Círculo do Pacto — Salão Ritual</t>
        </is>
      </c>
      <c r="X446" s="243" t="n"/>
      <c r="Y446" s="243" t="n"/>
      <c r="Z446" s="243" t="n"/>
      <c r="AA446" s="243" t="n"/>
    </row>
    <row r="447">
      <c r="A447" s="161" t="inlineStr">
        <is>
          <t>Pacto Daedrico</t>
        </is>
      </c>
      <c r="B447" s="161" t="inlineStr">
        <is>
          <t>Arauto Daedrico</t>
        </is>
      </c>
      <c r="C447" s="161" t="inlineStr">
        <is>
          <t>Boss</t>
        </is>
      </c>
      <c r="D447" s="161" t="n">
        <v>68</v>
      </c>
      <c r="E447" s="161">
        <f>ROUND(INDEX('Curva Mestra'!$H$20:$H$94,MATCH(D447,'Curva Mestra'!$A$20:$A$94,0)),0)</f>
        <v/>
      </c>
      <c r="F447" s="161">
        <f>ROUND(INDEX('Curva Mestra'!$C$20:$C$94,MATCH(D447,'Curva Mestra'!$A$20:$A$94,0))*INDEX($B$5:$B$8,MATCH(C447,$A$5:$A$8,0)),0)</f>
        <v/>
      </c>
      <c r="G447" s="161">
        <f>ROUND(INDEX('Curva Mestra'!$D$20:$D$94,MATCH(D447,'Curva Mestra'!$A$20:$A$94,0))+INDEX($C$5:$C$8,MATCH(C447,$A$5:$A$8,0)),0)</f>
        <v/>
      </c>
      <c r="H447" s="161" t="inlineStr">
        <is>
          <t>Chefe / marco final do tier Pacto Daedrico</t>
        </is>
      </c>
      <c r="I447" s="161" t="inlineStr">
        <is>
          <t>Golpe do Arauto</t>
        </is>
      </c>
      <c r="J447" s="161" t="inlineStr">
        <is>
          <t>Cura 15% do dano causado como HP.</t>
        </is>
      </c>
      <c r="K447" s="161" t="inlineStr">
        <is>
          <t>Prega dominação mental e ataques duplos em nome do Aspecto Supremo — guarda "O Pacto dos Dez Dedos Ensanguentados", escrito com sangue dos dez primeiros cultistas.</t>
        </is>
      </c>
      <c r="L447" s="161">
        <f>IF(C447="Comum",ROUND(E447*1.3,0),"—")</f>
        <v/>
      </c>
      <c r="M447" s="161">
        <f>IF(C447="Comum",ROUND(F447*1.15,0),"—")</f>
        <v/>
      </c>
      <c r="N447" s="161">
        <f>IF(C447="Comum",G447+2,"—")</f>
        <v/>
      </c>
      <c r="O447" s="161">
        <f>IF(C447="Comum",ROUND(E447*1.6,0),"—")</f>
        <v/>
      </c>
      <c r="P447" s="161">
        <f>IF(C447="Comum",ROUND(F447*1.3,0),"—")</f>
        <v/>
      </c>
      <c r="Q447" s="161">
        <f>IF(C447="Comum",G447+4,"—")</f>
        <v/>
      </c>
      <c r="R447" s="161" t="inlineStr">
        <is>
          <t>O Arauto Daédrico</t>
        </is>
      </c>
      <c r="S447" s="161">
        <f>ROUND(INDEX('Curva Mestra'!$D$20:$D$94,MATCH(D447,'Curva Mestra'!$A$20:$A$94,0))-IF(C447="Comum",9,IF(C447="Elite",6,IF(C447="Boss",4,3))),0)</f>
        <v/>
      </c>
      <c r="T447" s="161" t="inlineStr">
        <is>
          <t>Relicário de Arauto Daedrico + Essência de Arauto Daedrico + Ouro + Olho Preservado do Arauto (chance baixa)</t>
        </is>
      </c>
      <c r="U447" s="161" t="inlineStr">
        <is>
          <t>Perde o bônus de grupo se isolado dos outros cultistas em combate.</t>
        </is>
      </c>
      <c r="V447" s="242" t="inlineStr">
        <is>
          <t>Suporte</t>
        </is>
      </c>
      <c r="W447" s="242" t="inlineStr">
        <is>
          <t>Círculo do Pacto</t>
        </is>
      </c>
      <c r="X447" s="243" t="n"/>
      <c r="Y447" s="242" t="n"/>
      <c r="Z447" s="243" t="n"/>
      <c r="AA447" s="243" t="inlineStr">
        <is>
          <t>O Pacto dos Dez Dedos Ensanguentados</t>
        </is>
      </c>
    </row>
    <row r="448">
      <c r="A448" s="161" t="inlineStr">
        <is>
          <t>Pacto Daedrico</t>
        </is>
      </c>
      <c r="B448" s="161" t="inlineStr">
        <is>
          <t>O Arquivista Traidor</t>
        </is>
      </c>
      <c r="C448" s="161" t="inlineStr">
        <is>
          <t>Boss</t>
        </is>
      </c>
      <c r="D448" s="161" t="n">
        <v>69</v>
      </c>
      <c r="E448" s="161">
        <f>ROUND(INDEX('Curva Mestra'!$H$20:$H$94,MATCH(D448,'Curva Mestra'!$A$20:$A$94,0)),0)</f>
        <v/>
      </c>
      <c r="F448" s="161">
        <f>ROUND(INDEX('Curva Mestra'!$C$20:$C$94,MATCH(D448,'Curva Mestra'!$A$20:$A$94,0))*INDEX($B$5:$B$8,MATCH(C448,$A$5:$A$8,0)),0)</f>
        <v/>
      </c>
      <c r="G448" s="161">
        <f>ROUND(INDEX('Curva Mestra'!$D$20:$D$94,MATCH(D448,'Curva Mestra'!$A$20:$A$94,0))+INDEX($C$5:$C$8,MATCH(C448,$A$5:$A$8,0)),0)</f>
        <v/>
      </c>
      <c r="H448" s="161" t="inlineStr">
        <is>
          <t>Círculo Ritualístico Daédrico, Culto do Aspecto Supremo, região de Pacto Daedrico.</t>
        </is>
      </c>
      <c r="I448" s="161" t="inlineStr">
        <is>
          <t>Segredo Corrompido</t>
        </is>
      </c>
      <c r="J448" s="161" t="inlineStr">
        <is>
          <t>Ao ser atingido pela primeira vez, revela e ganha +3 de Defesa pelo resto do combate (a mentira exposta o fortalece).</t>
        </is>
      </c>
      <c r="K448" s="161" t="inlineStr">
        <is>
          <t>Infiltrado entre Os Guardiões do Último Véu — alimentou o Culto do Aspecto Supremo com segredos que deveriam proteger a realidade, não destruí-la.</t>
        </is>
      </c>
      <c r="L448" s="161">
        <f>IF(C448="Comum",ROUND(E448*1.3,0),"—")</f>
        <v/>
      </c>
      <c r="M448" s="161">
        <f>IF(C448="Comum",ROUND(F448*1.15,0),"—")</f>
        <v/>
      </c>
      <c r="N448" s="161">
        <f>IF(C448="Comum",G448+2,"—")</f>
        <v/>
      </c>
      <c r="O448" s="161">
        <f>IF(C448="Comum",ROUND(E448*1.6,0),"—")</f>
        <v/>
      </c>
      <c r="P448" s="161">
        <f>IF(C448="Comum",ROUND(F448*1.3,0),"—")</f>
        <v/>
      </c>
      <c r="Q448" s="161">
        <f>IF(C448="Comum",G448+4,"—")</f>
        <v/>
      </c>
      <c r="R448" s="161" t="inlineStr">
        <is>
          <t>O Traidor do Véu</t>
        </is>
      </c>
      <c r="S448" s="161">
        <f>ROUND(INDEX('Curva Mestra'!$D$20:$D$94,MATCH(D448,'Curva Mestra'!$A$20:$A$94,0))-IF(C448="Comum",9,IF(C448="Elite",6,IF(C448="Boss",4,3))),0)</f>
        <v/>
      </c>
      <c r="T448" s="161" t="inlineStr">
        <is>
          <t>Fragmento de O Arquivista Traidor + Essência de O Arquivista Traidor + Ouro + Olho Preservado do Arauto (chance baixa)</t>
        </is>
      </c>
      <c r="U448" s="161" t="inlineStr">
        <is>
          <t>Perde o bônus de grupo se isolado dos outros cultistas em combate.</t>
        </is>
      </c>
      <c r="V448" s="242" t="inlineStr">
        <is>
          <t>DPS</t>
        </is>
      </c>
      <c r="W448" s="242" t="inlineStr">
        <is>
          <t>Círculo do Pacto</t>
        </is>
      </c>
      <c r="X448" s="242" t="n"/>
      <c r="Y448" s="243" t="n"/>
      <c r="Z448" s="243" t="n"/>
      <c r="AA448" s="243" t="n"/>
    </row>
    <row r="449">
      <c r="A449" s="161" t="inlineStr">
        <is>
          <t>Estelar / Cosmico</t>
        </is>
      </c>
      <c r="B449" s="161" t="inlineStr">
        <is>
          <t>Testemunha Silenciosa do Fim</t>
        </is>
      </c>
      <c r="C449" s="161" t="inlineStr">
        <is>
          <t>Comum</t>
        </is>
      </c>
      <c r="D449" s="161" t="n">
        <v>68</v>
      </c>
      <c r="E449" s="161">
        <f>ROUND(INDEX('Curva Mestra'!$F$20:$F$94,MATCH(D449,'Curva Mestra'!$A$20:$A$94,0)),0)</f>
        <v/>
      </c>
      <c r="F449" s="161">
        <f>ROUND(INDEX('Curva Mestra'!$C$20:$C$94,MATCH(D449,'Curva Mestra'!$A$20:$A$94,0))*INDEX($B$5:$B$8,MATCH(C449,$A$5:$A$8,0)),0)</f>
        <v/>
      </c>
      <c r="G449" s="161">
        <f>ROUND(INDEX('Curva Mestra'!$D$20:$D$94,MATCH(D449,'Curva Mestra'!$A$20:$A$94,0))+INDEX($C$5:$C$8,MATCH(C449,$A$5:$A$8,0)),0)</f>
        <v/>
      </c>
      <c r="H449" s="161" t="inlineStr">
        <is>
          <t>Uma das primeiras testemunhas da Infecção, ainda viva de algum jeito.</t>
        </is>
      </c>
      <c r="I449" s="161" t="inlineStr">
        <is>
          <t>(não ataca)</t>
        </is>
      </c>
      <c r="J449" s="161" t="inlineStr">
        <is>
          <t>Não-hostil: se poupada, revela um fragmento de lore sobre a origem da Infecção.</t>
        </is>
      </c>
      <c r="K449" s="161" t="inlineStr">
        <is>
          <t>Viu o início de tudo e nunca mais falou desde então.</t>
        </is>
      </c>
      <c r="L449" s="161">
        <f>IF(C449="Comum",ROUND(E449*1.3,0),"—")</f>
        <v/>
      </c>
      <c r="M449" s="161">
        <f>IF(C449="Comum",ROUND(F449*1.15,0),"—")</f>
        <v/>
      </c>
      <c r="N449" s="161">
        <f>IF(C449="Comum",G449+2,"—")</f>
        <v/>
      </c>
      <c r="O449" s="161">
        <f>IF(C449="Comum",ROUND(E449*1.6,0),"—")</f>
        <v/>
      </c>
      <c r="P449" s="161">
        <f>IF(C449="Comum",ROUND(F449*1.3,0),"—")</f>
        <v/>
      </c>
      <c r="Q449" s="161">
        <f>IF(C449="Comum",G449+4,"—")</f>
        <v/>
      </c>
      <c r="R449" s="242" t="n"/>
      <c r="S449" s="161">
        <f>ROUND(3+0.6*D449+IF(C449="Comum",0,IF(C449="Elite",2,IF(C449="Boss",4,6))),0)</f>
        <v/>
      </c>
      <c r="T449" s="161" t="inlineStr">
        <is>
          <t>Ouro + Diário Mudo da Testemunha</t>
        </is>
      </c>
      <c r="U449" s="161" t="inlineStr">
        <is>
          <t>Sem fraqueza óbvia — precisa de Knowledge alto pra descobrir algo específico.</t>
        </is>
      </c>
      <c r="V449" s="161" t="inlineStr">
        <is>
          <t>Não-hostil</t>
        </is>
      </c>
      <c r="W449" s="161" t="inlineStr">
        <is>
          <t>Fenda Estelar — Bordas</t>
        </is>
      </c>
      <c r="X449" s="243" t="n"/>
      <c r="Y449" s="241" t="inlineStr">
        <is>
          <t>Revela lore rara sobre a origem da Mão Carmesim se poupada.</t>
        </is>
      </c>
      <c r="Z449" s="243" t="n"/>
      <c r="AA449" s="243" t="n"/>
    </row>
    <row r="450">
      <c r="A450" s="161" t="inlineStr">
        <is>
          <t>Estelar / Cosmico</t>
        </is>
      </c>
      <c r="B450" s="161" t="inlineStr">
        <is>
          <t>Fragmento Estelar Muito Instável</t>
        </is>
      </c>
      <c r="C450" s="161" t="inlineStr">
        <is>
          <t>Comum</t>
        </is>
      </c>
      <c r="D450" s="161" t="n">
        <v>69</v>
      </c>
      <c r="E450" s="161">
        <f>ROUND(INDEX('Curva Mestra'!$F$20:$F$94,MATCH(D450,'Curva Mestra'!$A$20:$A$94,0)),0)</f>
        <v/>
      </c>
      <c r="F450" s="161">
        <f>ROUND(INDEX('Curva Mestra'!$C$20:$C$94,MATCH(D450,'Curva Mestra'!$A$20:$A$94,0))*INDEX($B$5:$B$8,MATCH(C450,$A$5:$A$8,0)),0)</f>
        <v/>
      </c>
      <c r="G450" s="161">
        <f>ROUND(INDEX('Curva Mestra'!$D$20:$D$94,MATCH(D450,'Curva Mestra'!$A$20:$A$94,0))+INDEX($C$5:$C$8,MATCH(C450,$A$5:$A$8,0)),0)</f>
        <v/>
      </c>
      <c r="H450" s="161" t="inlineStr">
        <is>
          <t>Fragmento mínimo, mal se sustenta.</t>
        </is>
      </c>
      <c r="I450" s="161" t="inlineStr">
        <is>
          <t>Fragmentação Muito Fraca</t>
        </is>
      </c>
      <c r="J450" s="161" t="inlineStr">
        <is>
          <t>Nenhum efeito adicional.</t>
        </is>
      </c>
      <c r="K450" s="161" t="inlineStr">
        <is>
          <t>Ainda menor que o Fragmento Estelar Instável.</t>
        </is>
      </c>
      <c r="L450" s="161">
        <f>IF(C450="Comum",ROUND(E450*1.3,0),"—")</f>
        <v/>
      </c>
      <c r="M450" s="161">
        <f>IF(C450="Comum",ROUND(F450*1.15,0),"—")</f>
        <v/>
      </c>
      <c r="N450" s="161">
        <f>IF(C450="Comum",G450+2,"—")</f>
        <v/>
      </c>
      <c r="O450" s="161">
        <f>IF(C450="Comum",ROUND(E450*1.6,0),"—")</f>
        <v/>
      </c>
      <c r="P450" s="161">
        <f>IF(C450="Comum",ROUND(F450*1.3,0),"—")</f>
        <v/>
      </c>
      <c r="Q450" s="161">
        <f>IF(C450="Comum",G450+4,"—")</f>
        <v/>
      </c>
      <c r="R450" s="242" t="n"/>
      <c r="S450" s="161">
        <f>ROUND(3+0.6*D450+IF(C450="Comum",0,IF(C450="Elite",2,IF(C450="Boss",4,6))),0)</f>
        <v/>
      </c>
      <c r="T450" s="161" t="inlineStr">
        <is>
          <t>Ouro + Poeira de Fragmento Muito Instável</t>
        </is>
      </c>
      <c r="U450" s="161" t="inlineStr">
        <is>
          <t>Fragilidade</t>
        </is>
      </c>
      <c r="V450" s="161" t="inlineStr">
        <is>
          <t>DPS fraco</t>
        </is>
      </c>
      <c r="W450" s="161" t="inlineStr">
        <is>
          <t>Fenda Estelar — Bordas</t>
        </is>
      </c>
      <c r="X450" s="243" t="n"/>
      <c r="Y450" s="243" t="n"/>
      <c r="Z450" s="243" t="n"/>
      <c r="AA450" s="243" t="n"/>
    </row>
    <row r="451">
      <c r="A451" s="161" t="inlineStr">
        <is>
          <t>Estelar / Cosmico</t>
        </is>
      </c>
      <c r="B451" s="161" t="inlineStr">
        <is>
          <t>Zelote Muito Recém-Desperto</t>
        </is>
      </c>
      <c r="C451" s="161" t="inlineStr">
        <is>
          <t>Comum</t>
        </is>
      </c>
      <c r="D451" s="161" t="n">
        <v>69</v>
      </c>
      <c r="E451" s="161">
        <f>ROUND(INDEX('Curva Mestra'!$F$20:$F$94,MATCH(D451,'Curva Mestra'!$A$20:$A$94,0)),0)</f>
        <v/>
      </c>
      <c r="F451" s="161">
        <f>ROUND(INDEX('Curva Mestra'!$C$20:$C$94,MATCH(D451,'Curva Mestra'!$A$20:$A$94,0))*INDEX($B$5:$B$8,MATCH(C451,$A$5:$A$8,0)),0)</f>
        <v/>
      </c>
      <c r="G451" s="161">
        <f>ROUND(INDEX('Curva Mestra'!$D$20:$D$94,MATCH(D451,'Curva Mestra'!$A$20:$A$94,0))+INDEX($C$5:$C$8,MATCH(C451,$A$5:$A$8,0)),0)</f>
        <v/>
      </c>
      <c r="H451" s="161" t="inlineStr">
        <is>
          <t>O convertido mais recente de todos, ainda em choque.</t>
        </is>
      </c>
      <c r="I451" s="161" t="inlineStr">
        <is>
          <t>Golpe da Fé Muito Nova</t>
        </is>
      </c>
      <c r="J451" s="161" t="inlineStr">
        <is>
          <t>Nenhum — 15% de chance de hesitar.</t>
        </is>
      </c>
      <c r="K451" s="161" t="inlineStr">
        <is>
          <t>Ainda mais recente que o Zelote Recém-Desperto.</t>
        </is>
      </c>
      <c r="L451" s="161">
        <f>IF(C451="Comum",ROUND(E451*1.3,0),"—")</f>
        <v/>
      </c>
      <c r="M451" s="161">
        <f>IF(C451="Comum",ROUND(F451*1.15,0),"—")</f>
        <v/>
      </c>
      <c r="N451" s="161">
        <f>IF(C451="Comum",G451+2,"—")</f>
        <v/>
      </c>
      <c r="O451" s="161">
        <f>IF(C451="Comum",ROUND(E451*1.6,0),"—")</f>
        <v/>
      </c>
      <c r="P451" s="161">
        <f>IF(C451="Comum",ROUND(F451*1.3,0),"—")</f>
        <v/>
      </c>
      <c r="Q451" s="161">
        <f>IF(C451="Comum",G451+4,"—")</f>
        <v/>
      </c>
      <c r="R451" s="242" t="n"/>
      <c r="S451" s="161">
        <f>ROUND(3+0.6*D451+IF(C451="Comum",0,IF(C451="Elite",2,IF(C451="Boss",4,6))),0)</f>
        <v/>
      </c>
      <c r="T451" s="161" t="inlineStr">
        <is>
          <t>Ouro + Marca do Despertar Recente</t>
        </is>
      </c>
      <c r="U451" s="161" t="inlineStr">
        <is>
          <t>Atordoamento</t>
        </is>
      </c>
      <c r="V451" s="161" t="inlineStr">
        <is>
          <t>Não-hostil condicional</t>
        </is>
      </c>
      <c r="W451" s="161" t="inlineStr">
        <is>
          <t>Fenda Estelar — Bordas</t>
        </is>
      </c>
      <c r="X451" s="243" t="n"/>
      <c r="Y451" s="241" t="inlineStr">
        <is>
          <t>Se abordado em paz, hesita e pode ser convencido a fugir.</t>
        </is>
      </c>
      <c r="Z451" s="243" t="n"/>
      <c r="AA451" s="243" t="n"/>
    </row>
    <row r="452">
      <c r="A452" s="161" t="inlineStr">
        <is>
          <t>Estelar / Cosmico</t>
        </is>
      </c>
      <c r="B452" s="161" t="inlineStr">
        <is>
          <t>Sentinela Recém-Formada da Fenda</t>
        </is>
      </c>
      <c r="C452" s="161" t="inlineStr">
        <is>
          <t>Comum</t>
        </is>
      </c>
      <c r="D452" s="161" t="n">
        <v>69</v>
      </c>
      <c r="E452" s="161">
        <f>ROUND(INDEX('Curva Mestra'!$F$20:$F$94,MATCH(D452,'Curva Mestra'!$A$20:$A$94,0)),0)</f>
        <v/>
      </c>
      <c r="F452" s="161">
        <f>ROUND(INDEX('Curva Mestra'!$C$20:$C$94,MATCH(D452,'Curva Mestra'!$A$20:$A$94,0))*INDEX($B$5:$B$8,MATCH(C452,$A$5:$A$8,0)),0)</f>
        <v/>
      </c>
      <c r="G452" s="161">
        <f>ROUND(INDEX('Curva Mestra'!$D$20:$D$94,MATCH(D452,'Curva Mestra'!$A$20:$A$94,0))+INDEX($C$5:$C$8,MATCH(C452,$A$5:$A$8,0)),0)</f>
        <v/>
      </c>
      <c r="H452" s="161" t="inlineStr">
        <is>
          <t>Sentinela que se forma antes do portal abrir de vez.</t>
        </is>
      </c>
      <c r="I452" s="161" t="inlineStr">
        <is>
          <t>Golpe sem Som Fraco</t>
        </is>
      </c>
      <c r="J452" s="161" t="inlineStr">
        <is>
          <t>Lentidão fraca — só com portal parcialmente aberto.</t>
        </is>
      </c>
      <c r="K452" s="161" t="inlineStr">
        <is>
          <t>Sentinela mais fraca, forma-se mesmo com o portal só parcialmente aberto.</t>
        </is>
      </c>
      <c r="L452" s="161">
        <f>IF(C452="Comum",ROUND(E452*1.3,0),"—")</f>
        <v/>
      </c>
      <c r="M452" s="161">
        <f>IF(C452="Comum",ROUND(F452*1.15,0),"—")</f>
        <v/>
      </c>
      <c r="N452" s="161">
        <f>IF(C452="Comum",G452+2,"—")</f>
        <v/>
      </c>
      <c r="O452" s="161">
        <f>IF(C452="Comum",ROUND(E452*1.6,0),"—")</f>
        <v/>
      </c>
      <c r="P452" s="161">
        <f>IF(C452="Comum",ROUND(F452*1.3,0),"—")</f>
        <v/>
      </c>
      <c r="Q452" s="161">
        <f>IF(C452="Comum",G452+4,"—")</f>
        <v/>
      </c>
      <c r="R452" s="242" t="n"/>
      <c r="S452" s="161">
        <f>ROUND(3+0.6*D452+IF(C452="Comum",0,IF(C452="Elite",2,IF(C452="Boss",4,6))),0)</f>
        <v/>
      </c>
      <c r="T452" s="161" t="inlineStr">
        <is>
          <t>Ouro + Núcleo da Sentinela Recém-Formada</t>
        </is>
      </c>
      <c r="U452" s="161" t="inlineStr">
        <is>
          <t>Ignora Resistência Mágica</t>
        </is>
      </c>
      <c r="V452" s="161" t="inlineStr">
        <is>
          <t>Condicional</t>
        </is>
      </c>
      <c r="W452" s="161" t="inlineStr">
        <is>
          <t>Fenda Estelar, só com portal parcialmente aberto</t>
        </is>
      </c>
      <c r="X452" s="243" t="n"/>
      <c r="Y452" s="243" t="n"/>
      <c r="Z452" s="243" t="n"/>
      <c r="AA452" s="243" t="n"/>
    </row>
    <row r="453">
      <c r="A453" s="161" t="inlineStr">
        <is>
          <t>Estelar / Cosmico</t>
        </is>
      </c>
      <c r="B453" s="161" t="inlineStr">
        <is>
          <t>Fragmento Estelar Consciente</t>
        </is>
      </c>
      <c r="C453" s="161" t="inlineStr">
        <is>
          <t>Comum</t>
        </is>
      </c>
      <c r="D453" s="161" t="n">
        <v>70</v>
      </c>
      <c r="E453" s="161">
        <f>ROUND(INDEX('Curva Mestra'!$F$20:$F$94,MATCH(D453,'Curva Mestra'!$A$20:$A$94,0)),0)</f>
        <v/>
      </c>
      <c r="F453" s="161">
        <f>ROUND(INDEX('Curva Mestra'!$C$20:$C$94,MATCH(D453,'Curva Mestra'!$A$20:$A$94,0))*INDEX($B$5:$B$8,MATCH(C453,$A$5:$A$8,0)),0)</f>
        <v/>
      </c>
      <c r="G453" s="161">
        <f>ROUND(INDEX('Curva Mestra'!$D$20:$D$94,MATCH(D453,'Curva Mestra'!$A$20:$A$94,0))+INDEX($C$5:$C$8,MATCH(C453,$A$5:$A$8,0)),0)</f>
        <v/>
      </c>
      <c r="H453" s="161" t="inlineStr">
        <is>
          <t>Ronda a regiao do tier Estelar / Cosmico</t>
        </is>
      </c>
      <c r="I453" s="161" t="inlineStr">
        <is>
          <t>Fragmentação Instável</t>
        </is>
      </c>
      <c r="J453" s="161" t="inlineStr">
        <is>
          <t>Sem efeito mecânico além do dano — ataque direto.</t>
        </is>
      </c>
      <c r="K453" s="161" t="inlineStr">
        <is>
          <t>Poeira de estrela morta que ganhou consciência ao se aproximar do Portal — não é hostil por natureza, só desesperada pra voltar a algum lugar que não existe mais.</t>
        </is>
      </c>
      <c r="L453" s="161">
        <f>IF(C453="Comum",ROUND(E453*1.3,0),"—")</f>
        <v/>
      </c>
      <c r="M453" s="161">
        <f>IF(C453="Comum",ROUND(F453*1.15,0),"—")</f>
        <v/>
      </c>
      <c r="N453" s="161">
        <f>IF(C453="Comum",G453+2,"—")</f>
        <v/>
      </c>
      <c r="O453" s="161">
        <f>IF(C453="Comum",ROUND(E453*1.6,0),"—")</f>
        <v/>
      </c>
      <c r="P453" s="161">
        <f>IF(C453="Comum",ROUND(F453*1.3,0),"—")</f>
        <v/>
      </c>
      <c r="Q453" s="161">
        <f>IF(C453="Comum",G453+4,"—")</f>
        <v/>
      </c>
      <c r="R453" s="161" t="inlineStr">
        <is>
          <t>Ecos Antes do Fim</t>
        </is>
      </c>
      <c r="S453" s="161">
        <f>ROUND(INDEX('Curva Mestra'!$D$20:$D$94,MATCH(D453,'Curva Mestra'!$A$20:$A$94,0))-IF(C453="Comum",9,IF(C453="Elite",6,IF(C453="Boss",4,3))),0)</f>
        <v/>
      </c>
      <c r="T453" s="161" t="inlineStr">
        <is>
          <t>Ouro + Centelha do Fim Inominável (chance rara)</t>
        </is>
      </c>
      <c r="U453" s="161" t="inlineStr">
        <is>
          <t>Vulnerável a Ignora Resistência Mágica — a própria natureza é instável demais pra resistir direito.</t>
        </is>
      </c>
      <c r="V453" s="242" t="inlineStr">
        <is>
          <t>DPS</t>
        </is>
      </c>
      <c r="W453" s="242" t="inlineStr">
        <is>
          <t>Fenda Estelar</t>
        </is>
      </c>
      <c r="X453" s="243" t="n"/>
      <c r="Y453" s="243" t="n"/>
      <c r="Z453" s="243" t="n"/>
      <c r="AA453" s="243" t="n"/>
    </row>
    <row r="454">
      <c r="A454" s="161" t="inlineStr">
        <is>
          <t>Estelar / Cosmico</t>
        </is>
      </c>
      <c r="B454" s="161" t="inlineStr">
        <is>
          <t>Fragmento Estelar Instável</t>
        </is>
      </c>
      <c r="C454" s="161" t="inlineStr">
        <is>
          <t>Comum</t>
        </is>
      </c>
      <c r="D454" s="161" t="n">
        <v>70</v>
      </c>
      <c r="E454" s="161">
        <f>ROUND(INDEX('Curva Mestra'!$F$20:$F$94,MATCH(D454,'Curva Mestra'!$A$20:$A$94,0)),0)</f>
        <v/>
      </c>
      <c r="F454" s="161">
        <f>ROUND(INDEX('Curva Mestra'!$C$20:$C$94,MATCH(D454,'Curva Mestra'!$A$20:$A$94,0))*INDEX($B$5:$B$8,MATCH(C454,$A$5:$A$8,0)),0)</f>
        <v/>
      </c>
      <c r="G454" s="161">
        <f>ROUND(INDEX('Curva Mestra'!$D$20:$D$94,MATCH(D454,'Curva Mestra'!$A$20:$A$94,0))+INDEX($C$5:$C$8,MATCH(C454,$A$5:$A$8,0)),0)</f>
        <v/>
      </c>
      <c r="H454" s="161" t="inlineStr">
        <is>
          <t>Fragmento menor, recém-formado.</t>
        </is>
      </c>
      <c r="I454" s="161" t="inlineStr">
        <is>
          <t>Fragmentação Fraca</t>
        </is>
      </c>
      <c r="J454" s="161" t="inlineStr">
        <is>
          <t>Nenhum efeito adicional.</t>
        </is>
      </c>
      <c r="K454" s="161" t="inlineStr">
        <is>
          <t>Pedaço pequeno demais pra manter forma estável.</t>
        </is>
      </c>
      <c r="L454" s="161">
        <f>IF(C454="Comum",ROUND(E454*1.3,0),"—")</f>
        <v/>
      </c>
      <c r="M454" s="161">
        <f>IF(C454="Comum",ROUND(F454*1.15,0),"—")</f>
        <v/>
      </c>
      <c r="N454" s="161">
        <f>IF(C454="Comum",G454+2,"—")</f>
        <v/>
      </c>
      <c r="O454" s="161">
        <f>IF(C454="Comum",ROUND(E454*1.6,0),"—")</f>
        <v/>
      </c>
      <c r="P454" s="161">
        <f>IF(C454="Comum",ROUND(F454*1.3,0),"—")</f>
        <v/>
      </c>
      <c r="Q454" s="161">
        <f>IF(C454="Comum",G454+4,"—")</f>
        <v/>
      </c>
      <c r="R454" s="242" t="n"/>
      <c r="S454" s="161">
        <f>ROUND(3+0.6*D454+IF(C454="Comum",0,IF(C454="Elite",2,IF(C454="Boss",4,6))),0)</f>
        <v/>
      </c>
      <c r="T454" s="161" t="inlineStr">
        <is>
          <t>Ouro + Poeira de Fragmento Instável</t>
        </is>
      </c>
      <c r="U454" s="161" t="inlineStr">
        <is>
          <t>Fragilidade</t>
        </is>
      </c>
      <c r="V454" s="161" t="inlineStr">
        <is>
          <t>DPS fraco</t>
        </is>
      </c>
      <c r="W454" s="161" t="inlineStr">
        <is>
          <t>Fenda Estelar — Bordas</t>
        </is>
      </c>
      <c r="X454" s="243" t="n"/>
      <c r="Y454" s="243" t="n"/>
      <c r="Z454" s="243" t="n"/>
      <c r="AA454" s="243" t="n"/>
    </row>
    <row r="455">
      <c r="A455" s="161" t="inlineStr">
        <is>
          <t>Estelar / Cosmico</t>
        </is>
      </c>
      <c r="B455" s="161" t="inlineStr">
        <is>
          <t>Zelote Recém-Desperto</t>
        </is>
      </c>
      <c r="C455" s="161" t="inlineStr">
        <is>
          <t>Comum</t>
        </is>
      </c>
      <c r="D455" s="161" t="n">
        <v>70</v>
      </c>
      <c r="E455" s="161">
        <f>ROUND(INDEX('Curva Mestra'!$F$20:$F$94,MATCH(D455,'Curva Mestra'!$A$20:$A$94,0)),0)</f>
        <v/>
      </c>
      <c r="F455" s="161">
        <f>ROUND(INDEX('Curva Mestra'!$C$20:$C$94,MATCH(D455,'Curva Mestra'!$A$20:$A$94,0))*INDEX($B$5:$B$8,MATCH(C455,$A$5:$A$8,0)),0)</f>
        <v/>
      </c>
      <c r="G455" s="161">
        <f>ROUND(INDEX('Curva Mestra'!$D$20:$D$94,MATCH(D455,'Curva Mestra'!$A$20:$A$94,0))+INDEX($C$5:$C$8,MATCH(C455,$A$5:$A$8,0)),0)</f>
        <v/>
      </c>
      <c r="H455" s="161" t="inlineStr">
        <is>
          <t>O convertido mais recente, ainda com dúvida nos olhos.</t>
        </is>
      </c>
      <c r="I455" s="161" t="inlineStr">
        <is>
          <t>Golpe da Fé Nova</t>
        </is>
      </c>
      <c r="J455" s="161" t="inlineStr">
        <is>
          <t>Nenhum — 20% de chance de hesitar se abordado sem hostilidade.</t>
        </is>
      </c>
      <c r="K455" s="161" t="inlineStr">
        <is>
          <t>Acaba de testemunhar o Aspecto pela primeira vez. Ainda não decidiu se aceita o que viu.</t>
        </is>
      </c>
      <c r="L455" s="161">
        <f>IF(C455="Comum",ROUND(E455*1.3,0),"—")</f>
        <v/>
      </c>
      <c r="M455" s="161">
        <f>IF(C455="Comum",ROUND(F455*1.15,0),"—")</f>
        <v/>
      </c>
      <c r="N455" s="161">
        <f>IF(C455="Comum",G455+2,"—")</f>
        <v/>
      </c>
      <c r="O455" s="161">
        <f>IF(C455="Comum",ROUND(E455*1.6,0),"—")</f>
        <v/>
      </c>
      <c r="P455" s="161">
        <f>IF(C455="Comum",ROUND(F455*1.3,0),"—")</f>
        <v/>
      </c>
      <c r="Q455" s="161">
        <f>IF(C455="Comum",G455+4,"—")</f>
        <v/>
      </c>
      <c r="R455" s="242" t="n"/>
      <c r="S455" s="161">
        <f>ROUND(3+0.6*D455+IF(C455="Comum",0,IF(C455="Elite",2,IF(C455="Boss",4,6))),0)</f>
        <v/>
      </c>
      <c r="T455" s="161" t="inlineStr">
        <is>
          <t>Ouro + Marca do Despertar</t>
        </is>
      </c>
      <c r="U455" s="161" t="inlineStr">
        <is>
          <t>Atordoamento</t>
        </is>
      </c>
      <c r="V455" s="161" t="inlineStr">
        <is>
          <t>Não-hostil condicional</t>
        </is>
      </c>
      <c r="W455" s="161" t="inlineStr">
        <is>
          <t>Fenda Estelar — Bordas</t>
        </is>
      </c>
      <c r="X455" s="243" t="n"/>
      <c r="Y455" s="241" t="inlineStr">
        <is>
          <t>Se abordado em paz, pode ser o último a desertar antes do fim (quest final).</t>
        </is>
      </c>
      <c r="Z455" s="243" t="n"/>
      <c r="AA455" s="243" t="n"/>
    </row>
    <row r="456">
      <c r="A456" s="161" t="inlineStr">
        <is>
          <t>Estelar / Cosmico</t>
        </is>
      </c>
      <c r="B456" s="161" t="inlineStr">
        <is>
          <t>Sentinela Silenciosa da Fenda</t>
        </is>
      </c>
      <c r="C456" s="161" t="inlineStr">
        <is>
          <t>Comum</t>
        </is>
      </c>
      <c r="D456" s="161" t="n">
        <v>70</v>
      </c>
      <c r="E456" s="161">
        <f>ROUND(INDEX('Curva Mestra'!$F$20:$F$94,MATCH(D456,'Curva Mestra'!$A$20:$A$94,0)),0)</f>
        <v/>
      </c>
      <c r="F456" s="161">
        <f>ROUND(INDEX('Curva Mestra'!$C$20:$C$94,MATCH(D456,'Curva Mestra'!$A$20:$A$94,0))*INDEX($B$5:$B$8,MATCH(C456,$A$5:$A$8,0)),0)</f>
        <v/>
      </c>
      <c r="G456" s="161">
        <f>ROUND(INDEX('Curva Mestra'!$D$20:$D$94,MATCH(D456,'Curva Mestra'!$A$20:$A$94,0))+INDEX($C$5:$C$8,MATCH(C456,$A$5:$A$8,0)),0)</f>
        <v/>
      </c>
      <c r="H456" s="161" t="inlineStr">
        <is>
          <t>Guardiã que só se manifesta com o portal aberto.</t>
        </is>
      </c>
      <c r="I456" s="161" t="inlineStr">
        <is>
          <t>Golpe sem Som</t>
        </is>
      </c>
      <c r="J456" s="161" t="inlineStr">
        <is>
          <t>Lentidão — só ativo quando o portal central está aberto.</t>
        </is>
      </c>
      <c r="K456" s="161" t="inlineStr">
        <is>
          <t>Vigia a fenda enquanto o portal pro Aspecto está ativo.</t>
        </is>
      </c>
      <c r="L456" s="161">
        <f>IF(C456="Comum",ROUND(E456*1.3,0),"—")</f>
        <v/>
      </c>
      <c r="M456" s="161">
        <f>IF(C456="Comum",ROUND(F456*1.15,0),"—")</f>
        <v/>
      </c>
      <c r="N456" s="161">
        <f>IF(C456="Comum",G456+2,"—")</f>
        <v/>
      </c>
      <c r="O456" s="161">
        <f>IF(C456="Comum",ROUND(E456*1.6,0),"—")</f>
        <v/>
      </c>
      <c r="P456" s="161">
        <f>IF(C456="Comum",ROUND(F456*1.3,0),"—")</f>
        <v/>
      </c>
      <c r="Q456" s="161">
        <f>IF(C456="Comum",G456+4,"—")</f>
        <v/>
      </c>
      <c r="R456" s="242" t="n"/>
      <c r="S456" s="161">
        <f>ROUND(3+0.6*D456+IF(C456="Comum",0,IF(C456="Elite",2,IF(C456="Boss",4,6))),0)</f>
        <v/>
      </c>
      <c r="T456" s="161" t="inlineStr">
        <is>
          <t>Ouro + Núcleo da Sentinela Silenciosa</t>
        </is>
      </c>
      <c r="U456" s="161" t="inlineStr">
        <is>
          <t>Ignora Resistência Mágica</t>
        </is>
      </c>
      <c r="V456" s="161" t="inlineStr">
        <is>
          <t>Condicional</t>
        </is>
      </c>
      <c r="W456" s="161" t="inlineStr">
        <is>
          <t>Fenda Estelar, só com portal central ativo</t>
        </is>
      </c>
      <c r="X456" s="243" t="n"/>
      <c r="Y456" s="243" t="n"/>
      <c r="Z456" s="243" t="n"/>
      <c r="AA456" s="243" t="n"/>
    </row>
    <row r="457">
      <c r="A457" s="161" t="inlineStr">
        <is>
          <t>Estelar / Cosmico</t>
        </is>
      </c>
      <c r="B457" s="161" t="inlineStr">
        <is>
          <t>Vigia Muito Menor do Vazio</t>
        </is>
      </c>
      <c r="C457" s="161" t="inlineStr">
        <is>
          <t>Comum</t>
        </is>
      </c>
      <c r="D457" s="161" t="n">
        <v>70</v>
      </c>
      <c r="E457" s="161">
        <f>ROUND(INDEX('Curva Mestra'!$F$20:$F$94,MATCH(D457,'Curva Mestra'!$A$20:$A$94,0)),0)</f>
        <v/>
      </c>
      <c r="F457" s="161">
        <f>ROUND(INDEX('Curva Mestra'!$C$20:$C$94,MATCH(D457,'Curva Mestra'!$A$20:$A$94,0))*INDEX($B$5:$B$8,MATCH(C457,$A$5:$A$8,0)),0)</f>
        <v/>
      </c>
      <c r="G457" s="161">
        <f>ROUND(INDEX('Curva Mestra'!$D$20:$D$94,MATCH(D457,'Curva Mestra'!$A$20:$A$94,0))+INDEX($C$5:$C$8,MATCH(C457,$A$5:$A$8,0)),0)</f>
        <v/>
      </c>
      <c r="H457" s="161" t="inlineStr">
        <is>
          <t>Vigia em miniatura.</t>
        </is>
      </c>
      <c r="I457" s="161" t="inlineStr">
        <is>
          <t>Olhar Muito Parcial</t>
        </is>
      </c>
      <c r="J457" s="161" t="inlineStr">
        <is>
          <t>Atordoamento fraco (15%).</t>
        </is>
      </c>
      <c r="K457" s="161" t="inlineStr">
        <is>
          <t>Fragmento ainda menor do Vigia Menor do Vazio.</t>
        </is>
      </c>
      <c r="L457" s="161">
        <f>IF(C457="Comum",ROUND(E457*1.3,0),"—")</f>
        <v/>
      </c>
      <c r="M457" s="161">
        <f>IF(C457="Comum",ROUND(F457*1.15,0),"—")</f>
        <v/>
      </c>
      <c r="N457" s="161">
        <f>IF(C457="Comum",G457+2,"—")</f>
        <v/>
      </c>
      <c r="O457" s="161">
        <f>IF(C457="Comum",ROUND(E457*1.6,0),"—")</f>
        <v/>
      </c>
      <c r="P457" s="161">
        <f>IF(C457="Comum",ROUND(F457*1.3,0),"—")</f>
        <v/>
      </c>
      <c r="Q457" s="161">
        <f>IF(C457="Comum",G457+4,"—")</f>
        <v/>
      </c>
      <c r="R457" s="242" t="n"/>
      <c r="S457" s="161">
        <f>ROUND(3+0.6*D457+IF(C457="Comum",0,IF(C457="Elite",2,IF(C457="Boss",4,6))),0)</f>
        <v/>
      </c>
      <c r="T457" s="161" t="inlineStr">
        <is>
          <t>Ouro + Fragmento de Vigia Muito Menor</t>
        </is>
      </c>
      <c r="U457" s="161" t="inlineStr">
        <is>
          <t>Ignora Resistência Mágica</t>
        </is>
      </c>
      <c r="V457" s="161" t="inlineStr">
        <is>
          <t>Controle</t>
        </is>
      </c>
      <c r="W457" s="161" t="inlineStr">
        <is>
          <t>Fenda Estelar — Bordas</t>
        </is>
      </c>
      <c r="X457" s="243" t="n"/>
      <c r="Y457" s="242" t="n"/>
      <c r="Z457" s="243" t="n"/>
      <c r="AA457" s="243" t="n"/>
    </row>
    <row r="458">
      <c r="A458" s="161" t="inlineStr">
        <is>
          <t>Estelar / Cosmico</t>
        </is>
      </c>
      <c r="B458" s="161" t="inlineStr">
        <is>
          <t>Devorador de Luz Muito Fraca</t>
        </is>
      </c>
      <c r="C458" s="161" t="inlineStr">
        <is>
          <t>Comum</t>
        </is>
      </c>
      <c r="D458" s="161" t="n">
        <v>70</v>
      </c>
      <c r="E458" s="161">
        <f>ROUND(INDEX('Curva Mestra'!$F$20:$F$94,MATCH(D458,'Curva Mestra'!$A$20:$A$94,0)),0)</f>
        <v/>
      </c>
      <c r="F458" s="161">
        <f>ROUND(INDEX('Curva Mestra'!$C$20:$C$94,MATCH(D458,'Curva Mestra'!$A$20:$A$94,0))*INDEX($B$5:$B$8,MATCH(C458,$A$5:$A$8,0)),0)</f>
        <v/>
      </c>
      <c r="G458" s="161">
        <f>ROUND(INDEX('Curva Mestra'!$D$20:$D$94,MATCH(D458,'Curva Mestra'!$A$20:$A$94,0))+INDEX($C$5:$C$8,MATCH(C458,$A$5:$A$8,0)),0)</f>
        <v/>
      </c>
      <c r="H458" s="161" t="inlineStr">
        <is>
          <t>Criatura que mal consegue se alimentar de resíduo.</t>
        </is>
      </c>
      <c r="I458" s="161" t="inlineStr">
        <is>
          <t>Sugar Luminosidade Fraca</t>
        </is>
      </c>
      <c r="J458" s="161" t="inlineStr">
        <is>
          <t>Cura 3 HP se houver cadáver no local.</t>
        </is>
      </c>
      <c r="K458" s="161" t="inlineStr">
        <is>
          <t>Variante ainda mais fraca do Devorador de Luz Fraca.</t>
        </is>
      </c>
      <c r="L458" s="161">
        <f>IF(C458="Comum",ROUND(E458*1.3,0),"—")</f>
        <v/>
      </c>
      <c r="M458" s="161">
        <f>IF(C458="Comum",ROUND(F458*1.15,0),"—")</f>
        <v/>
      </c>
      <c r="N458" s="161">
        <f>IF(C458="Comum",G458+2,"—")</f>
        <v/>
      </c>
      <c r="O458" s="161">
        <f>IF(C458="Comum",ROUND(E458*1.6,0),"—")</f>
        <v/>
      </c>
      <c r="P458" s="161">
        <f>IF(C458="Comum",ROUND(F458*1.3,0),"—")</f>
        <v/>
      </c>
      <c r="Q458" s="161">
        <f>IF(C458="Comum",G458+4,"—")</f>
        <v/>
      </c>
      <c r="R458" s="242" t="n"/>
      <c r="S458" s="161">
        <f>ROUND(3+0.6*D458+IF(C458="Comum",0,IF(C458="Elite",2,IF(C458="Boss",4,6))),0)</f>
        <v/>
      </c>
      <c r="T458" s="161" t="inlineStr">
        <is>
          <t>Ouro + Resíduo de Devorador de Luz Fraca</t>
        </is>
      </c>
      <c r="U458" s="161" t="inlineStr">
        <is>
          <t>Ignora Resistência Mágica</t>
        </is>
      </c>
      <c r="V458" s="161" t="inlineStr">
        <is>
          <t>Necrófago</t>
        </is>
      </c>
      <c r="W458" s="161" t="inlineStr">
        <is>
          <t>Fenda Estelar, após combate vencido</t>
        </is>
      </c>
      <c r="X458" s="243" t="n"/>
      <c r="Y458" s="242" t="n"/>
      <c r="Z458" s="243" t="n"/>
      <c r="AA458" s="243" t="n"/>
    </row>
    <row r="459">
      <c r="A459" s="161" t="inlineStr">
        <is>
          <t>Estelar / Cosmico</t>
        </is>
      </c>
      <c r="B459" s="161" t="inlineStr">
        <is>
          <t>Parasita Jovem do Aspecto</t>
        </is>
      </c>
      <c r="C459" s="161" t="inlineStr">
        <is>
          <t>Comum</t>
        </is>
      </c>
      <c r="D459" s="161" t="n">
        <v>70</v>
      </c>
      <c r="E459" s="161">
        <f>ROUND(INDEX('Curva Mestra'!$F$20:$F$94,MATCH(D459,'Curva Mestra'!$A$20:$A$94,0)),0)</f>
        <v/>
      </c>
      <c r="F459" s="161">
        <f>ROUND(INDEX('Curva Mestra'!$C$20:$C$94,MATCH(D459,'Curva Mestra'!$A$20:$A$94,0))*INDEX($B$5:$B$8,MATCH(C459,$A$5:$A$8,0)),0)</f>
        <v/>
      </c>
      <c r="G459" s="161">
        <f>ROUND(INDEX('Curva Mestra'!$D$20:$D$94,MATCH(D459,'Curva Mestra'!$A$20:$A$94,0))+INDEX($C$5:$C$8,MATCH(C459,$A$5:$A$8,0)),0)</f>
        <v/>
      </c>
      <c r="H459" s="161" t="inlineStr">
        <is>
          <t>Parasita jovem da corrupção cósmica.</t>
        </is>
      </c>
      <c r="I459" s="161" t="inlineStr">
        <is>
          <t>Toque Corruptor Fraco</t>
        </is>
      </c>
      <c r="J459" s="161" t="inlineStr">
        <is>
          <t>Rouba Vida (8%) — só com Arauto presente.</t>
        </is>
      </c>
      <c r="K459" s="161" t="inlineStr">
        <is>
          <t>Parasita jovem, ainda pequeno.</t>
        </is>
      </c>
      <c r="L459" s="161">
        <f>IF(C459="Comum",ROUND(E459*1.3,0),"—")</f>
        <v/>
      </c>
      <c r="M459" s="161">
        <f>IF(C459="Comum",ROUND(F459*1.15,0),"—")</f>
        <v/>
      </c>
      <c r="N459" s="161">
        <f>IF(C459="Comum",G459+2,"—")</f>
        <v/>
      </c>
      <c r="O459" s="161">
        <f>IF(C459="Comum",ROUND(E459*1.6,0),"—")</f>
        <v/>
      </c>
      <c r="P459" s="161">
        <f>IF(C459="Comum",ROUND(F459*1.3,0),"—")</f>
        <v/>
      </c>
      <c r="Q459" s="161">
        <f>IF(C459="Comum",G459+4,"—")</f>
        <v/>
      </c>
      <c r="R459" s="242" t="n"/>
      <c r="S459" s="161">
        <f>ROUND(3+0.6*D459+IF(C459="Comum",0,IF(C459="Elite",2,IF(C459="Boss",4,6))),0)</f>
        <v/>
      </c>
      <c r="T459" s="161" t="inlineStr">
        <is>
          <t>Ouro + Fragmento Jovem do Aspecto</t>
        </is>
      </c>
      <c r="U459" s="161" t="inlineStr">
        <is>
          <t>Queimadura</t>
        </is>
      </c>
      <c r="V459" s="161" t="inlineStr">
        <is>
          <t>Parasita</t>
        </is>
      </c>
      <c r="W459" s="161" t="inlineStr">
        <is>
          <t>Fenda Estelar, só com Arauto presente</t>
        </is>
      </c>
      <c r="X459" s="243" t="n"/>
      <c r="Y459" s="243" t="n"/>
      <c r="Z459" s="243" t="n"/>
      <c r="AA459" s="243" t="n"/>
    </row>
    <row r="460">
      <c r="A460" s="161" t="inlineStr">
        <is>
          <t>Estelar / Cosmico</t>
        </is>
      </c>
      <c r="B460" s="161" t="inlineStr">
        <is>
          <t>Fragmento Consciente Menor</t>
        </is>
      </c>
      <c r="C460" s="161" t="inlineStr">
        <is>
          <t>Comum</t>
        </is>
      </c>
      <c r="D460" s="161" t="n">
        <v>70</v>
      </c>
      <c r="E460" s="161">
        <f>ROUND(INDEX('Curva Mestra'!$F$20:$F$94,MATCH(D460,'Curva Mestra'!$A$20:$A$94,0)),0)</f>
        <v/>
      </c>
      <c r="F460" s="161">
        <f>ROUND(INDEX('Curva Mestra'!$C$20:$C$94,MATCH(D460,'Curva Mestra'!$A$20:$A$94,0))*INDEX($B$5:$B$8,MATCH(C460,$A$5:$A$8,0)),0)</f>
        <v/>
      </c>
      <c r="G460" s="161">
        <f>ROUND(INDEX('Curva Mestra'!$D$20:$D$94,MATCH(D460,'Curva Mestra'!$A$20:$A$94,0))+INDEX($C$5:$C$8,MATCH(C460,$A$5:$A$8,0)),0)</f>
        <v/>
      </c>
      <c r="H460" s="161" t="inlineStr">
        <is>
          <t>Fragmento derivado, quase sem identidade própria.</t>
        </is>
      </c>
      <c r="I460" s="161" t="inlineStr">
        <is>
          <t>Fragmentação Consciente Fraca</t>
        </is>
      </c>
      <c r="J460" s="161" t="inlineStr">
        <is>
          <t>Nenhum efeito adicional.</t>
        </is>
      </c>
      <c r="K460" s="161" t="inlineStr">
        <is>
          <t>Fragmento do Fragmento Estelar Consciente, ainda mais instável.</t>
        </is>
      </c>
      <c r="L460" s="161">
        <f>IF(C460="Comum",ROUND(E460*1.3,0),"—")</f>
        <v/>
      </c>
      <c r="M460" s="161">
        <f>IF(C460="Comum",ROUND(F460*1.15,0),"—")</f>
        <v/>
      </c>
      <c r="N460" s="161">
        <f>IF(C460="Comum",G460+2,"—")</f>
        <v/>
      </c>
      <c r="O460" s="161">
        <f>IF(C460="Comum",ROUND(E460*1.6,0),"—")</f>
        <v/>
      </c>
      <c r="P460" s="161">
        <f>IF(C460="Comum",ROUND(F460*1.3,0),"—")</f>
        <v/>
      </c>
      <c r="Q460" s="161">
        <f>IF(C460="Comum",G460+4,"—")</f>
        <v/>
      </c>
      <c r="R460" s="242" t="n"/>
      <c r="S460" s="161">
        <f>ROUND(3+0.6*D460+IF(C460="Comum",0,IF(C460="Elite",2,IF(C460="Boss",4,6))),0)</f>
        <v/>
      </c>
      <c r="T460" s="161" t="inlineStr">
        <is>
          <t>Ouro + Poeira do Fragmento Consciente Menor</t>
        </is>
      </c>
      <c r="U460" s="161" t="inlineStr">
        <is>
          <t>Fragilidade</t>
        </is>
      </c>
      <c r="V460" s="161" t="inlineStr">
        <is>
          <t>DPS</t>
        </is>
      </c>
      <c r="W460" s="161" t="inlineStr">
        <is>
          <t>Fenda Estelar — Bordas</t>
        </is>
      </c>
      <c r="X460" s="243" t="n"/>
      <c r="Y460" s="243" t="n"/>
      <c r="Z460" s="243" t="n"/>
      <c r="AA460" s="243" t="n"/>
    </row>
    <row r="461">
      <c r="A461" s="161" t="inlineStr">
        <is>
          <t>Estelar / Cosmico</t>
        </is>
      </c>
      <c r="B461" s="161" t="inlineStr">
        <is>
          <t>Vigia do Vazio</t>
        </is>
      </c>
      <c r="C461" s="161" t="inlineStr">
        <is>
          <t>Comum</t>
        </is>
      </c>
      <c r="D461" s="161" t="n">
        <v>71</v>
      </c>
      <c r="E461" s="161">
        <f>ROUND(INDEX('Curva Mestra'!$F$20:$F$94,MATCH(D461,'Curva Mestra'!$A$20:$A$94,0)),0)</f>
        <v/>
      </c>
      <c r="F461" s="161">
        <f>ROUND(INDEX('Curva Mestra'!$C$20:$C$94,MATCH(D461,'Curva Mestra'!$A$20:$A$94,0))*INDEX($B$5:$B$8,MATCH(C461,$A$5:$A$8,0)),0)</f>
        <v/>
      </c>
      <c r="G461" s="161">
        <f>ROUND(INDEX('Curva Mestra'!$D$20:$D$94,MATCH(D461,'Curva Mestra'!$A$20:$A$94,0))+INDEX($C$5:$C$8,MATCH(C461,$A$5:$A$8,0)),0)</f>
        <v/>
      </c>
      <c r="H461" s="161" t="inlineStr">
        <is>
          <t>Ronda a regiao do tier Estelar / Cosmico</t>
        </is>
      </c>
      <c r="I461" s="161" t="inlineStr">
        <is>
          <t>Olhar do Vazio</t>
        </is>
      </c>
      <c r="J461" s="161" t="inlineStr">
        <is>
          <t>Sem efeito mecânico além do dano — ataque direto.</t>
        </is>
      </c>
      <c r="K461" s="161" t="inlineStr">
        <is>
          <t>Entidade que observa o Portal Estelar há eras — não impede quem se aproxima, só registra.</t>
        </is>
      </c>
      <c r="L461" s="161">
        <f>IF(C461="Comum",ROUND(E461*1.3,0),"—")</f>
        <v/>
      </c>
      <c r="M461" s="161">
        <f>IF(C461="Comum",ROUND(F461*1.15,0),"—")</f>
        <v/>
      </c>
      <c r="N461" s="161">
        <f>IF(C461="Comum",G461+2,"—")</f>
        <v/>
      </c>
      <c r="O461" s="161">
        <f>IF(C461="Comum",ROUND(E461*1.6,0),"—")</f>
        <v/>
      </c>
      <c r="P461" s="161">
        <f>IF(C461="Comum",ROUND(F461*1.3,0),"—")</f>
        <v/>
      </c>
      <c r="Q461" s="161">
        <f>IF(C461="Comum",G461+4,"—")</f>
        <v/>
      </c>
      <c r="R461" s="161" t="inlineStr">
        <is>
          <t>Ecos Antes do Fim</t>
        </is>
      </c>
      <c r="S461" s="161">
        <f>ROUND(INDEX('Curva Mestra'!$D$20:$D$94,MATCH(D461,'Curva Mestra'!$A$20:$A$94,0))-IF(C461="Comum",9,IF(C461="Elite",6,IF(C461="Boss",4,3))),0)</f>
        <v/>
      </c>
      <c r="T461" s="161" t="inlineStr">
        <is>
          <t>Ouro + Centelha do Fim Inominável (chance rara)</t>
        </is>
      </c>
      <c r="U461" s="161" t="inlineStr">
        <is>
          <t>Vulnerável a Ignora Resistência Mágica — a própria natureza é instável demais pra resistir direito.</t>
        </is>
      </c>
      <c r="V461" s="242" t="inlineStr">
        <is>
          <t>DPS</t>
        </is>
      </c>
      <c r="W461" s="242" t="inlineStr">
        <is>
          <t>Fenda Estelar</t>
        </is>
      </c>
      <c r="X461" s="243" t="n"/>
      <c r="Y461" s="243" t="n"/>
      <c r="Z461" s="243" t="n"/>
      <c r="AA461" s="243" t="n"/>
    </row>
    <row r="462">
      <c r="A462" s="161" t="inlineStr">
        <is>
          <t>Estelar / Cosmico</t>
        </is>
      </c>
      <c r="B462" s="161" t="inlineStr">
        <is>
          <t>Vigia Menor do Vazio</t>
        </is>
      </c>
      <c r="C462" s="161" t="inlineStr">
        <is>
          <t>Comum</t>
        </is>
      </c>
      <c r="D462" s="161" t="n">
        <v>71</v>
      </c>
      <c r="E462" s="161">
        <f>ROUND(INDEX('Curva Mestra'!$F$20:$F$94,MATCH(D462,'Curva Mestra'!$A$20:$A$94,0)),0)</f>
        <v/>
      </c>
      <c r="F462" s="161">
        <f>ROUND(INDEX('Curva Mestra'!$C$20:$C$94,MATCH(D462,'Curva Mestra'!$A$20:$A$94,0))*INDEX($B$5:$B$8,MATCH(C462,$A$5:$A$8,0)),0)</f>
        <v/>
      </c>
      <c r="G462" s="161">
        <f>ROUND(INDEX('Curva Mestra'!$D$20:$D$94,MATCH(D462,'Curva Mestra'!$A$20:$A$94,0))+INDEX($C$5:$C$8,MATCH(C462,$A$5:$A$8,0)),0)</f>
        <v/>
      </c>
      <c r="H462" s="161" t="inlineStr">
        <is>
          <t>Vigia menor, observa em escala reduzida.</t>
        </is>
      </c>
      <c r="I462" s="161" t="inlineStr">
        <is>
          <t>Olhar Parcial</t>
        </is>
      </c>
      <c r="J462" s="161" t="inlineStr">
        <is>
          <t>Atordoamento (20%).</t>
        </is>
      </c>
      <c r="K462" s="161" t="inlineStr">
        <is>
          <t>Fragmento do Vigia do Vazio, ainda não viu o suficiente pra enlouquecer de vez.</t>
        </is>
      </c>
      <c r="L462" s="161">
        <f>IF(C462="Comum",ROUND(E462*1.3,0),"—")</f>
        <v/>
      </c>
      <c r="M462" s="161">
        <f>IF(C462="Comum",ROUND(F462*1.15,0),"—")</f>
        <v/>
      </c>
      <c r="N462" s="161">
        <f>IF(C462="Comum",G462+2,"—")</f>
        <v/>
      </c>
      <c r="O462" s="161">
        <f>IF(C462="Comum",ROUND(E462*1.6,0),"—")</f>
        <v/>
      </c>
      <c r="P462" s="161">
        <f>IF(C462="Comum",ROUND(F462*1.3,0),"—")</f>
        <v/>
      </c>
      <c r="Q462" s="161">
        <f>IF(C462="Comum",G462+4,"—")</f>
        <v/>
      </c>
      <c r="R462" s="242" t="n"/>
      <c r="S462" s="161">
        <f>ROUND(3+0.6*D462+IF(C462="Comum",0,IF(C462="Elite",2,IF(C462="Boss",4,6))),0)</f>
        <v/>
      </c>
      <c r="T462" s="161" t="inlineStr">
        <is>
          <t>Ouro + Fragmento de Vigia Menor</t>
        </is>
      </c>
      <c r="U462" s="161" t="inlineStr">
        <is>
          <t>Ignora Resistência Mágica</t>
        </is>
      </c>
      <c r="V462" s="161" t="inlineStr">
        <is>
          <t>Controle</t>
        </is>
      </c>
      <c r="W462" s="161" t="inlineStr">
        <is>
          <t>Fenda Estelar — Bordas</t>
        </is>
      </c>
      <c r="X462" s="243" t="n"/>
      <c r="Y462" s="243" t="n"/>
      <c r="Z462" s="243" t="n"/>
      <c r="AA462" s="243" t="n"/>
    </row>
    <row r="463">
      <c r="A463" s="161" t="inlineStr">
        <is>
          <t>Estelar / Cosmico</t>
        </is>
      </c>
      <c r="B463" s="161" t="inlineStr">
        <is>
          <t>Devorador de Luz Fraca</t>
        </is>
      </c>
      <c r="C463" s="161" t="inlineStr">
        <is>
          <t>Comum</t>
        </is>
      </c>
      <c r="D463" s="161" t="n">
        <v>71</v>
      </c>
      <c r="E463" s="161">
        <f>ROUND(INDEX('Curva Mestra'!$F$20:$F$94,MATCH(D463,'Curva Mestra'!$A$20:$A$94,0)),0)</f>
        <v/>
      </c>
      <c r="F463" s="161">
        <f>ROUND(INDEX('Curva Mestra'!$C$20:$C$94,MATCH(D463,'Curva Mestra'!$A$20:$A$94,0))*INDEX($B$5:$B$8,MATCH(C463,$A$5:$A$8,0)),0)</f>
        <v/>
      </c>
      <c r="G463" s="161">
        <f>ROUND(INDEX('Curva Mestra'!$D$20:$D$94,MATCH(D463,'Curva Mestra'!$A$20:$A$94,0))+INDEX($C$5:$C$8,MATCH(C463,$A$5:$A$8,0)),0)</f>
        <v/>
      </c>
      <c r="H463" s="161" t="inlineStr">
        <is>
          <t>Criatura que se alimenta de resíduo de combate.</t>
        </is>
      </c>
      <c r="I463" s="161" t="inlineStr">
        <is>
          <t>Sugar Luminosidade</t>
        </is>
      </c>
      <c r="J463" s="161" t="inlineStr">
        <is>
          <t>Cura 5 HP se houver cadáver no local.</t>
        </is>
      </c>
      <c r="K463" s="161" t="inlineStr">
        <is>
          <t>Se alimenta do que resta de energia depois de qualquer confronto na fenda.</t>
        </is>
      </c>
      <c r="L463" s="161">
        <f>IF(C463="Comum",ROUND(E463*1.3,0),"—")</f>
        <v/>
      </c>
      <c r="M463" s="161">
        <f>IF(C463="Comum",ROUND(F463*1.15,0),"—")</f>
        <v/>
      </c>
      <c r="N463" s="161">
        <f>IF(C463="Comum",G463+2,"—")</f>
        <v/>
      </c>
      <c r="O463" s="161">
        <f>IF(C463="Comum",ROUND(E463*1.6,0),"—")</f>
        <v/>
      </c>
      <c r="P463" s="161">
        <f>IF(C463="Comum",ROUND(F463*1.3,0),"—")</f>
        <v/>
      </c>
      <c r="Q463" s="161">
        <f>IF(C463="Comum",G463+4,"—")</f>
        <v/>
      </c>
      <c r="R463" s="242" t="n"/>
      <c r="S463" s="161">
        <f>ROUND(3+0.6*D463+IF(C463="Comum",0,IF(C463="Elite",2,IF(C463="Boss",4,6))),0)</f>
        <v/>
      </c>
      <c r="T463" s="161" t="inlineStr">
        <is>
          <t>Ouro + Resíduo de Devorador de Luz</t>
        </is>
      </c>
      <c r="U463" s="161" t="inlineStr">
        <is>
          <t>Ignora Resistência Mágica</t>
        </is>
      </c>
      <c r="V463" s="161" t="inlineStr">
        <is>
          <t>Necrófago</t>
        </is>
      </c>
      <c r="W463" s="161" t="inlineStr">
        <is>
          <t>Fenda Estelar, após combate vencido</t>
        </is>
      </c>
      <c r="X463" s="243" t="n"/>
      <c r="Y463" s="243" t="n"/>
      <c r="Z463" s="243" t="n"/>
      <c r="AA463" s="243" t="n"/>
    </row>
    <row r="464">
      <c r="A464" s="161" t="inlineStr">
        <is>
          <t>Estelar / Cosmico</t>
        </is>
      </c>
      <c r="B464" s="161" t="inlineStr">
        <is>
          <t>Parasita do Aspecto</t>
        </is>
      </c>
      <c r="C464" s="161" t="inlineStr">
        <is>
          <t>Comum</t>
        </is>
      </c>
      <c r="D464" s="161" t="n">
        <v>71</v>
      </c>
      <c r="E464" s="161">
        <f>ROUND(INDEX('Curva Mestra'!$F$20:$F$94,MATCH(D464,'Curva Mestra'!$A$20:$A$94,0)),0)</f>
        <v/>
      </c>
      <c r="F464" s="161">
        <f>ROUND(INDEX('Curva Mestra'!$C$20:$C$94,MATCH(D464,'Curva Mestra'!$A$20:$A$94,0))*INDEX($B$5:$B$8,MATCH(C464,$A$5:$A$8,0)),0)</f>
        <v/>
      </c>
      <c r="G464" s="161">
        <f>ROUND(INDEX('Curva Mestra'!$D$20:$D$94,MATCH(D464,'Curva Mestra'!$A$20:$A$94,0))+INDEX($C$5:$C$8,MATCH(C464,$A$5:$A$8,0)),0)</f>
        <v/>
      </c>
      <c r="H464" s="161" t="inlineStr">
        <is>
          <t>Parasita que só existe perto do Aspecto.</t>
        </is>
      </c>
      <c r="I464" s="161" t="inlineStr">
        <is>
          <t>Toque Corruptor</t>
        </is>
      </c>
      <c r="J464" s="161" t="inlineStr">
        <is>
          <t>Rouba Vida (15%) — só aparece com Arauto do Aspecto presente.</t>
        </is>
      </c>
      <c r="K464" s="161" t="inlineStr">
        <is>
          <t>Vive na presença do Aspecto, se alimenta da corrupção que ele irradia.</t>
        </is>
      </c>
      <c r="L464" s="161">
        <f>IF(C464="Comum",ROUND(E464*1.3,0),"—")</f>
        <v/>
      </c>
      <c r="M464" s="161">
        <f>IF(C464="Comum",ROUND(F464*1.15,0),"—")</f>
        <v/>
      </c>
      <c r="N464" s="161">
        <f>IF(C464="Comum",G464+2,"—")</f>
        <v/>
      </c>
      <c r="O464" s="161">
        <f>IF(C464="Comum",ROUND(E464*1.6,0),"—")</f>
        <v/>
      </c>
      <c r="P464" s="161">
        <f>IF(C464="Comum",ROUND(F464*1.3,0),"—")</f>
        <v/>
      </c>
      <c r="Q464" s="161">
        <f>IF(C464="Comum",G464+4,"—")</f>
        <v/>
      </c>
      <c r="R464" s="242" t="n"/>
      <c r="S464" s="161">
        <f>ROUND(3+0.6*D464+IF(C464="Comum",0,IF(C464="Elite",2,IF(C464="Boss",4,6))),0)</f>
        <v/>
      </c>
      <c r="T464" s="161" t="inlineStr">
        <is>
          <t>Ouro + Fragmento do Aspecto</t>
        </is>
      </c>
      <c r="U464" s="161" t="inlineStr">
        <is>
          <t>Queimadura</t>
        </is>
      </c>
      <c r="V464" s="161" t="inlineStr">
        <is>
          <t>Parasita</t>
        </is>
      </c>
      <c r="W464" s="161" t="inlineStr">
        <is>
          <t>Fenda Estelar, só com Arauto presente</t>
        </is>
      </c>
      <c r="X464" s="243" t="n"/>
      <c r="Y464" s="243" t="n"/>
      <c r="Z464" s="243" t="n"/>
      <c r="AA464" s="243" t="n"/>
    </row>
    <row r="465">
      <c r="A465" s="161" t="inlineStr">
        <is>
          <t>Estelar / Cosmico</t>
        </is>
      </c>
      <c r="B465" s="161" t="inlineStr">
        <is>
          <t>Eco de um Eco de um Eco</t>
        </is>
      </c>
      <c r="C465" s="161" t="inlineStr">
        <is>
          <t>Comum</t>
        </is>
      </c>
      <c r="D465" s="161" t="n">
        <v>71</v>
      </c>
      <c r="E465" s="161">
        <f>ROUND(INDEX('Curva Mestra'!$F$20:$F$94,MATCH(D465,'Curva Mestra'!$A$20:$A$94,0)),0)</f>
        <v/>
      </c>
      <c r="F465" s="161">
        <f>ROUND(INDEX('Curva Mestra'!$C$20:$C$94,MATCH(D465,'Curva Mestra'!$A$20:$A$94,0))*INDEX($B$5:$B$8,MATCH(C465,$A$5:$A$8,0)),0)</f>
        <v/>
      </c>
      <c r="G465" s="161">
        <f>ROUND(INDEX('Curva Mestra'!$D$20:$D$94,MATCH(D465,'Curva Mestra'!$A$20:$A$94,0))+INDEX($C$5:$C$8,MATCH(C465,$A$5:$A$8,0)),0)</f>
        <v/>
      </c>
      <c r="H465" s="161" t="inlineStr">
        <is>
          <t>Distorção de terceira ordem.</t>
        </is>
      </c>
      <c r="I465" s="161" t="inlineStr">
        <is>
          <t>Repetição Muito Fraca</t>
        </is>
      </c>
      <c r="J465" s="161" t="inlineStr">
        <is>
          <t>Nenhum efeito adicional — sempre em trio.</t>
        </is>
      </c>
      <c r="K465" s="161" t="inlineStr">
        <is>
          <t>Terceira ordem de distorção, quase imperceptível.</t>
        </is>
      </c>
      <c r="L465" s="161">
        <f>IF(C465="Comum",ROUND(E465*1.3,0),"—")</f>
        <v/>
      </c>
      <c r="M465" s="161">
        <f>IF(C465="Comum",ROUND(F465*1.15,0),"—")</f>
        <v/>
      </c>
      <c r="N465" s="161">
        <f>IF(C465="Comum",G465+2,"—")</f>
        <v/>
      </c>
      <c r="O465" s="161">
        <f>IF(C465="Comum",ROUND(E465*1.6,0),"—")</f>
        <v/>
      </c>
      <c r="P465" s="161">
        <f>IF(C465="Comum",ROUND(F465*1.3,0),"—")</f>
        <v/>
      </c>
      <c r="Q465" s="161">
        <f>IF(C465="Comum",G465+4,"—")</f>
        <v/>
      </c>
      <c r="R465" s="242" t="n"/>
      <c r="S465" s="161">
        <f>ROUND(3+0.6*D465+IF(C465="Comum",0,IF(C465="Elite",2,IF(C465="Boss",4,6))),0)</f>
        <v/>
      </c>
      <c r="T465" s="161" t="inlineStr">
        <is>
          <t>Ouro + Resíduo de Terceira Ordem</t>
        </is>
      </c>
      <c r="U465" s="161" t="inlineStr">
        <is>
          <t>Ignora Resistência Mágica</t>
        </is>
      </c>
      <c r="V465" s="161" t="inlineStr">
        <is>
          <t>Enxame</t>
        </is>
      </c>
      <c r="W465" s="161" t="inlineStr">
        <is>
          <t>Fenda Estelar — Bordas</t>
        </is>
      </c>
      <c r="X465" s="243" t="n"/>
      <c r="Y465" s="243" t="n"/>
      <c r="Z465" s="243" t="n"/>
      <c r="AA465" s="243" t="n"/>
    </row>
    <row r="466">
      <c r="A466" s="161" t="inlineStr">
        <is>
          <t>Estelar / Cosmico</t>
        </is>
      </c>
      <c r="B466" s="161" t="inlineStr">
        <is>
          <t>Vanguarda Muito Menor do Vazio</t>
        </is>
      </c>
      <c r="C466" s="161" t="inlineStr">
        <is>
          <t>Comum</t>
        </is>
      </c>
      <c r="D466" s="161" t="n">
        <v>71</v>
      </c>
      <c r="E466" s="161">
        <f>ROUND(INDEX('Curva Mestra'!$F$20:$F$94,MATCH(D466,'Curva Mestra'!$A$20:$A$94,0)),0)</f>
        <v/>
      </c>
      <c r="F466" s="161">
        <f>ROUND(INDEX('Curva Mestra'!$C$20:$C$94,MATCH(D466,'Curva Mestra'!$A$20:$A$94,0))*INDEX($B$5:$B$8,MATCH(C466,$A$5:$A$8,0)),0)</f>
        <v/>
      </c>
      <c r="G466" s="161">
        <f>ROUND(INDEX('Curva Mestra'!$D$20:$D$94,MATCH(D466,'Curva Mestra'!$A$20:$A$94,0))+INDEX($C$5:$C$8,MATCH(C466,$A$5:$A$8,0)),0)</f>
        <v/>
      </c>
      <c r="H466" s="161" t="inlineStr">
        <is>
          <t>Vanguarda em miniatura, quase sem forma.</t>
        </is>
      </c>
      <c r="I466" s="161" t="inlineStr">
        <is>
          <t>Colapso Muito Parcial</t>
        </is>
      </c>
      <c r="J466" s="161" t="inlineStr">
        <is>
          <t>Nenhum efeito adicional.</t>
        </is>
      </c>
      <c r="K466" s="161" t="inlineStr">
        <is>
          <t>Fragmento ainda menor da Vanguarda Menor do Vazio.</t>
        </is>
      </c>
      <c r="L466" s="161">
        <f>IF(C466="Comum",ROUND(E466*1.3,0),"—")</f>
        <v/>
      </c>
      <c r="M466" s="161">
        <f>IF(C466="Comum",ROUND(F466*1.15,0),"—")</f>
        <v/>
      </c>
      <c r="N466" s="161">
        <f>IF(C466="Comum",G466+2,"—")</f>
        <v/>
      </c>
      <c r="O466" s="161">
        <f>IF(C466="Comum",ROUND(E466*1.6,0),"—")</f>
        <v/>
      </c>
      <c r="P466" s="161">
        <f>IF(C466="Comum",ROUND(F466*1.3,0),"—")</f>
        <v/>
      </c>
      <c r="Q466" s="161">
        <f>IF(C466="Comum",G466+4,"—")</f>
        <v/>
      </c>
      <c r="R466" s="242" t="n"/>
      <c r="S466" s="161">
        <f>ROUND(3+0.6*D466+IF(C466="Comum",0,IF(C466="Elite",2,IF(C466="Boss",4,6))),0)</f>
        <v/>
      </c>
      <c r="T466" s="161" t="inlineStr">
        <is>
          <t>Ouro + Fragmento de Vanguarda Muito Menor</t>
        </is>
      </c>
      <c r="U466" s="161" t="inlineStr">
        <is>
          <t>Fragilidade</t>
        </is>
      </c>
      <c r="V466" s="161" t="inlineStr">
        <is>
          <t>DPS fraco</t>
        </is>
      </c>
      <c r="W466" s="161" t="inlineStr">
        <is>
          <t>Fenda Estelar — Bordas</t>
        </is>
      </c>
      <c r="X466" s="243" t="n"/>
      <c r="Y466" s="243" t="n"/>
      <c r="Z466" s="243" t="n"/>
      <c r="AA466" s="243" t="n"/>
    </row>
    <row r="467">
      <c r="A467" s="161" t="inlineStr">
        <is>
          <t>Estelar / Cosmico</t>
        </is>
      </c>
      <c r="B467" s="161" t="inlineStr">
        <is>
          <t>Eco Distorcido</t>
        </is>
      </c>
      <c r="C467" s="161" t="inlineStr">
        <is>
          <t>Comum</t>
        </is>
      </c>
      <c r="D467" s="161" t="n">
        <v>72</v>
      </c>
      <c r="E467" s="161">
        <f>ROUND(INDEX('Curva Mestra'!$F$20:$F$94,MATCH(D467,'Curva Mestra'!$A$20:$A$94,0)),0)</f>
        <v/>
      </c>
      <c r="F467" s="161">
        <f>ROUND(INDEX('Curva Mestra'!$C$20:$C$94,MATCH(D467,'Curva Mestra'!$A$20:$A$94,0))*INDEX($B$5:$B$8,MATCH(C467,$A$5:$A$8,0)),0)</f>
        <v/>
      </c>
      <c r="G467" s="161">
        <f>ROUND(INDEX('Curva Mestra'!$D$20:$D$94,MATCH(D467,'Curva Mestra'!$A$20:$A$94,0))+INDEX($C$5:$C$8,MATCH(C467,$A$5:$A$8,0)),0)</f>
        <v/>
      </c>
      <c r="H467" s="161" t="inlineStr">
        <is>
          <t>Além do Portal Estelar, região de Estelar / Cosmico.</t>
        </is>
      </c>
      <c r="I467" s="161" t="inlineStr">
        <is>
          <t>Repetição Fatal</t>
        </is>
      </c>
      <c r="J467" s="161" t="inlineStr">
        <is>
          <t>Repete o último golpe recebido no herói de volta, com metade do dano.</t>
        </is>
      </c>
      <c r="K467" s="161" t="inlineStr">
        <is>
          <t>Fragmento de realidade dobrado pela proximidade do Portal — não é bem uma criatura, é um erro no tecido do mundo tentando se corrigir.</t>
        </is>
      </c>
      <c r="L467" s="161">
        <f>IF(C467="Comum",ROUND(E467*1.3,0),"—")</f>
        <v/>
      </c>
      <c r="M467" s="161">
        <f>IF(C467="Comum",ROUND(F467*1.15,0),"—")</f>
        <v/>
      </c>
      <c r="N467" s="161">
        <f>IF(C467="Comum",G467+2,"—")</f>
        <v/>
      </c>
      <c r="O467" s="161">
        <f>IF(C467="Comum",ROUND(E467*1.6,0),"—")</f>
        <v/>
      </c>
      <c r="P467" s="161">
        <f>IF(C467="Comum",ROUND(F467*1.3,0),"—")</f>
        <v/>
      </c>
      <c r="Q467" s="161">
        <f>IF(C467="Comum",G467+4,"—")</f>
        <v/>
      </c>
      <c r="R467" s="161" t="inlineStr">
        <is>
          <t>Ecos Antes do Fim</t>
        </is>
      </c>
      <c r="S467" s="161">
        <f>ROUND(INDEX('Curva Mestra'!$D$20:$D$94,MATCH(D467,'Curva Mestra'!$A$20:$A$94,0))-IF(C467="Comum",9,IF(C467="Elite",6,IF(C467="Boss",4,3))),0)</f>
        <v/>
      </c>
      <c r="T467" s="161" t="inlineStr">
        <is>
          <t>Ouro + Centelha do Fim Inominável (chance rara)</t>
        </is>
      </c>
      <c r="U467" s="161" t="inlineStr">
        <is>
          <t>Vulnerável a Ignora Defesa — pele grossa, mas com pontos fracos previsíveis.</t>
        </is>
      </c>
      <c r="V467" s="242" t="inlineStr">
        <is>
          <t>DPS</t>
        </is>
      </c>
      <c r="W467" s="242" t="inlineStr">
        <is>
          <t>Fenda Estelar</t>
        </is>
      </c>
      <c r="X467" s="243" t="n"/>
      <c r="Y467" s="243" t="n"/>
      <c r="Z467" s="243" t="n"/>
      <c r="AA467" s="243" t="n"/>
    </row>
    <row r="468">
      <c r="A468" s="161" t="inlineStr">
        <is>
          <t>Estelar / Cosmico</t>
        </is>
      </c>
      <c r="B468" s="161" t="inlineStr">
        <is>
          <t>Eco de um Eco</t>
        </is>
      </c>
      <c r="C468" s="161" t="inlineStr">
        <is>
          <t>Comum</t>
        </is>
      </c>
      <c r="D468" s="161" t="n">
        <v>72</v>
      </c>
      <c r="E468" s="161">
        <f>ROUND(INDEX('Curva Mestra'!$F$20:$F$94,MATCH(D468,'Curva Mestra'!$A$20:$A$94,0)),0)</f>
        <v/>
      </c>
      <c r="F468" s="161">
        <f>ROUND(INDEX('Curva Mestra'!$C$20:$C$94,MATCH(D468,'Curva Mestra'!$A$20:$A$94,0))*INDEX($B$5:$B$8,MATCH(C468,$A$5:$A$8,0)),0)</f>
        <v/>
      </c>
      <c r="G468" s="161">
        <f>ROUND(INDEX('Curva Mestra'!$D$20:$D$94,MATCH(D468,'Curva Mestra'!$A$20:$A$94,0))+INDEX($C$5:$C$8,MATCH(C468,$A$5:$A$8,0)),0)</f>
        <v/>
      </c>
      <c r="H468" s="161" t="inlineStr">
        <is>
          <t>Distorção de segunda ordem, cada vez mais fraca.</t>
        </is>
      </c>
      <c r="I468" s="161" t="inlineStr">
        <is>
          <t>Repetição Fraca</t>
        </is>
      </c>
      <c r="J468" s="161" t="inlineStr">
        <is>
          <t>Nenhum efeito adicional — sempre em par.</t>
        </is>
      </c>
      <c r="K468" s="161" t="inlineStr">
        <is>
          <t>Reflexo distorcido de um Eco Distorcido já distorcido.</t>
        </is>
      </c>
      <c r="L468" s="161">
        <f>IF(C468="Comum",ROUND(E468*1.3,0),"—")</f>
        <v/>
      </c>
      <c r="M468" s="161">
        <f>IF(C468="Comum",ROUND(F468*1.15,0),"—")</f>
        <v/>
      </c>
      <c r="N468" s="161">
        <f>IF(C468="Comum",G468+2,"—")</f>
        <v/>
      </c>
      <c r="O468" s="161">
        <f>IF(C468="Comum",ROUND(E468*1.6,0),"—")</f>
        <v/>
      </c>
      <c r="P468" s="161">
        <f>IF(C468="Comum",ROUND(F468*1.3,0),"—")</f>
        <v/>
      </c>
      <c r="Q468" s="161">
        <f>IF(C468="Comum",G468+4,"—")</f>
        <v/>
      </c>
      <c r="R468" s="242" t="n"/>
      <c r="S468" s="161">
        <f>ROUND(3+0.6*D468+IF(C468="Comum",0,IF(C468="Elite",2,IF(C468="Boss",4,6))),0)</f>
        <v/>
      </c>
      <c r="T468" s="161" t="inlineStr">
        <is>
          <t>Ouro + Resíduo de Segunda Ordem</t>
        </is>
      </c>
      <c r="U468" s="161" t="inlineStr">
        <is>
          <t>Ignora Resistência Mágica</t>
        </is>
      </c>
      <c r="V468" s="161" t="inlineStr">
        <is>
          <t>Enxame</t>
        </is>
      </c>
      <c r="W468" s="161" t="inlineStr">
        <is>
          <t>Fenda Estelar — Bordas</t>
        </is>
      </c>
      <c r="X468" s="243" t="n"/>
      <c r="Y468" s="243" t="n"/>
      <c r="Z468" s="243" t="n"/>
      <c r="AA468" s="243" t="n"/>
    </row>
    <row r="469">
      <c r="A469" s="161" t="inlineStr">
        <is>
          <t>Estelar / Cosmico</t>
        </is>
      </c>
      <c r="B469" s="161" t="inlineStr">
        <is>
          <t>Zelote Final Menor</t>
        </is>
      </c>
      <c r="C469" s="161" t="inlineStr">
        <is>
          <t>Comum</t>
        </is>
      </c>
      <c r="D469" s="161" t="n">
        <v>72</v>
      </c>
      <c r="E469" s="161">
        <f>ROUND(INDEX('Curva Mestra'!$F$20:$F$94,MATCH(D469,'Curva Mestra'!$A$20:$A$94,0)),0)</f>
        <v/>
      </c>
      <c r="F469" s="161">
        <f>ROUND(INDEX('Curva Mestra'!$C$20:$C$94,MATCH(D469,'Curva Mestra'!$A$20:$A$94,0))*INDEX($B$5:$B$8,MATCH(C469,$A$5:$A$8,0)),0)</f>
        <v/>
      </c>
      <c r="G469" s="161">
        <f>ROUND(INDEX('Curva Mestra'!$D$20:$D$94,MATCH(D469,'Curva Mestra'!$A$20:$A$94,0))+INDEX($C$5:$C$8,MATCH(C469,$A$5:$A$8,0)),0)</f>
        <v/>
      </c>
      <c r="H469" s="161" t="inlineStr">
        <is>
          <t>Zelote de menor devoção que o Zelote Final do Culto.</t>
        </is>
      </c>
      <c r="I469" s="161" t="inlineStr">
        <is>
          <t>Última Fé Fraca</t>
        </is>
      </c>
      <c r="J469" s="161" t="inlineStr">
        <is>
          <t>Nenhum efeito adicional.</t>
        </is>
      </c>
      <c r="K469" s="161" t="inlineStr">
        <is>
          <t>Segue o Zelote Final do Culto, mas com fé menos absoluta.</t>
        </is>
      </c>
      <c r="L469" s="161">
        <f>IF(C469="Comum",ROUND(E469*1.3,0),"—")</f>
        <v/>
      </c>
      <c r="M469" s="161">
        <f>IF(C469="Comum",ROUND(F469*1.15,0),"—")</f>
        <v/>
      </c>
      <c r="N469" s="161">
        <f>IF(C469="Comum",G469+2,"—")</f>
        <v/>
      </c>
      <c r="O469" s="161">
        <f>IF(C469="Comum",ROUND(E469*1.6,0),"—")</f>
        <v/>
      </c>
      <c r="P469" s="161">
        <f>IF(C469="Comum",ROUND(F469*1.3,0),"—")</f>
        <v/>
      </c>
      <c r="Q469" s="161">
        <f>IF(C469="Comum",G469+4,"—")</f>
        <v/>
      </c>
      <c r="R469" s="242" t="n"/>
      <c r="S469" s="161">
        <f>ROUND(3+0.6*D469+IF(C469="Comum",0,IF(C469="Elite",2,IF(C469="Boss",4,6))),0)</f>
        <v/>
      </c>
      <c r="T469" s="161" t="inlineStr">
        <is>
          <t>Ouro + Manto do Zelote Final Menor</t>
        </is>
      </c>
      <c r="U469" s="161" t="inlineStr">
        <is>
          <t>Ignora Resistência Mágica</t>
        </is>
      </c>
      <c r="V469" s="161" t="inlineStr">
        <is>
          <t>DPS</t>
        </is>
      </c>
      <c r="W469" s="161" t="inlineStr">
        <is>
          <t>Fenda Estelar — Bordas</t>
        </is>
      </c>
      <c r="X469" s="243" t="n"/>
      <c r="Y469" s="243" t="n"/>
      <c r="Z469" s="243" t="n"/>
      <c r="AA469" s="243" t="n"/>
    </row>
    <row r="470">
      <c r="A470" s="161" t="inlineStr">
        <is>
          <t>Estelar / Cosmico</t>
        </is>
      </c>
      <c r="B470" s="161" t="inlineStr">
        <is>
          <t>Eco Menor do Aspecto</t>
        </is>
      </c>
      <c r="C470" s="161" t="inlineStr">
        <is>
          <t>Comum</t>
        </is>
      </c>
      <c r="D470" s="161" t="n">
        <v>72</v>
      </c>
      <c r="E470" s="161">
        <f>ROUND(INDEX('Curva Mestra'!$F$20:$F$94,MATCH(D470,'Curva Mestra'!$A$20:$A$94,0)),0)</f>
        <v/>
      </c>
      <c r="F470" s="161">
        <f>ROUND(INDEX('Curva Mestra'!$C$20:$C$94,MATCH(D470,'Curva Mestra'!$A$20:$A$94,0))*INDEX($B$5:$B$8,MATCH(C470,$A$5:$A$8,0)),0)</f>
        <v/>
      </c>
      <c r="G470" s="161">
        <f>ROUND(INDEX('Curva Mestra'!$D$20:$D$94,MATCH(D470,'Curva Mestra'!$A$20:$A$94,0))+INDEX($C$5:$C$8,MATCH(C470,$A$5:$A$8,0)),0)</f>
        <v/>
      </c>
      <c r="H470" s="161" t="inlineStr">
        <is>
          <t>Eco fraco da presença do Aspecto da Infecção.</t>
        </is>
      </c>
      <c r="I470" s="161" t="inlineStr">
        <is>
          <t>Toque Cósmico Fraco</t>
        </is>
      </c>
      <c r="J470" s="161" t="inlineStr">
        <is>
          <t>Atordoamento (20%).</t>
        </is>
      </c>
      <c r="K470" s="161" t="inlineStr">
        <is>
          <t>Fragmento fraco de energia que se desprende do próprio Aspecto.</t>
        </is>
      </c>
      <c r="L470" s="161">
        <f>IF(C470="Comum",ROUND(E470*1.3,0),"—")</f>
        <v/>
      </c>
      <c r="M470" s="161">
        <f>IF(C470="Comum",ROUND(F470*1.15,0),"—")</f>
        <v/>
      </c>
      <c r="N470" s="161">
        <f>IF(C470="Comum",G470+2,"—")</f>
        <v/>
      </c>
      <c r="O470" s="161">
        <f>IF(C470="Comum",ROUND(E470*1.6,0),"—")</f>
        <v/>
      </c>
      <c r="P470" s="161">
        <f>IF(C470="Comum",ROUND(F470*1.3,0),"—")</f>
        <v/>
      </c>
      <c r="Q470" s="161">
        <f>IF(C470="Comum",G470+4,"—")</f>
        <v/>
      </c>
      <c r="R470" s="242" t="n"/>
      <c r="S470" s="161">
        <f>ROUND(3+0.6*D470+IF(C470="Comum",0,IF(C470="Elite",2,IF(C470="Boss",4,6))),0)</f>
        <v/>
      </c>
      <c r="T470" s="161" t="inlineStr">
        <is>
          <t>Ouro + Eco Fraco do Aspecto</t>
        </is>
      </c>
      <c r="U470" s="161" t="inlineStr">
        <is>
          <t>Ignora Resistência Mágica</t>
        </is>
      </c>
      <c r="V470" s="161" t="inlineStr">
        <is>
          <t>Controle</t>
        </is>
      </c>
      <c r="W470" s="161" t="inlineStr">
        <is>
          <t>Fenda Estelar — Bordas</t>
        </is>
      </c>
      <c r="X470" s="243" t="n"/>
      <c r="Y470" s="243" t="n"/>
      <c r="Z470" s="243" t="n"/>
      <c r="AA470" s="243" t="n"/>
    </row>
    <row r="471">
      <c r="A471" s="161" t="inlineStr">
        <is>
          <t>Estelar / Cosmico</t>
        </is>
      </c>
      <c r="B471" s="161" t="inlineStr">
        <is>
          <t>Portal Muito Menor Falso</t>
        </is>
      </c>
      <c r="C471" s="161" t="inlineStr">
        <is>
          <t>Elite</t>
        </is>
      </c>
      <c r="D471" s="161" t="n">
        <v>71</v>
      </c>
      <c r="E471" s="161">
        <f>ROUND(INDEX('Curva Mestra'!$G$20:$G$94,MATCH(D471,'Curva Mestra'!$A$20:$A$94,0)),0)</f>
        <v/>
      </c>
      <c r="F471" s="161">
        <f>ROUND(INDEX('Curva Mestra'!$C$20:$C$94,MATCH(D471,'Curva Mestra'!$A$20:$A$94,0))*INDEX($B$5:$B$8,MATCH(C471,$A$5:$A$8,0)),0)</f>
        <v/>
      </c>
      <c r="G471" s="161">
        <f>ROUND(INDEX('Curva Mestra'!$D$20:$D$94,MATCH(D471,'Curva Mestra'!$A$20:$A$94,0))+INDEX($C$5:$C$8,MATCH(C471,$A$5:$A$8,0)),0)</f>
        <v/>
      </c>
      <c r="H471" s="161" t="inlineStr">
        <is>
          <t>Armadilha viva, versão menor do Portal Falso.</t>
        </is>
      </c>
      <c r="I471" s="161" t="inlineStr">
        <is>
          <t>Mordida Fraca do Vazio</t>
        </is>
      </c>
      <c r="J471" s="161" t="inlineStr">
        <is>
          <t>Ignora Defesa (moderado) + jogador perde 1 turno de surpresa.</t>
        </is>
      </c>
      <c r="K471" s="161" t="inlineStr">
        <is>
          <t>Armadilha menor, plantada por zelotes de menor patente.</t>
        </is>
      </c>
      <c r="L471" s="161">
        <f>IF(C471="Comum",ROUND(E471*1.3,0),"—")</f>
        <v/>
      </c>
      <c r="M471" s="161">
        <f>IF(C471="Comum",ROUND(F471*1.15,0),"—")</f>
        <v/>
      </c>
      <c r="N471" s="161">
        <f>IF(C471="Comum",G471+2,"—")</f>
        <v/>
      </c>
      <c r="O471" s="161">
        <f>IF(C471="Comum",ROUND(E471*1.6,0),"—")</f>
        <v/>
      </c>
      <c r="P471" s="161">
        <f>IF(C471="Comum",ROUND(F471*1.3,0),"—")</f>
        <v/>
      </c>
      <c r="Q471" s="161">
        <f>IF(C471="Comum",G471+4,"—")</f>
        <v/>
      </c>
      <c r="R471" s="242" t="n"/>
      <c r="S471" s="161">
        <f>ROUND(3+0.6*D471+IF(C471="Comum",0,IF(C471="Elite",2,IF(C471="Boss",4,6))),0)</f>
        <v/>
      </c>
      <c r="T471" s="161" t="inlineStr">
        <is>
          <t>Ouro + Centelha do Fim Inominável (chance alta, x1) + Fragmento de Portal Menor Armadilhado</t>
        </is>
      </c>
      <c r="U471" s="161" t="inlineStr">
        <is>
          <t>Atordoamento</t>
        </is>
      </c>
      <c r="V471" s="161" t="inlineStr">
        <is>
          <t>Mímico</t>
        </is>
      </c>
      <c r="W471" s="161" t="inlineStr">
        <is>
          <t>Fenda Estelar, 5% ao interagir</t>
        </is>
      </c>
      <c r="X471" s="243" t="n"/>
      <c r="Y471" s="242" t="n"/>
      <c r="Z471" s="243" t="n"/>
      <c r="AA471" s="241" t="inlineStr">
        <is>
          <t>Centelha do Fim Inominável x1 (falso — some ao ser revelado, sem uso real) — correção: nome anterior 'Fragmento de Vanguarda do Vazio Astral x1' reutilizava o troféu de outro Elite; ajustado pro material-base do próprio tier</t>
        </is>
      </c>
    </row>
    <row r="472">
      <c r="A472" s="161" t="inlineStr">
        <is>
          <t>Estelar / Cosmico</t>
        </is>
      </c>
      <c r="B472" s="161" t="inlineStr">
        <is>
          <t>Fragmento Fugidio Menor</t>
        </is>
      </c>
      <c r="C472" s="161" t="inlineStr">
        <is>
          <t>Elite</t>
        </is>
      </c>
      <c r="D472" s="161" t="n">
        <v>71</v>
      </c>
      <c r="E472" s="161">
        <f>ROUND(INDEX('Curva Mestra'!$G$20:$G$94,MATCH(D472,'Curva Mestra'!$A$20:$A$94,0)),0)</f>
        <v/>
      </c>
      <c r="F472" s="161">
        <f>ROUND(INDEX('Curva Mestra'!$C$20:$C$94,MATCH(D472,'Curva Mestra'!$A$20:$A$94,0))*INDEX($B$5:$B$8,MATCH(C472,$A$5:$A$8,0)),0)</f>
        <v/>
      </c>
      <c r="G472" s="161">
        <f>ROUND(INDEX('Curva Mestra'!$D$20:$D$94,MATCH(D472,'Curva Mestra'!$A$20:$A$94,0))+INDEX($C$5:$C$8,MATCH(C472,$A$5:$A$8,0)),0)</f>
        <v/>
      </c>
      <c r="H472" s="161" t="inlineStr">
        <is>
          <t>Fragmento menor tentando escapar do Vazio.</t>
        </is>
      </c>
      <c r="I472" s="161" t="inlineStr">
        <is>
          <t>Fuga Dimensional Fraca</t>
        </is>
      </c>
      <c r="J472" s="161" t="inlineStr">
        <is>
          <t>Não causa dano — foge no turno 2 (mais rápido que o normal).</t>
        </is>
      </c>
      <c r="K472" s="161" t="inlineStr">
        <is>
          <t>Fragmento pequeno e ainda mais assustado que o Fragmento Fugidio do Vazio Astral.</t>
        </is>
      </c>
      <c r="L472" s="161">
        <f>IF(C472="Comum",ROUND(E472*1.3,0),"—")</f>
        <v/>
      </c>
      <c r="M472" s="161">
        <f>IF(C472="Comum",ROUND(F472*1.15,0),"—")</f>
        <v/>
      </c>
      <c r="N472" s="161">
        <f>IF(C472="Comum",G472+2,"—")</f>
        <v/>
      </c>
      <c r="O472" s="161">
        <f>IF(C472="Comum",ROUND(E472*1.6,0),"—")</f>
        <v/>
      </c>
      <c r="P472" s="161">
        <f>IF(C472="Comum",ROUND(F472*1.3,0),"—")</f>
        <v/>
      </c>
      <c r="Q472" s="161">
        <f>IF(C472="Comum",G472+4,"—")</f>
        <v/>
      </c>
      <c r="R472" s="242" t="n"/>
      <c r="S472" s="161">
        <f>ROUND(3+0.6*D472+IF(C472="Comum",0,IF(C472="Elite",2,IF(C472="Boss",4,6))),0)</f>
        <v/>
      </c>
      <c r="T472" s="161" t="inlineStr">
        <is>
          <t>Ouro + Poeira Instável do Fragmento Fugidio Menor</t>
        </is>
      </c>
      <c r="U472" s="161" t="inlineStr">
        <is>
          <t>Lentidão</t>
        </is>
      </c>
      <c r="V472" s="161" t="inlineStr">
        <is>
          <t>Superloot/Evasivo</t>
        </is>
      </c>
      <c r="W472" s="161" t="inlineStr">
        <is>
          <t>Fenda Estelar, spawn raro (2%)</t>
        </is>
      </c>
      <c r="X472" s="243" t="n"/>
      <c r="Y472" s="243" t="n"/>
      <c r="Z472" s="243" t="n"/>
      <c r="AA472" s="241" t="inlineStr">
        <is>
          <t>Centelha Fragmentada (material único)</t>
        </is>
      </c>
    </row>
    <row r="473">
      <c r="A473" s="161" t="inlineStr">
        <is>
          <t>Estelar / Cosmico</t>
        </is>
      </c>
      <c r="B473" s="161" t="inlineStr">
        <is>
          <t>Arauto do Aspecto</t>
        </is>
      </c>
      <c r="C473" s="161" t="inlineStr">
        <is>
          <t>Elite</t>
        </is>
      </c>
      <c r="D473" s="161" t="n">
        <v>72</v>
      </c>
      <c r="E473" s="161">
        <f>ROUND(INDEX('Curva Mestra'!$G$20:$G$94,MATCH(D473,'Curva Mestra'!$A$20:$A$94,0)),0)</f>
        <v/>
      </c>
      <c r="F473" s="161">
        <f>ROUND(INDEX('Curva Mestra'!$C$20:$C$94,MATCH(D473,'Curva Mestra'!$A$20:$A$94,0))*INDEX($B$5:$B$8,MATCH(C473,$A$5:$A$8,0)),0)</f>
        <v/>
      </c>
      <c r="G473" s="161">
        <f>ROUND(INDEX('Curva Mestra'!$D$20:$D$94,MATCH(D473,'Curva Mestra'!$A$20:$A$94,0))+INDEX($C$5:$C$8,MATCH(C473,$A$5:$A$8,0)),0)</f>
        <v/>
      </c>
      <c r="H473" s="161" t="inlineStr">
        <is>
          <t>Encontro dificil dentro do tier Estelar / Cosmico</t>
        </is>
      </c>
      <c r="I473" s="161" t="inlineStr">
        <is>
          <t>Toque Cósmico</t>
        </is>
      </c>
      <c r="J473" s="161" t="inlineStr">
        <is>
          <t>Ignora toda Resistência Mágica do alvo nesse golpe.</t>
        </is>
      </c>
      <c r="K473" s="161" t="inlineStr">
        <is>
          <t>Um dos Arautos do Aspecto Supremo, pronto pra abrir o portal final — acredita estar libertando o mundo, não destruindo-o.</t>
        </is>
      </c>
      <c r="L473" s="161">
        <f>IF(C473="Comum",ROUND(E473*1.3,0),"—")</f>
        <v/>
      </c>
      <c r="M473" s="161">
        <f>IF(C473="Comum",ROUND(F473*1.15,0),"—")</f>
        <v/>
      </c>
      <c r="N473" s="161">
        <f>IF(C473="Comum",G473+2,"—")</f>
        <v/>
      </c>
      <c r="O473" s="161">
        <f>IF(C473="Comum",ROUND(E473*1.6,0),"—")</f>
        <v/>
      </c>
      <c r="P473" s="161">
        <f>IF(C473="Comum",ROUND(F473*1.3,0),"—")</f>
        <v/>
      </c>
      <c r="Q473" s="161">
        <f>IF(C473="Comum",G473+4,"—")</f>
        <v/>
      </c>
      <c r="R473" s="161" t="inlineStr">
        <is>
          <t>O Último Fiel</t>
        </is>
      </c>
      <c r="S473" s="161">
        <f>ROUND(INDEX('Curva Mestra'!$D$20:$D$94,MATCH(D473,'Curva Mestra'!$A$20:$A$94,0))-IF(C473="Comum",9,IF(C473="Elite",6,IF(C473="Boss",4,3))),0)</f>
        <v/>
      </c>
      <c r="T473" s="161" t="inlineStr">
        <is>
          <t>Relicário de Arauto do Aspecto + Ouro + Centelha do Fim Inominável (chance baixa)</t>
        </is>
      </c>
      <c r="U473" s="161" t="inlineStr">
        <is>
          <t>Perde o bônus de grupo se isolado dos outros cultistas em combate.</t>
        </is>
      </c>
      <c r="V473" s="242" t="inlineStr">
        <is>
          <t>DPS</t>
        </is>
      </c>
      <c r="W473" s="242" t="inlineStr">
        <is>
          <t>Fenda Estelar</t>
        </is>
      </c>
      <c r="X473" s="243" t="n"/>
      <c r="Y473" s="243" t="n"/>
      <c r="Z473" s="243" t="n"/>
      <c r="AA473" s="243" t="n"/>
    </row>
    <row r="474">
      <c r="A474" s="161" t="inlineStr">
        <is>
          <t>Estelar / Cosmico</t>
        </is>
      </c>
      <c r="B474" s="161" t="inlineStr">
        <is>
          <t>Portal Falso</t>
        </is>
      </c>
      <c r="C474" s="161" t="inlineStr">
        <is>
          <t>Elite</t>
        </is>
      </c>
      <c r="D474" s="161" t="n">
        <v>72</v>
      </c>
      <c r="E474" s="161">
        <f>ROUND(INDEX('Curva Mestra'!$G$20:$G$94,MATCH(D474,'Curva Mestra'!$A$20:$A$94,0)),0)</f>
        <v/>
      </c>
      <c r="F474" s="161">
        <f>ROUND(INDEX('Curva Mestra'!$C$20:$C$94,MATCH(D474,'Curva Mestra'!$A$20:$A$94,0))*INDEX($B$5:$B$8,MATCH(C474,$A$5:$A$8,0)),0)</f>
        <v/>
      </c>
      <c r="G474" s="161">
        <f>ROUND(INDEX('Curva Mestra'!$D$20:$D$94,MATCH(D474,'Curva Mestra'!$A$20:$A$94,0))+INDEX($C$5:$C$8,MATCH(C474,$A$5:$A$8,0)),0)</f>
        <v/>
      </c>
      <c r="H474" s="161" t="inlineStr">
        <is>
          <t>Armadilha viva disfarçada de portal de fuga.</t>
        </is>
      </c>
      <c r="I474" s="161" t="inlineStr">
        <is>
          <t>Mordida do Vazio</t>
        </is>
      </c>
      <c r="J474" s="161" t="inlineStr">
        <is>
          <t>Ignora Defesa (alto) + jogador perde 1 turno de surpresa.</t>
        </is>
      </c>
      <c r="K474" s="161" t="inlineStr">
        <is>
          <t>O culto final dissimula portais-armadilha pra pegar quem tenta fugir da fenda.</t>
        </is>
      </c>
      <c r="L474" s="161">
        <f>IF(C474="Comum",ROUND(E474*1.3,0),"—")</f>
        <v/>
      </c>
      <c r="M474" s="161">
        <f>IF(C474="Comum",ROUND(F474*1.15,0),"—")</f>
        <v/>
      </c>
      <c r="N474" s="161">
        <f>IF(C474="Comum",G474+2,"—")</f>
        <v/>
      </c>
      <c r="O474" s="161">
        <f>IF(C474="Comum",ROUND(E474*1.6,0),"—")</f>
        <v/>
      </c>
      <c r="P474" s="161">
        <f>IF(C474="Comum",ROUND(F474*1.3,0),"—")</f>
        <v/>
      </c>
      <c r="Q474" s="161">
        <f>IF(C474="Comum",G474+4,"—")</f>
        <v/>
      </c>
      <c r="R474" s="242" t="n"/>
      <c r="S474" s="161">
        <f>ROUND(3+0.6*D474+IF(C474="Comum",0,IF(C474="Elite",2,IF(C474="Boss",4,6))),0)</f>
        <v/>
      </c>
      <c r="T474" s="161" t="inlineStr">
        <is>
          <t>Ouro + Centelha do Fim Inominável (chance alta, x2) + Fragmento de Portal Armadilhado</t>
        </is>
      </c>
      <c r="U474" s="161" t="inlineStr">
        <is>
          <t>Atordoamento</t>
        </is>
      </c>
      <c r="V474" s="161" t="inlineStr">
        <is>
          <t>Mímico</t>
        </is>
      </c>
      <c r="W474" s="161" t="inlineStr">
        <is>
          <t>Fenda Estelar, 5% ao interagir</t>
        </is>
      </c>
      <c r="X474" s="243" t="n"/>
      <c r="Y474" s="243" t="n"/>
      <c r="Z474" s="243" t="n"/>
      <c r="AA474" s="241" t="inlineStr">
        <is>
          <t>Centelha do Fim Inominável x2 (falso — some ao ser revelado, sem uso real) — correção: nome anterior 'Relicário de Arauto do Aspecto x2' reutilizava o troféu de outro Elite; ajustado pro material-base do próprio tier</t>
        </is>
      </c>
    </row>
    <row r="475">
      <c r="A475" s="161" t="inlineStr">
        <is>
          <t>Estelar / Cosmico</t>
        </is>
      </c>
      <c r="B475" s="161" t="inlineStr">
        <is>
          <t>Fragmento Fugidio do Vazio Astral</t>
        </is>
      </c>
      <c r="C475" s="161" t="inlineStr">
        <is>
          <t>Elite</t>
        </is>
      </c>
      <c r="D475" s="161" t="n">
        <v>72</v>
      </c>
      <c r="E475" s="161">
        <f>ROUND(INDEX('Curva Mestra'!$G$20:$G$94,MATCH(D475,'Curva Mestra'!$A$20:$A$94,0)),0)</f>
        <v/>
      </c>
      <c r="F475" s="161">
        <f>ROUND(INDEX('Curva Mestra'!$C$20:$C$94,MATCH(D475,'Curva Mestra'!$A$20:$A$94,0))*INDEX($B$5:$B$8,MATCH(C475,$A$5:$A$8,0)),0)</f>
        <v/>
      </c>
      <c r="G475" s="161">
        <f>ROUND(INDEX('Curva Mestra'!$D$20:$D$94,MATCH(D475,'Curva Mestra'!$A$20:$A$94,0))+INDEX($C$5:$C$8,MATCH(C475,$A$5:$A$8,0)),0)</f>
        <v/>
      </c>
      <c r="H475" s="161" t="inlineStr">
        <is>
          <t>Último fragmento a resistir ao Vazio.</t>
        </is>
      </c>
      <c r="I475" s="161" t="inlineStr">
        <is>
          <t>Fuga Dimensional</t>
        </is>
      </c>
      <c r="J475" s="161" t="inlineStr">
        <is>
          <t>Não causa dano — foge no turno 3.</t>
        </is>
      </c>
      <c r="K475" s="161" t="inlineStr">
        <is>
          <t>Pedaço do Vazio Astral que ainda resiste à absorção total.</t>
        </is>
      </c>
      <c r="L475" s="161">
        <f>IF(C475="Comum",ROUND(E475*1.3,0),"—")</f>
        <v/>
      </c>
      <c r="M475" s="161">
        <f>IF(C475="Comum",ROUND(F475*1.15,0),"—")</f>
        <v/>
      </c>
      <c r="N475" s="161">
        <f>IF(C475="Comum",G475+2,"—")</f>
        <v/>
      </c>
      <c r="O475" s="161">
        <f>IF(C475="Comum",ROUND(E475*1.6,0),"—")</f>
        <v/>
      </c>
      <c r="P475" s="161">
        <f>IF(C475="Comum",ROUND(F475*1.3,0),"—")</f>
        <v/>
      </c>
      <c r="Q475" s="161">
        <f>IF(C475="Comum",G475+4,"—")</f>
        <v/>
      </c>
      <c r="R475" s="242" t="n"/>
      <c r="S475" s="161">
        <f>ROUND(3+0.6*D475+IF(C475="Comum",0,IF(C475="Elite",2,IF(C475="Boss",4,6))),0)</f>
        <v/>
      </c>
      <c r="T475" s="161" t="inlineStr">
        <is>
          <t>Ouro + Resíduo Puro do Vazio Astral</t>
        </is>
      </c>
      <c r="U475" s="161" t="inlineStr">
        <is>
          <t>Lentidão</t>
        </is>
      </c>
      <c r="V475" s="161" t="inlineStr">
        <is>
          <t>Superloot/Evasivo</t>
        </is>
      </c>
      <c r="W475" s="161" t="inlineStr">
        <is>
          <t>Fenda Estelar, spawn raro (2%)</t>
        </is>
      </c>
      <c r="X475" s="243" t="n"/>
      <c r="Y475" s="243" t="n"/>
      <c r="Z475" s="243" t="n"/>
      <c r="AA475" s="241" t="inlineStr">
        <is>
          <t>Centelha do Fim Inominável (material único, sem tier seguinte)</t>
        </is>
      </c>
    </row>
    <row r="476">
      <c r="A476" s="161" t="inlineStr">
        <is>
          <t>Estelar / Cosmico</t>
        </is>
      </c>
      <c r="B476" s="161" t="inlineStr">
        <is>
          <t>Vanguarda do Vazio Astral</t>
        </is>
      </c>
      <c r="C476" s="161" t="inlineStr">
        <is>
          <t>Elite</t>
        </is>
      </c>
      <c r="D476" s="161" t="n">
        <v>73</v>
      </c>
      <c r="E476" s="161">
        <f>ROUND(INDEX('Curva Mestra'!$G$20:$G$94,MATCH(D476,'Curva Mestra'!$A$20:$A$94,0)),0)</f>
        <v/>
      </c>
      <c r="F476" s="161">
        <f>ROUND(INDEX('Curva Mestra'!$C$20:$C$94,MATCH(D476,'Curva Mestra'!$A$20:$A$94,0))*INDEX($B$5:$B$8,MATCH(C476,$A$5:$A$8,0)),0)</f>
        <v/>
      </c>
      <c r="G476" s="161">
        <f>ROUND(INDEX('Curva Mestra'!$D$20:$D$94,MATCH(D476,'Curva Mestra'!$A$20:$A$94,0))+INDEX($C$5:$C$8,MATCH(C476,$A$5:$A$8,0)),0)</f>
        <v/>
      </c>
      <c r="H476" s="161" t="inlineStr">
        <is>
          <t>Além do Portal Estelar, região de Estelar / Cosmico.</t>
        </is>
      </c>
      <c r="I476" s="161" t="inlineStr">
        <is>
          <t>Colapso Espacial</t>
        </is>
      </c>
      <c r="J476" s="161" t="inlineStr">
        <is>
          <t>Causa dano mesmo se o herói usar ações de esquiva ou defesa total.</t>
        </is>
      </c>
      <c r="K476" s="161" t="inlineStr">
        <is>
          <t>Guerreiro cósmico a serviço da Mão Suprema — a presença dele já começa a apagar memórias de quem o encara por tempo demais.</t>
        </is>
      </c>
      <c r="L476" s="161">
        <f>IF(C476="Comum",ROUND(E476*1.3,0),"—")</f>
        <v/>
      </c>
      <c r="M476" s="161">
        <f>IF(C476="Comum",ROUND(F476*1.15,0),"—")</f>
        <v/>
      </c>
      <c r="N476" s="161">
        <f>IF(C476="Comum",G476+2,"—")</f>
        <v/>
      </c>
      <c r="O476" s="161">
        <f>IF(C476="Comum",ROUND(E476*1.6,0),"—")</f>
        <v/>
      </c>
      <c r="P476" s="161">
        <f>IF(C476="Comum",ROUND(F476*1.3,0),"—")</f>
        <v/>
      </c>
      <c r="Q476" s="161">
        <f>IF(C476="Comum",G476+4,"—")</f>
        <v/>
      </c>
      <c r="R476" s="161" t="inlineStr">
        <is>
          <t>A Vanguarda Cósmica</t>
        </is>
      </c>
      <c r="S476" s="161">
        <f>ROUND(INDEX('Curva Mestra'!$D$20:$D$94,MATCH(D476,'Curva Mestra'!$A$20:$A$94,0))-IF(C476="Comum",9,IF(C476="Elite",6,IF(C476="Boss",4,3))),0)</f>
        <v/>
      </c>
      <c r="T476" s="161" t="inlineStr">
        <is>
          <t>Fragmento de Vanguarda do Vazio Astral + Ouro + Centelha do Fim Inominável (chance baixa)</t>
        </is>
      </c>
      <c r="U476" s="161" t="inlineStr">
        <is>
          <t>Vulnerável a Ignora Resistência Mágica — a própria natureza é instável demais pra resistir direito.</t>
        </is>
      </c>
      <c r="V476" s="242" t="inlineStr">
        <is>
          <t>DPS</t>
        </is>
      </c>
      <c r="W476" s="242" t="inlineStr">
        <is>
          <t>Fenda Estelar</t>
        </is>
      </c>
      <c r="X476" s="243" t="n"/>
      <c r="Y476" s="243" t="n"/>
      <c r="Z476" s="243" t="n"/>
      <c r="AA476" s="242" t="n"/>
    </row>
    <row r="477">
      <c r="A477" s="161" t="inlineStr">
        <is>
          <t>Estelar / Cosmico</t>
        </is>
      </c>
      <c r="B477" s="161" t="inlineStr">
        <is>
          <t>Zelote Final do Culto</t>
        </is>
      </c>
      <c r="C477" s="161" t="inlineStr">
        <is>
          <t>Elite</t>
        </is>
      </c>
      <c r="D477" s="161" t="n">
        <v>73</v>
      </c>
      <c r="E477" s="161">
        <f>ROUND(INDEX('Curva Mestra'!$G$20:$G$94,MATCH(D477,'Curva Mestra'!$A$20:$A$94,0)),0)</f>
        <v/>
      </c>
      <c r="F477" s="161">
        <f>ROUND(INDEX('Curva Mestra'!$C$20:$C$94,MATCH(D477,'Curva Mestra'!$A$20:$A$94,0))*INDEX($B$5:$B$8,MATCH(C477,$A$5:$A$8,0)),0)</f>
        <v/>
      </c>
      <c r="G477" s="161">
        <f>ROUND(INDEX('Curva Mestra'!$D$20:$D$94,MATCH(D477,'Curva Mestra'!$A$20:$A$94,0))+INDEX($C$5:$C$8,MATCH(C477,$A$5:$A$8,0)),0)</f>
        <v/>
      </c>
      <c r="H477" s="161" t="inlineStr">
        <is>
          <t>Além do Portal Estelar, região de Estelar / Cosmico.</t>
        </is>
      </c>
      <c r="I477" s="161" t="inlineStr">
        <is>
          <t>Última Fé</t>
        </is>
      </c>
      <c r="J477" s="161" t="inlineStr">
        <is>
          <t>Se reduzido a 0 HP, tem 50% de chance de sobreviver com 1 HP (fé cega demais pra morrer fácil). Também aplica: Cura 15% do dano causado como HP.</t>
        </is>
      </c>
      <c r="K477" s="161" t="inlineStr">
        <is>
          <t>O último crente de carne e osso do Culto do Aspecto Supremo — viu tudo que os outros cultos da campanha se tornaram, e ainda assim não desistiu.</t>
        </is>
      </c>
      <c r="L477" s="161">
        <f>IF(C477="Comum",ROUND(E477*1.3,0),"—")</f>
        <v/>
      </c>
      <c r="M477" s="161">
        <f>IF(C477="Comum",ROUND(F477*1.15,0),"—")</f>
        <v/>
      </c>
      <c r="N477" s="161">
        <f>IF(C477="Comum",G477+2,"—")</f>
        <v/>
      </c>
      <c r="O477" s="161">
        <f>IF(C477="Comum",ROUND(E477*1.6,0),"—")</f>
        <v/>
      </c>
      <c r="P477" s="161">
        <f>IF(C477="Comum",ROUND(F477*1.3,0),"—")</f>
        <v/>
      </c>
      <c r="Q477" s="161">
        <f>IF(C477="Comum",G477+4,"—")</f>
        <v/>
      </c>
      <c r="R477" s="161" t="inlineStr">
        <is>
          <t>O Último Fiel</t>
        </is>
      </c>
      <c r="S477" s="161">
        <f>ROUND(INDEX('Curva Mestra'!$D$20:$D$94,MATCH(D477,'Curva Mestra'!$A$20:$A$94,0))-IF(C477="Comum",9,IF(C477="Elite",6,IF(C477="Boss",4,3))),0)</f>
        <v/>
      </c>
      <c r="T477" s="161" t="inlineStr">
        <is>
          <t>Relicário de Zelote Final do Culto + Ouro + Centelha do Fim Inominável (chance baixa)</t>
        </is>
      </c>
      <c r="U477" s="161" t="inlineStr">
        <is>
          <t>Vulnerável a Fogo — a carne corrompida queima rápido demais pra se regenerar.</t>
        </is>
      </c>
      <c r="V477" s="242" t="inlineStr">
        <is>
          <t>Suporte</t>
        </is>
      </c>
      <c r="W477" s="242" t="inlineStr">
        <is>
          <t>Fenda Estelar</t>
        </is>
      </c>
      <c r="X477" s="243" t="n"/>
      <c r="Y477" s="243" t="n"/>
      <c r="Z477" s="243" t="n"/>
      <c r="AA477" s="242" t="n"/>
    </row>
    <row r="478">
      <c r="A478" s="161" t="inlineStr">
        <is>
          <t>Estelar / Cosmico</t>
        </is>
      </c>
      <c r="B478" s="161" t="inlineStr">
        <is>
          <t>Vanguarda Menor do Vazio</t>
        </is>
      </c>
      <c r="C478" s="161" t="inlineStr">
        <is>
          <t>Elite</t>
        </is>
      </c>
      <c r="D478" s="161" t="n">
        <v>73</v>
      </c>
      <c r="E478" s="161">
        <f>ROUND(INDEX('Curva Mestra'!$G$20:$G$94,MATCH(D478,'Curva Mestra'!$A$20:$A$94,0)),0)</f>
        <v/>
      </c>
      <c r="F478" s="161">
        <f>ROUND(INDEX('Curva Mestra'!$C$20:$C$94,MATCH(D478,'Curva Mestra'!$A$20:$A$94,0))*INDEX($B$5:$B$8,MATCH(C478,$A$5:$A$8,0)),0)</f>
        <v/>
      </c>
      <c r="G478" s="161">
        <f>ROUND(INDEX('Curva Mestra'!$D$20:$D$94,MATCH(D478,'Curva Mestra'!$A$20:$A$94,0))+INDEX($C$5:$C$8,MATCH(C478,$A$5:$A$8,0)),0)</f>
        <v/>
      </c>
      <c r="H478" s="161" t="inlineStr">
        <is>
          <t>Vanguarda menor, ainda ganhando forma completa.</t>
        </is>
      </c>
      <c r="I478" s="161" t="inlineStr">
        <is>
          <t>Colapso Parcial</t>
        </is>
      </c>
      <c r="J478" s="161" t="inlineStr">
        <is>
          <t>Ignora Resistência Mágica + Ignora Defesa.</t>
        </is>
      </c>
      <c r="K478" s="161" t="inlineStr">
        <is>
          <t>Fragmento funcional da Vanguarda do Vazio Astral maior.</t>
        </is>
      </c>
      <c r="L478" s="161">
        <f>IF(C478="Comum",ROUND(E478*1.3,0),"—")</f>
        <v/>
      </c>
      <c r="M478" s="161">
        <f>IF(C478="Comum",ROUND(F478*1.15,0),"—")</f>
        <v/>
      </c>
      <c r="N478" s="161">
        <f>IF(C478="Comum",G478+2,"—")</f>
        <v/>
      </c>
      <c r="O478" s="161">
        <f>IF(C478="Comum",ROUND(E478*1.6,0),"—")</f>
        <v/>
      </c>
      <c r="P478" s="161">
        <f>IF(C478="Comum",ROUND(F478*1.3,0),"—")</f>
        <v/>
      </c>
      <c r="Q478" s="161">
        <f>IF(C478="Comum",G478+4,"—")</f>
        <v/>
      </c>
      <c r="R478" s="242" t="n"/>
      <c r="S478" s="161">
        <f>ROUND(3+0.6*D478+IF(C478="Comum",0,IF(C478="Elite",2,IF(C478="Boss",4,6))),0)</f>
        <v/>
      </c>
      <c r="T478" s="161" t="inlineStr">
        <is>
          <t>Ouro + Fragmento de Vanguarda Menor do Vazio + Centelha do Fim Inominável (chance baixa)</t>
        </is>
      </c>
      <c r="U478" s="161" t="inlineStr">
        <is>
          <t>Fragilidade</t>
        </is>
      </c>
      <c r="V478" s="161" t="inlineStr">
        <is>
          <t>DPS</t>
        </is>
      </c>
      <c r="W478" s="161" t="inlineStr">
        <is>
          <t>Fenda Estelar — Bordas</t>
        </is>
      </c>
      <c r="X478" s="243" t="n"/>
      <c r="Y478" s="242" t="n"/>
      <c r="Z478" s="243" t="n"/>
      <c r="AA478" s="243" t="n"/>
    </row>
    <row r="479">
      <c r="A479" s="161" t="inlineStr">
        <is>
          <t>Estelar / Cosmico</t>
        </is>
      </c>
      <c r="B479" s="161" t="inlineStr">
        <is>
          <t>Última Voz, a Que Ainda Se Lembra de Ser Gente</t>
        </is>
      </c>
      <c r="C479" s="161" t="inlineStr">
        <is>
          <t>Elite</t>
        </is>
      </c>
      <c r="D479" s="161" t="n">
        <v>74</v>
      </c>
      <c r="E479" s="161">
        <f>ROUND(INDEX('Curva Mestra'!$G$20:$G$94,MATCH(D479,'Curva Mestra'!$A$20:$A$94,0)),0)</f>
        <v/>
      </c>
      <c r="F479" s="161">
        <f>ROUND(INDEX('Curva Mestra'!$C$20:$C$94,MATCH(D479,'Curva Mestra'!$A$20:$A$94,0))*INDEX($B$5:$B$8,MATCH(C479,$A$5:$A$8,0)),0)</f>
        <v/>
      </c>
      <c r="G479" s="161">
        <f>ROUND(INDEX('Curva Mestra'!$D$20:$D$94,MATCH(D479,'Curva Mestra'!$A$20:$A$94,0))+INDEX($C$5:$C$8,MATCH(C479,$A$5:$A$8,0)),0)</f>
        <v/>
      </c>
      <c r="H479" s="161" t="inlineStr">
        <is>
          <t>A última prova de que havia gente antes da Infecção absoluta.</t>
        </is>
      </c>
      <c r="I479" s="161" t="inlineStr">
        <is>
          <t>Grito do Que Restou</t>
        </is>
      </c>
      <c r="J479" s="161" t="inlineStr">
        <is>
          <t>Ignora Defesa + Ignora Resistência Mágica.</t>
        </is>
      </c>
      <c r="K479" s="161" t="inlineStr">
        <is>
          <t>Foi a última pessoa comum a testemunhar o Aspecto antes de virar isso. Ainda se lembra do próprio nome.</t>
        </is>
      </c>
      <c r="L479" s="161">
        <f>IF(C479="Comum",ROUND(E479*1.3,0),"—")</f>
        <v/>
      </c>
      <c r="M479" s="161">
        <f>IF(C479="Comum",ROUND(F479*1.15,0),"—")</f>
        <v/>
      </c>
      <c r="N479" s="161">
        <f>IF(C479="Comum",G479+2,"—")</f>
        <v/>
      </c>
      <c r="O479" s="161">
        <f>IF(C479="Comum",ROUND(E479*1.6,0),"—")</f>
        <v/>
      </c>
      <c r="P479" s="161">
        <f>IF(C479="Comum",ROUND(F479*1.3,0),"—")</f>
        <v/>
      </c>
      <c r="Q479" s="161">
        <f>IF(C479="Comum",G479+4,"—")</f>
        <v/>
      </c>
      <c r="R479" s="242" t="n"/>
      <c r="S479" s="161">
        <f>ROUND(3+0.6*D479+IF(C479="Comum",0,IF(C479="Elite",2,IF(C479="Boss",4,6))),0)</f>
        <v/>
      </c>
      <c r="T479" s="161" t="inlineStr">
        <is>
          <t>Ouro + Fragmento da Última Voz + Centelha do Fim Inominável (chance baixa)</t>
        </is>
      </c>
      <c r="U479" s="161" t="inlineStr">
        <is>
          <t>Lentidão</t>
        </is>
      </c>
      <c r="V479" s="161" t="inlineStr">
        <is>
          <t>Nomeado / Mini-Boss</t>
        </is>
      </c>
      <c r="W479" s="161" t="inlineStr">
        <is>
          <t>Fenda Estelar, spawn raro (4%)</t>
        </is>
      </c>
      <c r="X479" s="241" t="inlineStr">
        <is>
          <t>A 30% de HP, para de atacar e implora pra ser libertada — poupá-la (encerrar sua existência em paz) dá o Título mais raro do jogo.</t>
        </is>
      </c>
      <c r="Y479" s="243" t="n"/>
      <c r="Z479" s="243" t="n"/>
      <c r="AA479" s="241" t="inlineStr">
        <is>
          <t>Último Fragmento de Humanidade (se derrotada em vez de libertada) [ver Artefatos e Relíquias]</t>
        </is>
      </c>
    </row>
    <row r="480">
      <c r="A480" s="161" t="inlineStr">
        <is>
          <t>Estelar / Cosmico</t>
        </is>
      </c>
      <c r="B480" s="161" t="inlineStr">
        <is>
          <t>O Guardião do Portal Estelar</t>
        </is>
      </c>
      <c r="C480" s="161" t="inlineStr">
        <is>
          <t>Boss</t>
        </is>
      </c>
      <c r="D480" s="161" t="n">
        <v>74</v>
      </c>
      <c r="E480" s="161">
        <f>ROUND(INDEX('Curva Mestra'!$H$20:$H$94,MATCH(D480,'Curva Mestra'!$A$20:$A$94,0)),0)</f>
        <v/>
      </c>
      <c r="F480" s="161">
        <f>ROUND(INDEX('Curva Mestra'!$C$20:$C$94,MATCH(D480,'Curva Mestra'!$A$20:$A$94,0))*INDEX($B$5:$B$8,MATCH(C480,$A$5:$A$8,0)),0)</f>
        <v/>
      </c>
      <c r="G480" s="161">
        <f>ROUND(INDEX('Curva Mestra'!$D$20:$D$94,MATCH(D480,'Curva Mestra'!$A$20:$A$94,0))+INDEX($C$5:$C$8,MATCH(C480,$A$5:$A$8,0)),0)</f>
        <v/>
      </c>
      <c r="H480" s="161" t="inlineStr">
        <is>
          <t>Além do Portal Estelar, região de Estelar / Cosmico.</t>
        </is>
      </c>
      <c r="I480" s="161" t="inlineStr">
        <is>
          <t>Sentença Dimensional</t>
        </is>
      </c>
      <c r="J480" s="161" t="inlineStr">
        <is>
          <t>Ignora toda a Defesa do herói e ataca duas vezes por turno.</t>
        </is>
      </c>
      <c r="K480" s="161" t="inlineStr">
        <is>
          <t>A entidade que bloqueia o acesso à câmara final do Aspecto da Infecção — não serve a ele, só cumpre a única função que lhe deram.</t>
        </is>
      </c>
      <c r="L480" s="161">
        <f>IF(C480="Comum",ROUND(E480*1.3,0),"—")</f>
        <v/>
      </c>
      <c r="M480" s="161">
        <f>IF(C480="Comum",ROUND(F480*1.15,0),"—")</f>
        <v/>
      </c>
      <c r="N480" s="161">
        <f>IF(C480="Comum",G480+2,"—")</f>
        <v/>
      </c>
      <c r="O480" s="161">
        <f>IF(C480="Comum",ROUND(E480*1.6,0),"—")</f>
        <v/>
      </c>
      <c r="P480" s="161">
        <f>IF(C480="Comum",ROUND(F480*1.3,0),"—")</f>
        <v/>
      </c>
      <c r="Q480" s="161">
        <f>IF(C480="Comum",G480+4,"—")</f>
        <v/>
      </c>
      <c r="R480" s="161" t="inlineStr">
        <is>
          <t>O Guardião do Portal Estelar</t>
        </is>
      </c>
      <c r="S480" s="161">
        <f>ROUND(INDEX('Curva Mestra'!$D$20:$D$94,MATCH(D480,'Curva Mestra'!$A$20:$A$94,0))-IF(C480="Comum",9,IF(C480="Elite",6,IF(C480="Boss",4,3))),0)</f>
        <v/>
      </c>
      <c r="T480" s="161" t="inlineStr">
        <is>
          <t>Núcleo de O Guardião do Portal Estelar + Essência de O Guardião do Portal Estelar + Ouro + Centelha do Fim Inominável (chance baixa)</t>
        </is>
      </c>
      <c r="U480" s="161" t="inlineStr">
        <is>
          <t>Vulnerável a Ignora Resistência Mágica — segue ordens antigas, sem vontade própria pra resistir.</t>
        </is>
      </c>
      <c r="V480" s="242" t="inlineStr">
        <is>
          <t>DPS</t>
        </is>
      </c>
      <c r="W480" s="242" t="inlineStr">
        <is>
          <t>Fenda Estelar</t>
        </is>
      </c>
      <c r="X480" s="243" t="n"/>
      <c r="Y480" s="243" t="n"/>
      <c r="Z480" s="243" t="n"/>
      <c r="AA480" s="243" t="n"/>
    </row>
    <row r="481">
      <c r="A481" s="161" t="inlineStr">
        <is>
          <t>Estelar / Cosmico</t>
        </is>
      </c>
      <c r="B481" s="161" t="inlineStr">
        <is>
          <t>O Aspecto da Infeccao</t>
        </is>
      </c>
      <c r="C481" s="161" t="inlineStr">
        <is>
          <t>Cosmico</t>
        </is>
      </c>
      <c r="D481" s="161" t="n">
        <v>75</v>
      </c>
      <c r="E481" s="161">
        <f>ROUND(INDEX('Curva Mestra'!$I$20:$I$94,MATCH(D481,'Curva Mestra'!$A$20:$A$94,0)),0)</f>
        <v/>
      </c>
      <c r="F481" s="161">
        <f>ROUND(INDEX('Curva Mestra'!$C$20:$C$94,MATCH(D481,'Curva Mestra'!$A$20:$A$94,0))*INDEX($B$5:$B$8,MATCH(C481,$A$5:$A$8,0)),0)</f>
        <v/>
      </c>
      <c r="G481" s="161">
        <f>ROUND(INDEX('Curva Mestra'!$D$20:$D$94,MATCH(D481,'Curva Mestra'!$A$20:$A$94,0))+INDEX($C$5:$C$8,MATCH(C481,$A$5:$A$8,0)),0)</f>
        <v/>
      </c>
      <c r="H481" s="161" t="inlineStr">
        <is>
          <t>Chefe / marco final do tier Estelar / Cosmico</t>
        </is>
      </c>
      <c r="I481" s="161" t="inlineStr">
        <is>
          <t>Punho da Infecção Absoluta</t>
        </is>
      </c>
      <c r="J481" s="161" t="inlineStr">
        <is>
          <t>Sem efeito mecânico além do dano — ataque direto.</t>
        </is>
      </c>
      <c r="K481" s="161" t="inlineStr">
        <is>
          <t>O fragmento central do próprio Aspecto da Infecção — o destino do continente inteiro repousa sobre o que for feito com ele. Fim de tudo, de um jeito ou de outro.</t>
        </is>
      </c>
      <c r="L481" s="161">
        <f>IF(C481="Comum",ROUND(E481*1.3,0),"—")</f>
        <v/>
      </c>
      <c r="M481" s="161">
        <f>IF(C481="Comum",ROUND(F481*1.15,0),"—")</f>
        <v/>
      </c>
      <c r="N481" s="161">
        <f>IF(C481="Comum",G481+2,"—")</f>
        <v/>
      </c>
      <c r="O481" s="161">
        <f>IF(C481="Comum",ROUND(E481*1.6,0),"—")</f>
        <v/>
      </c>
      <c r="P481" s="161">
        <f>IF(C481="Comum",ROUND(F481*1.3,0),"—")</f>
        <v/>
      </c>
      <c r="Q481" s="161">
        <f>IF(C481="Comum",G481+4,"—")</f>
        <v/>
      </c>
      <c r="R481" s="161" t="inlineStr">
        <is>
          <t>O Aspecto da Infecção (Confronto Final da Campanha)</t>
        </is>
      </c>
      <c r="S481" s="161">
        <f>ROUND(INDEX('Curva Mestra'!$D$20:$D$94,MATCH(D481,'Curva Mestra'!$A$20:$A$94,0))-IF(C481="Comum",9,IF(C481="Elite",6,IF(C481="Boss",4,3))),0)</f>
        <v/>
      </c>
      <c r="T481" s="161" t="inlineStr">
        <is>
          <t>Fragmento de O Aspecto da Infeccao + Essência de O Aspecto da Infeccao + Ouro + Centelha do Fim Inominável (chance baixa)</t>
        </is>
      </c>
      <c r="U481" s="161" t="inlineStr">
        <is>
          <t>Sem fraqueza óbvia — precisa de Knowledge alto pra descobrir algo específico.</t>
        </is>
      </c>
      <c r="V481" s="242" t="inlineStr">
        <is>
          <t>DPS</t>
        </is>
      </c>
      <c r="W481" s="242" t="inlineStr">
        <is>
          <t>Fenda Estelar</t>
        </is>
      </c>
      <c r="X481" s="243" t="n"/>
      <c r="Y481" s="243" t="n"/>
      <c r="Z481" s="243" t="n"/>
      <c r="AA481" s="243" t="n"/>
    </row>
    <row r="482">
      <c r="A482" s="242" t="n"/>
      <c r="B482" s="242" t="n"/>
      <c r="C482" s="242" t="n"/>
      <c r="D482" s="242" t="n"/>
      <c r="E482" s="242" t="n"/>
      <c r="F482" s="242" t="n"/>
      <c r="G482" s="242" t="n"/>
      <c r="H482" s="242" t="n"/>
      <c r="I482" s="242" t="n"/>
      <c r="J482" s="242" t="n"/>
      <c r="K482" s="242" t="n"/>
      <c r="L482" s="242" t="n"/>
      <c r="M482" s="242" t="n"/>
      <c r="N482" s="242" t="n"/>
      <c r="O482" s="242" t="n"/>
      <c r="P482" s="242" t="n"/>
      <c r="Q482" s="242" t="n"/>
      <c r="R482" s="242" t="n"/>
      <c r="S482" s="242" t="n"/>
      <c r="T482" s="242" t="n"/>
      <c r="U482" s="242" t="n"/>
      <c r="V482" s="242" t="n"/>
      <c r="W482" s="242" t="n"/>
      <c r="X482" s="242" t="n"/>
      <c r="Y482" s="242" t="n"/>
      <c r="Z482" s="242" t="n"/>
      <c r="AA482" s="242"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I3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0" customWidth="1" style="115" min="1" max="1"/>
    <col width="10" customWidth="1" style="115" min="2" max="2"/>
    <col width="16" customWidth="1" style="115" min="3" max="3"/>
    <col width="10" customWidth="1" style="115" min="4" max="5"/>
    <col width="15" customWidth="1" style="115" min="6" max="6"/>
    <col width="14" customWidth="1" style="115" min="7" max="7"/>
    <col width="17" customWidth="1" style="115" min="8" max="8"/>
    <col width="18" customWidth="1" style="115" min="9" max="9"/>
  </cols>
  <sheetData>
    <row r="1" ht="17.25" customHeight="1" s="116">
      <c r="A1" s="117" t="inlineStr">
        <is>
          <t>Economia de Ouro</t>
        </is>
      </c>
    </row>
    <row r="2" ht="15" customHeight="1" s="116">
      <c r="A2" s="123" t="inlineStr">
        <is>
          <t>Preco sobe mais rapido que o ouro ganho, de proposito - isso evita ficar rico facil.</t>
        </is>
      </c>
    </row>
    <row r="4" ht="15" customHeight="1" s="116">
      <c r="A4" s="124" t="inlineStr">
        <is>
          <t>Parametro</t>
        </is>
      </c>
      <c r="B4" s="124" t="inlineStr">
        <is>
          <t>Valor</t>
        </is>
      </c>
      <c r="C4" s="124" t="inlineStr">
        <is>
          <t>O que controla</t>
        </is>
      </c>
    </row>
    <row r="5" ht="15" customHeight="1" s="116">
      <c r="A5" s="125" t="inlineStr">
        <is>
          <t>Ouro_por_HP_Comum</t>
        </is>
      </c>
      <c r="B5" s="126" t="n">
        <v>0.3</v>
      </c>
      <c r="C5" s="123" t="inlineStr">
        <is>
          <t>Ouro dropado por monstro comum = HP dele x este valor</t>
        </is>
      </c>
    </row>
    <row r="6" ht="15" customHeight="1" s="116">
      <c r="A6" s="125" t="inlineStr">
        <is>
          <t>Mult_Ouro_Elite</t>
        </is>
      </c>
      <c r="B6" s="126" t="n">
        <v>2.5</v>
      </c>
      <c r="C6" s="123" t="inlineStr">
        <is>
          <t>Ouro de elite = ouro de comum x este valor</t>
        </is>
      </c>
    </row>
    <row r="7" ht="15" customHeight="1" s="116">
      <c r="A7" s="125" t="inlineStr">
        <is>
          <t>Mult_Ouro_Boss</t>
        </is>
      </c>
      <c r="B7" s="126" t="n">
        <v>8</v>
      </c>
      <c r="C7" s="123" t="inlineStr">
        <is>
          <t>Ouro de boss = ouro de comum x este valor</t>
        </is>
      </c>
    </row>
    <row r="8" ht="15" customHeight="1" s="116">
      <c r="A8" s="125" t="inlineStr">
        <is>
          <t>Expoente_Imposto_Regional</t>
        </is>
      </c>
      <c r="B8" s="126" t="n">
        <v>1.3</v>
      </c>
      <c r="C8" s="123" t="inlineStr">
        <is>
          <t>Preco = Dano do item ^ este expoente x fator - usado so pra TAXA/IMPOSTO de cidades gananciosas, nao pro preco base</t>
        </is>
      </c>
    </row>
    <row r="9" ht="15" customHeight="1" s="116">
      <c r="A9" s="125" t="inlineStr">
        <is>
          <t>Fator_Imposto_Regional</t>
        </is>
      </c>
      <c r="B9" s="126" t="n">
        <v>4</v>
      </c>
      <c r="C9" s="123" t="inlineStr">
        <is>
          <t>Multiplicador geral de preco</t>
        </is>
      </c>
    </row>
    <row r="10" ht="15" customHeight="1" s="116">
      <c r="A10" s="125" t="inlineStr">
        <is>
          <t>Monstros_por_Sessao</t>
        </is>
      </c>
      <c r="B10" s="126" t="n">
        <v>8</v>
      </c>
      <c r="C10" s="123" t="inlineStr">
        <is>
          <t>Quantos monstros comuns o grupo mata, em media, por sessao</t>
        </is>
      </c>
    </row>
    <row r="13" ht="15" customHeight="1" s="116">
      <c r="A13" s="124" t="inlineStr">
        <is>
          <t>Tier</t>
        </is>
      </c>
      <c r="B13" s="124" t="inlineStr">
        <is>
          <t>Nivel Ref.</t>
        </is>
      </c>
      <c r="C13" s="124" t="inlineStr">
        <is>
          <t>Ouro/Monstro Comum</t>
        </is>
      </c>
      <c r="D13" s="124" t="inlineStr">
        <is>
          <t>Ouro/Elite</t>
        </is>
      </c>
      <c r="E13" s="124" t="inlineStr">
        <is>
          <t>Ouro/Boss</t>
        </is>
      </c>
      <c r="F13" s="124" t="inlineStr">
        <is>
          <t>Preco Item Comum</t>
        </is>
      </c>
      <c r="G13" s="124" t="inlineStr">
        <is>
          <t>Preco Item Raro</t>
        </is>
      </c>
      <c r="H13" s="124" t="inlineStr">
        <is>
          <t>Preco Item Lendario</t>
        </is>
      </c>
      <c r="I13" s="124" t="inlineStr">
        <is>
          <t>Sessoes p/ Pagar Comum</t>
        </is>
      </c>
    </row>
    <row r="14" ht="15" customHeight="1" s="116">
      <c r="A14" s="128" t="inlineStr">
        <is>
          <t>Sucata Enferrujada</t>
        </is>
      </c>
      <c r="B14" s="135">
        <f>Tiers!E9</f>
        <v/>
      </c>
      <c r="C14" s="135">
        <f>ROUND(INDEX('Curva Mestra'!$F$20:$F$94,MATCH(B14,'Curva Mestra'!$A$20:$A$94,0))*$B$5,0)</f>
        <v/>
      </c>
      <c r="D14" s="128">
        <f>ROUND(C14*$B$6,0)</f>
        <v/>
      </c>
      <c r="E14" s="128">
        <f>ROUND(C14*$B$7,0)</f>
        <v/>
      </c>
      <c r="F14" s="135">
        <f>ROUND((Tiers!G9^$B$8)*$B$9,0)</f>
        <v/>
      </c>
      <c r="G14" s="135">
        <f>ROUND((Tiers!H9^$B$8)*$B$9,0)</f>
        <v/>
      </c>
      <c r="H14" s="135">
        <f>ROUND((Tiers!I9^$B$8)*$B$9,0)</f>
        <v/>
      </c>
      <c r="I14" s="128">
        <f>ROUND(F14/(C14*$B$10),1)</f>
        <v/>
      </c>
    </row>
    <row r="15" ht="15" customHeight="1" s="116">
      <c r="A15" s="128" t="inlineStr">
        <is>
          <t>Bronze</t>
        </is>
      </c>
      <c r="B15" s="135">
        <f>Tiers!E10</f>
        <v/>
      </c>
      <c r="C15" s="135">
        <f>ROUND(INDEX('Curva Mestra'!$F$20:$F$94,MATCH(B15,'Curva Mestra'!$A$20:$A$94,0))*$B$5,0)</f>
        <v/>
      </c>
      <c r="D15" s="128">
        <f>ROUND(C15*$B$6,0)</f>
        <v/>
      </c>
      <c r="E15" s="128">
        <f>ROUND(C15*$B$7,0)</f>
        <v/>
      </c>
      <c r="F15" s="135">
        <f>ROUND((Tiers!G10^$B$8)*$B$9,0)</f>
        <v/>
      </c>
      <c r="G15" s="135">
        <f>ROUND((Tiers!H10^$B$8)*$B$9,0)</f>
        <v/>
      </c>
      <c r="H15" s="135">
        <f>ROUND((Tiers!I10^$B$8)*$B$9,0)</f>
        <v/>
      </c>
      <c r="I15" s="128">
        <f>ROUND(F15/(C15*$B$10),1)</f>
        <v/>
      </c>
    </row>
    <row r="16" ht="15" customHeight="1" s="116">
      <c r="A16" s="128" t="inlineStr">
        <is>
          <t>Ferro</t>
        </is>
      </c>
      <c r="B16" s="135">
        <f>Tiers!E11</f>
        <v/>
      </c>
      <c r="C16" s="135">
        <f>ROUND(INDEX('Curva Mestra'!$F$20:$F$94,MATCH(B16,'Curva Mestra'!$A$20:$A$94,0))*$B$5,0)</f>
        <v/>
      </c>
      <c r="D16" s="128">
        <f>ROUND(C16*$B$6,0)</f>
        <v/>
      </c>
      <c r="E16" s="128">
        <f>ROUND(C16*$B$7,0)</f>
        <v/>
      </c>
      <c r="F16" s="135">
        <f>ROUND((Tiers!G11^$B$8)*$B$9,0)</f>
        <v/>
      </c>
      <c r="G16" s="135">
        <f>ROUND((Tiers!H11^$B$8)*$B$9,0)</f>
        <v/>
      </c>
      <c r="H16" s="135">
        <f>ROUND((Tiers!I11^$B$8)*$B$9,0)</f>
        <v/>
      </c>
      <c r="I16" s="128">
        <f>ROUND(F16/(C16*$B$10),1)</f>
        <v/>
      </c>
    </row>
    <row r="17" ht="15" customHeight="1" s="116">
      <c r="A17" s="128" t="inlineStr">
        <is>
          <t>Prata</t>
        </is>
      </c>
      <c r="B17" s="135">
        <f>Tiers!E12</f>
        <v/>
      </c>
      <c r="C17" s="135">
        <f>ROUND(INDEX('Curva Mestra'!$F$20:$F$94,MATCH(B17,'Curva Mestra'!$A$20:$A$94,0))*$B$5,0)</f>
        <v/>
      </c>
      <c r="D17" s="128">
        <f>ROUND(C17*$B$6,0)</f>
        <v/>
      </c>
      <c r="E17" s="128">
        <f>ROUND(C17*$B$7,0)</f>
        <v/>
      </c>
      <c r="F17" s="135">
        <f>ROUND((Tiers!G12^$B$8)*$B$9,0)</f>
        <v/>
      </c>
      <c r="G17" s="135">
        <f>ROUND((Tiers!H12^$B$8)*$B$9,0)</f>
        <v/>
      </c>
      <c r="H17" s="135">
        <f>ROUND((Tiers!I12^$B$8)*$B$9,0)</f>
        <v/>
      </c>
      <c r="I17" s="128">
        <f>ROUND(F17/(C17*$B$10),1)</f>
        <v/>
      </c>
    </row>
    <row r="18" ht="15" customHeight="1" s="116">
      <c r="A18" s="128" t="inlineStr">
        <is>
          <t>Aco Elfico</t>
        </is>
      </c>
      <c r="B18" s="135">
        <f>Tiers!E13</f>
        <v/>
      </c>
      <c r="C18" s="135">
        <f>ROUND(INDEX('Curva Mestra'!$F$20:$F$94,MATCH(B18,'Curva Mestra'!$A$20:$A$94,0))*$B$5,0)</f>
        <v/>
      </c>
      <c r="D18" s="128">
        <f>ROUND(C18*$B$6,0)</f>
        <v/>
      </c>
      <c r="E18" s="128">
        <f>ROUND(C18*$B$7,0)</f>
        <v/>
      </c>
      <c r="F18" s="135">
        <f>ROUND((Tiers!G13^$B$8)*$B$9,0)</f>
        <v/>
      </c>
      <c r="G18" s="135">
        <f>ROUND((Tiers!H13^$B$8)*$B$9,0)</f>
        <v/>
      </c>
      <c r="H18" s="135">
        <f>ROUND((Tiers!I13^$B$8)*$B$9,0)</f>
        <v/>
      </c>
      <c r="I18" s="128">
        <f>ROUND(F18/(C18*$B$10),1)</f>
        <v/>
      </c>
    </row>
    <row r="19" ht="15" customHeight="1" s="116">
      <c r="A19" s="128" t="inlineStr">
        <is>
          <t>Mecanismo Anao</t>
        </is>
      </c>
      <c r="B19" s="135">
        <f>Tiers!E14</f>
        <v/>
      </c>
      <c r="C19" s="135">
        <f>ROUND(INDEX('Curva Mestra'!$F$20:$F$94,MATCH(B19,'Curva Mestra'!$A$20:$A$94,0))*$B$5,0)</f>
        <v/>
      </c>
      <c r="D19" s="128">
        <f>ROUND(C19*$B$6,0)</f>
        <v/>
      </c>
      <c r="E19" s="128">
        <f>ROUND(C19*$B$7,0)</f>
        <v/>
      </c>
      <c r="F19" s="135">
        <f>ROUND((Tiers!G14^$B$8)*$B$9,0)</f>
        <v/>
      </c>
      <c r="G19" s="135">
        <f>ROUND((Tiers!H14^$B$8)*$B$9,0)</f>
        <v/>
      </c>
      <c r="H19" s="135">
        <f>ROUND((Tiers!I14^$B$8)*$B$9,0)</f>
        <v/>
      </c>
      <c r="I19" s="128">
        <f>ROUND(F19/(C19*$B$10),1)</f>
        <v/>
      </c>
    </row>
    <row r="20" ht="15" customHeight="1" s="116">
      <c r="A20" s="128" t="inlineStr">
        <is>
          <t>Vidro Vulcanico</t>
        </is>
      </c>
      <c r="B20" s="135">
        <f>Tiers!E15</f>
        <v/>
      </c>
      <c r="C20" s="135">
        <f>ROUND(INDEX('Curva Mestra'!$F$20:$F$94,MATCH(B20,'Curva Mestra'!$A$20:$A$94,0))*$B$5,0)</f>
        <v/>
      </c>
      <c r="D20" s="128">
        <f>ROUND(C20*$B$6,0)</f>
        <v/>
      </c>
      <c r="E20" s="128">
        <f>ROUND(C20*$B$7,0)</f>
        <v/>
      </c>
      <c r="F20" s="135">
        <f>ROUND((Tiers!G15^$B$8)*$B$9,0)</f>
        <v/>
      </c>
      <c r="G20" s="135">
        <f>ROUND((Tiers!H15^$B$8)*$B$9,0)</f>
        <v/>
      </c>
      <c r="H20" s="135">
        <f>ROUND((Tiers!I15^$B$8)*$B$9,0)</f>
        <v/>
      </c>
      <c r="I20" s="128">
        <f>ROUND(F20/(C20*$B$10),1)</f>
        <v/>
      </c>
    </row>
    <row r="21" ht="15" customHeight="1" s="116">
      <c r="A21" s="128" t="inlineStr">
        <is>
          <t>Ferro Orquico</t>
        </is>
      </c>
      <c r="B21" s="135">
        <f>Tiers!E16</f>
        <v/>
      </c>
      <c r="C21" s="135">
        <f>ROUND(INDEX('Curva Mestra'!$F$20:$F$94,MATCH(B21,'Curva Mestra'!$A$20:$A$94,0))*$B$5,0)</f>
        <v/>
      </c>
      <c r="D21" s="128">
        <f>ROUND(C21*$B$6,0)</f>
        <v/>
      </c>
      <c r="E21" s="128">
        <f>ROUND(C21*$B$7,0)</f>
        <v/>
      </c>
      <c r="F21" s="135">
        <f>ROUND((Tiers!G16^$B$8)*$B$9,0)</f>
        <v/>
      </c>
      <c r="G21" s="135">
        <f>ROUND((Tiers!H16^$B$8)*$B$9,0)</f>
        <v/>
      </c>
      <c r="H21" s="135">
        <f>ROUND((Tiers!I16^$B$8)*$B$9,0)</f>
        <v/>
      </c>
      <c r="I21" s="128">
        <f>ROUND(F21/(C21*$B$10),1)</f>
        <v/>
      </c>
    </row>
    <row r="22" ht="15" customHeight="1" s="116">
      <c r="A22" s="128" t="inlineStr">
        <is>
          <t>Mithril</t>
        </is>
      </c>
      <c r="B22" s="135">
        <f>Tiers!E17</f>
        <v/>
      </c>
      <c r="C22" s="135">
        <f>ROUND(INDEX('Curva Mestra'!$F$20:$F$94,MATCH(B22,'Curva Mestra'!$A$20:$A$94,0))*$B$5,0)</f>
        <v/>
      </c>
      <c r="D22" s="128">
        <f>ROUND(C22*$B$6,0)</f>
        <v/>
      </c>
      <c r="E22" s="128">
        <f>ROUND(C22*$B$7,0)</f>
        <v/>
      </c>
      <c r="F22" s="135">
        <f>ROUND((Tiers!G17^$B$8)*$B$9,0)</f>
        <v/>
      </c>
      <c r="G22" s="135">
        <f>ROUND((Tiers!H17^$B$8)*$B$9,0)</f>
        <v/>
      </c>
      <c r="H22" s="135">
        <f>ROUND((Tiers!I17^$B$8)*$B$9,0)</f>
        <v/>
      </c>
      <c r="I22" s="128">
        <f>ROUND(F22/(C22*$B$10),1)</f>
        <v/>
      </c>
    </row>
    <row r="23" ht="15" customHeight="1" s="116">
      <c r="A23" s="128" t="inlineStr">
        <is>
          <t>Ebano</t>
        </is>
      </c>
      <c r="B23" s="135">
        <f>Tiers!E18</f>
        <v/>
      </c>
      <c r="C23" s="135">
        <f>ROUND(INDEX('Curva Mestra'!$F$20:$F$94,MATCH(B23,'Curva Mestra'!$A$20:$A$94,0))*$B$5,0)</f>
        <v/>
      </c>
      <c r="D23" s="128">
        <f>ROUND(C23*$B$6,0)</f>
        <v/>
      </c>
      <c r="E23" s="128">
        <f>ROUND(C23*$B$7,0)</f>
        <v/>
      </c>
      <c r="F23" s="135">
        <f>ROUND((Tiers!G18^$B$8)*$B$9,0)</f>
        <v/>
      </c>
      <c r="G23" s="135">
        <f>ROUND((Tiers!H18^$B$8)*$B$9,0)</f>
        <v/>
      </c>
      <c r="H23" s="135">
        <f>ROUND((Tiers!I18^$B$8)*$B$9,0)</f>
        <v/>
      </c>
      <c r="I23" s="128">
        <f>ROUND(F23/(C23*$B$10),1)</f>
        <v/>
      </c>
    </row>
    <row r="24" ht="15" customHeight="1" s="116">
      <c r="A24" s="128" t="inlineStr">
        <is>
          <t>Adamantina</t>
        </is>
      </c>
      <c r="B24" s="135">
        <f>Tiers!E19</f>
        <v/>
      </c>
      <c r="C24" s="135">
        <f>ROUND(INDEX('Curva Mestra'!$F$20:$F$94,MATCH(B24,'Curva Mestra'!$A$20:$A$94,0))*$B$5,0)</f>
        <v/>
      </c>
      <c r="D24" s="128">
        <f>ROUND(C24*$B$6,0)</f>
        <v/>
      </c>
      <c r="E24" s="128">
        <f>ROUND(C24*$B$7,0)</f>
        <v/>
      </c>
      <c r="F24" s="135">
        <f>ROUND((Tiers!G19^$B$8)*$B$9,0)</f>
        <v/>
      </c>
      <c r="G24" s="135">
        <f>ROUND((Tiers!H19^$B$8)*$B$9,0)</f>
        <v/>
      </c>
      <c r="H24" s="135">
        <f>ROUND((Tiers!I19^$B$8)*$B$9,0)</f>
        <v/>
      </c>
      <c r="I24" s="128">
        <f>ROUND(F24/(C24*$B$10),1)</f>
        <v/>
      </c>
    </row>
    <row r="25" ht="15" customHeight="1" s="116">
      <c r="A25" s="128" t="inlineStr">
        <is>
          <t>Osso de Dragao</t>
        </is>
      </c>
      <c r="B25" s="135">
        <f>Tiers!E20</f>
        <v/>
      </c>
      <c r="C25" s="135">
        <f>ROUND(INDEX('Curva Mestra'!$F$20:$F$94,MATCH(B25,'Curva Mestra'!$A$20:$A$94,0))*$B$5,0)</f>
        <v/>
      </c>
      <c r="D25" s="128">
        <f>ROUND(C25*$B$6,0)</f>
        <v/>
      </c>
      <c r="E25" s="128">
        <f>ROUND(C25*$B$7,0)</f>
        <v/>
      </c>
      <c r="F25" s="135">
        <f>ROUND((Tiers!G20^$B$8)*$B$9,0)</f>
        <v/>
      </c>
      <c r="G25" s="135">
        <f>ROUND((Tiers!H20^$B$8)*$B$9,0)</f>
        <v/>
      </c>
      <c r="H25" s="135">
        <f>ROUND((Tiers!I20^$B$8)*$B$9,0)</f>
        <v/>
      </c>
      <c r="I25" s="128">
        <f>ROUND(F25/(C25*$B$10),1)</f>
        <v/>
      </c>
    </row>
    <row r="26" ht="15" customHeight="1" s="116">
      <c r="A26" s="128" t="inlineStr">
        <is>
          <t>Pacto Daedrico</t>
        </is>
      </c>
      <c r="B26" s="135">
        <f>Tiers!E21</f>
        <v/>
      </c>
      <c r="C26" s="135">
        <f>ROUND(INDEX('Curva Mestra'!$F$20:$F$94,MATCH(B26,'Curva Mestra'!$A$20:$A$94,0))*$B$5,0)</f>
        <v/>
      </c>
      <c r="D26" s="128">
        <f>ROUND(C26*$B$6,0)</f>
        <v/>
      </c>
      <c r="E26" s="128">
        <f>ROUND(C26*$B$7,0)</f>
        <v/>
      </c>
      <c r="F26" s="135">
        <f>ROUND((Tiers!G21^$B$8)*$B$9,0)</f>
        <v/>
      </c>
      <c r="G26" s="135">
        <f>ROUND((Tiers!H21^$B$8)*$B$9,0)</f>
        <v/>
      </c>
      <c r="H26" s="135">
        <f>ROUND((Tiers!I21^$B$8)*$B$9,0)</f>
        <v/>
      </c>
      <c r="I26" s="128">
        <f>ROUND(F26/(C26*$B$10),1)</f>
        <v/>
      </c>
    </row>
    <row r="27" ht="15" customHeight="1" s="116">
      <c r="A27" s="128" t="inlineStr">
        <is>
          <t>Estelar / Cosmico</t>
        </is>
      </c>
      <c r="B27" s="135">
        <f>Tiers!E22</f>
        <v/>
      </c>
      <c r="C27" s="135">
        <f>ROUND(INDEX('Curva Mestra'!$F$20:$F$94,MATCH(B27,'Curva Mestra'!$A$20:$A$94,0))*$B$5,0)</f>
        <v/>
      </c>
      <c r="D27" s="128">
        <f>ROUND(C27*$B$6,0)</f>
        <v/>
      </c>
      <c r="E27" s="128">
        <f>ROUND(C27*$B$7,0)</f>
        <v/>
      </c>
      <c r="F27" s="135">
        <f>ROUND((Tiers!G22^$B$8)*$B$9,0)</f>
        <v/>
      </c>
      <c r="G27" s="135">
        <f>ROUND((Tiers!H22^$B$8)*$B$9,0)</f>
        <v/>
      </c>
      <c r="H27" s="135">
        <f>ROUND((Tiers!I22^$B$8)*$B$9,0)</f>
        <v/>
      </c>
      <c r="I27" s="128">
        <f>ROUND(F27/(C27*$B$10),1)</f>
        <v/>
      </c>
    </row>
    <row r="30" ht="15" customHeight="1" s="116">
      <c r="A30" s="120" t="inlineStr">
        <is>
          <t>Preço de Compra e Venda (fórmula oficial)</t>
        </is>
      </c>
    </row>
    <row r="31" ht="15" customHeight="1" s="116">
      <c r="A31" s="162" t="inlineStr">
        <is>
          <t>Preço de Compra = Preço de Venda (Armas!L/M ou Armaduras!L/M) x 1,5</t>
        </is>
      </c>
    </row>
    <row r="32" ht="15" customHeight="1" s="116">
      <c r="A32" s="162" t="inlineStr">
        <is>
          <t>Preço de Venda ao Mercador = Preço de Compra x 40%</t>
        </is>
      </c>
    </row>
    <row r="33" ht="15" customHeight="1" s="116">
      <c r="A33" s="162" t="inlineStr">
        <is>
          <t>Resultado: 1 arma Comum do seu tier atual custa ~1 sessão inteira de grind (8 monstros comuns), em todos os 14 tiers.</t>
        </is>
      </c>
    </row>
    <row r="34" ht="15" customHeight="1" s="116">
      <c r="A34" s="162" t="inlineStr">
        <is>
          <t>Lendário nunca é vendido em loja — só via loot ou recompensa de missão (regra já existente).</t>
        </is>
      </c>
    </row>
    <row r="35" ht="15" customHeight="1" s="116">
      <c r="A35" s="162" t="inlineStr">
        <is>
          <t>- Impostos ou pedagios em certas regioes (dá sabor de mundo vivo)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M248"/>
  <sheetViews>
    <sheetView showFormulas="0" showGridLines="0" showRowColHeaders="1" showZeros="1" rightToLeft="0" tabSelected="0" showOutlineSymbols="1" defaultGridColor="1" view="normal" topLeftCell="A1" colorId="64" zoomScale="100" zoomScaleNormal="100" zoomScalePageLayoutView="100" workbookViewId="0">
      <pane xSplit="0" ySplit="15" topLeftCell="A1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15" min="1" max="1"/>
    <col width="22" customWidth="1" style="115" min="2" max="2"/>
    <col width="14" customWidth="1" style="115" min="3" max="3"/>
    <col width="42" customWidth="1" style="115" min="4" max="4"/>
    <col width="15" customWidth="1" style="115" min="5" max="6"/>
    <col width="26" customWidth="1" style="115" min="7" max="7"/>
  </cols>
  <sheetData>
    <row r="1" ht="17.25" customHeight="1" s="116">
      <c r="A1" s="117" t="inlineStr">
        <is>
          <t>Missoes</t>
        </is>
      </c>
    </row>
    <row r="2" ht="15" customHeight="1" s="116">
      <c r="A2" s="123" t="inlineStr">
        <is>
          <t>Uma missao principal por tier, recompensas calculadas a partir de Economia e Curva Mestra.</t>
        </is>
      </c>
    </row>
    <row r="4" ht="15" customHeight="1" s="116">
      <c r="A4" s="120" t="inlineStr">
        <is>
          <t>Tipos de missao (framework):</t>
        </is>
      </c>
    </row>
    <row r="5" ht="15" customHeight="1" s="116">
      <c r="A5" s="162" t="inlineStr">
        <is>
          <t>- Principal de Tier: fecha o tier e libera o proximo (as 14 abaixo). Uma por tier.</t>
        </is>
      </c>
    </row>
    <row r="6" ht="15" customHeight="1" s="116">
      <c r="A6" s="162" t="inlineStr">
        <is>
          <t>- Secundaria de Combate: matar X monstros comuns/elite. Recompensa = 25% da Principal do mesmo tier.</t>
        </is>
      </c>
    </row>
    <row r="7" ht="15" customHeight="1" s="116">
      <c r="A7" s="162" t="inlineStr">
        <is>
          <t>- Secundaria de Exploracao/Coleta: achar item/local. Recompensa = 20% da Principal do mesmo tier.</t>
        </is>
      </c>
    </row>
    <row r="8" ht="15" customHeight="1" s="116">
      <c r="A8" s="162" t="inlineStr">
        <is>
          <t>- Secundaria Social/NPC: negociar, escoltar, investigar. Recompensa = 15% da Principal + reputacao (nao numerico).</t>
        </is>
      </c>
    </row>
    <row r="10" ht="15" customHeight="1" s="116">
      <c r="A10" s="124" t="inlineStr">
        <is>
          <t>Parametro</t>
        </is>
      </c>
      <c r="B10" s="124" t="inlineStr">
        <is>
          <t>Valor</t>
        </is>
      </c>
      <c r="C10" s="124" t="inlineStr">
        <is>
          <t>O que controla</t>
        </is>
      </c>
    </row>
    <row r="11" ht="15" customHeight="1" s="116">
      <c r="A11" s="115" t="inlineStr">
        <is>
          <t>Mult_Ouro_Missao_Principal</t>
        </is>
      </c>
      <c r="B11" s="126" t="n">
        <v>3</v>
      </c>
      <c r="C11" s="115" t="inlineStr">
        <is>
          <t>Recompensa de ouro da missao principal = Ouro/Boss do tier x este valor</t>
        </is>
      </c>
    </row>
    <row r="12" ht="15" customHeight="1" s="116">
      <c r="A12" s="115" t="inlineStr">
        <is>
          <t>Mult_XP_Missao_Principal</t>
        </is>
      </c>
      <c r="B12" s="126" t="n">
        <v>2</v>
      </c>
      <c r="C12" s="115" t="inlineStr">
        <is>
          <t>Recompensa de XP da missao principal = XP do nivel de ref x fator Boss x este valor</t>
        </is>
      </c>
    </row>
    <row r="15" ht="15" customHeight="1" s="116">
      <c r="A15" s="124" t="inlineStr">
        <is>
          <t>Tier</t>
        </is>
      </c>
      <c r="B15" s="124" t="inlineStr">
        <is>
          <t>Nome da Missao</t>
        </is>
      </c>
      <c r="C15" s="124" t="inlineStr">
        <is>
          <t>Nivel Sugerido</t>
        </is>
      </c>
      <c r="D15" s="124" t="inlineStr">
        <is>
          <t>Objetivo</t>
        </is>
      </c>
      <c r="E15" s="124" t="inlineStr">
        <is>
          <t>Recompensa Ouro</t>
        </is>
      </c>
      <c r="F15" s="124" t="inlineStr">
        <is>
          <t>Recompensa XP</t>
        </is>
      </c>
      <c r="G15" s="124" t="inlineStr">
        <is>
          <t>Recompensa Item</t>
        </is>
      </c>
    </row>
    <row r="16" ht="27.75" customHeight="1" s="116">
      <c r="A16" s="247" t="inlineStr">
        <is>
          <t>Sucata Enferrujada</t>
        </is>
      </c>
      <c r="B16" s="248" t="inlineStr">
        <is>
          <t>A Estrada Insegura</t>
        </is>
      </c>
      <c r="C16" s="249">
        <f>Tiers!E9</f>
        <v/>
      </c>
      <c r="D16" s="250" t="inlineStr">
        <is>
          <t>Limpe a estrada de bandidos e javalis que assombram os arredores da vila inicial.</t>
        </is>
      </c>
      <c r="E16" s="249">
        <f>ROUND(Economia!E14*$B$11,0)</f>
        <v/>
      </c>
      <c r="F16" s="249">
        <f>ROUND(INDEX('Curva Mestra'!$J$20:$J$94,MATCH(C16,'Curva Mestra'!$A$20:$A$94,0))*Bestiario!$D$7*$B$12,0)</f>
        <v/>
      </c>
      <c r="G16" s="251">
        <f>"1 item Raro ou Lendario do tier "&amp;A16</f>
        <v/>
      </c>
      <c r="H16" s="242" t="n"/>
      <c r="I16" s="242" t="n"/>
      <c r="J16" s="242" t="n"/>
      <c r="K16" s="242" t="n"/>
      <c r="L16" s="242" t="n"/>
      <c r="M16" s="242" t="n"/>
    </row>
    <row r="17" ht="27.75" customHeight="1" s="116">
      <c r="A17" s="247" t="inlineStr">
        <is>
          <t>Bronze</t>
        </is>
      </c>
      <c r="B17" s="248" t="inlineStr">
        <is>
          <t>A Mina Sufocada</t>
        </is>
      </c>
      <c r="C17" s="249">
        <f>Tiers!E10</f>
        <v/>
      </c>
      <c r="D17" s="250" t="inlineStr">
        <is>
          <t>Ajude os mineradores a reabrir a mina de bronze, infestada por vermes sulfurosos e pela colônia de aranhas — e descubra por que o Barão Grimm nunca chamou ajuda antes.</t>
        </is>
      </c>
      <c r="E17" s="249">
        <f>ROUND(Economia!E15*$B$11,0)</f>
        <v/>
      </c>
      <c r="F17" s="249">
        <f>ROUND(INDEX('Curva Mestra'!$J$20:$J$94,MATCH(C17,'Curva Mestra'!$A$20:$A$94,0))*Bestiario!$D$7*$B$12,0)</f>
        <v/>
      </c>
      <c r="G17" s="251">
        <f>"1 item Raro ou Lendario do tier "&amp;A17</f>
        <v/>
      </c>
      <c r="H17" s="242" t="n"/>
      <c r="I17" s="242" t="n"/>
      <c r="J17" s="242" t="n"/>
      <c r="K17" s="242" t="n"/>
      <c r="L17" s="242" t="n"/>
      <c r="M17" s="242" t="n"/>
    </row>
    <row r="18" ht="27.75" customHeight="1" s="116">
      <c r="A18" s="247" t="inlineStr">
        <is>
          <t>Ferro</t>
        </is>
      </c>
      <c r="B18" s="248" t="inlineStr">
        <is>
          <t>O Golem da Forja</t>
        </is>
      </c>
      <c r="C18" s="249">
        <f>Tiers!E11</f>
        <v/>
      </c>
      <c r="D18" s="250" t="inlineStr">
        <is>
          <t>Repare a forja da vila derrotando o Golem de Sucata que a guarda.</t>
        </is>
      </c>
      <c r="E18" s="249">
        <f>ROUND(Economia!E16*$B$11,0)</f>
        <v/>
      </c>
      <c r="F18" s="249">
        <f>ROUND(INDEX('Curva Mestra'!$J$20:$J$94,MATCH(C18,'Curva Mestra'!$A$20:$A$94,0))*Bestiario!$D$7*$B$12,0)</f>
        <v/>
      </c>
      <c r="G18" s="251">
        <f>"1 item Raro ou Lendario do tier "&amp;A18</f>
        <v/>
      </c>
      <c r="H18" s="242" t="n"/>
      <c r="I18" s="242" t="n"/>
      <c r="J18" s="242" t="n"/>
      <c r="K18" s="242" t="n"/>
      <c r="L18" s="242" t="n"/>
      <c r="M18" s="242" t="n"/>
    </row>
    <row r="19" ht="27.75" customHeight="1" s="116">
      <c r="A19" s="247" t="inlineStr">
        <is>
          <t>Prata</t>
        </is>
      </c>
      <c r="B19" s="248" t="inlineStr">
        <is>
          <t>O Expurgo da Cripta</t>
        </is>
      </c>
      <c r="C19" s="249">
        <f>Tiers!E12</f>
        <v/>
      </c>
      <c r="D19" s="250" t="inlineStr">
        <is>
          <t>Purifique as criptas tomadas pela Fraternidade dos Sem-Voz, encarando O Ceifador do Silêncio no fim.</t>
        </is>
      </c>
      <c r="E19" s="249">
        <f>ROUND(Economia!E17*$B$11,0)</f>
        <v/>
      </c>
      <c r="F19" s="249">
        <f>ROUND(INDEX('Curva Mestra'!$J$20:$J$94,MATCH(C19,'Curva Mestra'!$A$20:$A$94,0))*Bestiario!$D$7*$B$12,0)</f>
        <v/>
      </c>
      <c r="G19" s="251">
        <f>"1 item Raro ou Lendario do tier "&amp;A19</f>
        <v/>
      </c>
      <c r="H19" s="242" t="n"/>
      <c r="I19" s="242" t="n"/>
      <c r="J19" s="242" t="n"/>
      <c r="K19" s="242" t="n"/>
      <c r="L19" s="242" t="n"/>
      <c r="M19" s="242" t="n"/>
    </row>
    <row r="20" ht="27.75" customHeight="1" s="116">
      <c r="A20" s="247" t="inlineStr">
        <is>
          <t>Aco Elfico</t>
        </is>
      </c>
      <c r="B20" s="248" t="inlineStr">
        <is>
          <t>Ecos da Ultima Elfa</t>
        </is>
      </c>
      <c r="C20" s="249">
        <f>Tiers!E13</f>
        <v/>
      </c>
      <c r="D20" s="250" t="inlineStr">
        <is>
          <t>Negocie ou invada as ruínas élficas guardadas pelo Espírito da Última Elfa, enquanto a Ordem do Silêncio Eterno se move nas sombras.</t>
        </is>
      </c>
      <c r="E20" s="249">
        <f>ROUND(Economia!E18*$B$11,0)</f>
        <v/>
      </c>
      <c r="F20" s="249">
        <f>ROUND(INDEX('Curva Mestra'!$J$20:$J$94,MATCH(C20,'Curva Mestra'!$A$20:$A$94,0))*Bestiario!$D$7*$B$12,0)</f>
        <v/>
      </c>
      <c r="G20" s="251">
        <f>"1 item Raro ou Lendario do tier "&amp;A20</f>
        <v/>
      </c>
      <c r="H20" s="242" t="n"/>
      <c r="I20" s="242" t="n"/>
      <c r="J20" s="242" t="n"/>
      <c r="K20" s="242" t="n"/>
      <c r="L20" s="242" t="n"/>
      <c r="M20" s="242" t="n"/>
    </row>
    <row r="21" ht="27.75" customHeight="1" s="116">
      <c r="A21" s="247" t="inlineStr">
        <is>
          <t>Mecanismo Anao</t>
        </is>
      </c>
      <c r="B21" s="248" t="inlineStr">
        <is>
          <t>O Nucleo Silencioso</t>
        </is>
      </c>
      <c r="C21" s="249">
        <f>Tiers!E14</f>
        <v/>
      </c>
      <c r="D21" s="250" t="inlineStr">
        <is>
          <t>Desative o Núcleo Mecânico Ancestral antes que a Câmara Mecânica Anã desmorone sobre o Clã Martelo de Vapor — fecha o Ato II.</t>
        </is>
      </c>
      <c r="E21" s="249">
        <f>ROUND(Economia!E19*$B$11,0)</f>
        <v/>
      </c>
      <c r="F21" s="249">
        <f>ROUND(INDEX('Curva Mestra'!$J$20:$J$94,MATCH(C21,'Curva Mestra'!$A$20:$A$94,0))*Bestiario!$D$7*$B$12,0)</f>
        <v/>
      </c>
      <c r="G21" s="251">
        <f>"1 item Raro ou Lendario do tier "&amp;A21</f>
        <v/>
      </c>
      <c r="H21" s="242" t="n"/>
      <c r="I21" s="242" t="n"/>
      <c r="J21" s="242" t="n"/>
      <c r="K21" s="242" t="n"/>
      <c r="L21" s="242" t="n"/>
      <c r="M21" s="242" t="n"/>
    </row>
    <row r="22" ht="27.75" customHeight="1" s="116">
      <c r="A22" s="247" t="inlineStr">
        <is>
          <t>Vidro Vulcanico</t>
        </is>
      </c>
      <c r="B22" s="248" t="inlineStr">
        <is>
          <t>O Guardiao da Fenda Ativa</t>
        </is>
      </c>
      <c r="C22" s="249">
        <f>Tiers!E15</f>
        <v/>
      </c>
      <c r="D22" s="250" t="inlineStr">
        <is>
          <t>Contenha o Guardião da Fenda Ativa enquanto os Zelotes da Mão Escarlate se preparam pra "coroar" o Rei sem corpo.</t>
        </is>
      </c>
      <c r="E22" s="249">
        <f>ROUND(Economia!E20*$B$11,0)</f>
        <v/>
      </c>
      <c r="F22" s="249">
        <f>ROUND(INDEX('Curva Mestra'!$J$20:$J$94,MATCH(C22,'Curva Mestra'!$A$20:$A$94,0))*Bestiario!$D$7*$B$12,0)</f>
        <v/>
      </c>
      <c r="G22" s="251">
        <f>"1 item Raro ou Lendario do tier "&amp;A22</f>
        <v/>
      </c>
      <c r="H22" s="242" t="n"/>
      <c r="I22" s="242" t="n"/>
      <c r="J22" s="242" t="n"/>
      <c r="K22" s="242" t="n"/>
      <c r="L22" s="242" t="n"/>
      <c r="M22" s="242" t="n"/>
    </row>
    <row r="23" ht="27.75" customHeight="1" s="116">
      <c r="A23" s="247" t="inlineStr">
        <is>
          <t>Ferro Orquico</t>
        </is>
      </c>
      <c r="B23" s="248" t="inlineStr">
        <is>
          <t>A Guerra do Bando Orc</t>
        </is>
      </c>
      <c r="C23" s="249">
        <f>Tiers!E16</f>
        <v/>
      </c>
      <c r="D23" s="250" t="inlineStr">
        <is>
          <t>Ajude Malkor, o orc renegado, contra o Chefe do Bando que aceitou o sangue da Mão Carmesim pra ganhar força artificial.</t>
        </is>
      </c>
      <c r="E23" s="249">
        <f>ROUND(Economia!E21*$B$11,0)</f>
        <v/>
      </c>
      <c r="F23" s="249">
        <f>ROUND(INDEX('Curva Mestra'!$J$20:$J$94,MATCH(C23,'Curva Mestra'!$A$20:$A$94,0))*Bestiario!$D$7*$B$12,0)</f>
        <v/>
      </c>
      <c r="G23" s="251">
        <f>"1 item Raro ou Lendario do tier "&amp;A23</f>
        <v/>
      </c>
      <c r="H23" s="242" t="n"/>
      <c r="I23" s="242" t="n"/>
      <c r="J23" s="242" t="n"/>
      <c r="K23" s="242" t="n"/>
      <c r="L23" s="242" t="n"/>
      <c r="M23" s="242" t="n"/>
    </row>
    <row r="24" ht="27.75" customHeight="1" s="116">
      <c r="A24" s="247" t="inlineStr">
        <is>
          <t>Mithril</t>
        </is>
      </c>
      <c r="B24" s="248" t="inlineStr">
        <is>
          <t>Nas Profundezas de Mithril</t>
        </is>
      </c>
      <c r="C24" s="249">
        <f>Tiers!E17</f>
        <v/>
      </c>
      <c r="D24" s="250" t="inlineStr">
        <is>
          <t>Explore as Cavernas Profundas de Mithril pro Almirante Cego Malakor, enfrentando O Devorador de Mithril no fim — fecha o Ato III.</t>
        </is>
      </c>
      <c r="E24" s="249">
        <f>ROUND(Economia!E22*$B$11,0)</f>
        <v/>
      </c>
      <c r="F24" s="249">
        <f>ROUND(INDEX('Curva Mestra'!$J$20:$J$94,MATCH(C24,'Curva Mestra'!$A$20:$A$94,0))*Bestiario!$D$7*$B$12,0)</f>
        <v/>
      </c>
      <c r="G24" s="251">
        <f>"1 item Raro ou Lendario do tier "&amp;A24</f>
        <v/>
      </c>
      <c r="H24" s="242" t="n"/>
      <c r="I24" s="242" t="n"/>
      <c r="J24" s="242" t="n"/>
      <c r="K24" s="242" t="n"/>
      <c r="L24" s="242" t="n"/>
      <c r="M24" s="242" t="n"/>
    </row>
    <row r="25" ht="27.75" customHeight="1" s="116">
      <c r="A25" s="247" t="inlineStr">
        <is>
          <t>Ebano</t>
        </is>
      </c>
      <c r="B25" s="248" t="inlineStr">
        <is>
          <t>O Guardiao da Fenda Morta</t>
        </is>
      </c>
      <c r="C25" s="249">
        <f>Tiers!E18</f>
        <v/>
      </c>
      <c r="D25" s="250" t="inlineStr">
        <is>
          <t>Enfrente o Guardião da Fenda Morta e as primeiras fusões bem-sucedidas do Culto da Assimilação, que agora opera em força total.</t>
        </is>
      </c>
      <c r="E25" s="249">
        <f>ROUND(Economia!E23*$B$11,0)</f>
        <v/>
      </c>
      <c r="F25" s="249">
        <f>ROUND(INDEX('Curva Mestra'!$J$20:$J$94,MATCH(C25,'Curva Mestra'!$A$20:$A$94,0))*Bestiario!$D$7*$B$12,0)</f>
        <v/>
      </c>
      <c r="G25" s="251">
        <f>"1 item Raro ou Lendario do tier "&amp;A25</f>
        <v/>
      </c>
      <c r="H25" s="242" t="n"/>
      <c r="I25" s="242" t="n"/>
      <c r="J25" s="242" t="n"/>
      <c r="K25" s="242" t="n"/>
      <c r="L25" s="242" t="n"/>
      <c r="M25" s="242" t="n"/>
    </row>
    <row r="26" ht="27.75" customHeight="1" s="116">
      <c r="A26" s="247" t="inlineStr">
        <is>
          <t>Adamantina</t>
        </is>
      </c>
      <c r="B26" s="248" t="inlineStr">
        <is>
          <t>A Queda do Titan</t>
        </is>
      </c>
      <c r="C26" s="249">
        <f>Tiers!E19</f>
        <v/>
      </c>
      <c r="D26" s="250" t="inlineStr">
        <is>
          <t>Ajude o Grão-Mestre Roderick a conter o Titã de Adamantina enquanto a Heresia do Titã Negro se infiltra na própria Ordem.</t>
        </is>
      </c>
      <c r="E26" s="249">
        <f>ROUND(Economia!E24*$B$11,0)</f>
        <v/>
      </c>
      <c r="F26" s="249">
        <f>ROUND(INDEX('Curva Mestra'!$J$20:$J$94,MATCH(C26,'Curva Mestra'!$A$20:$A$94,0))*Bestiario!$D$7*$B$12,0)</f>
        <v/>
      </c>
      <c r="G26" s="251">
        <f>"1 item Raro ou Lendario do tier "&amp;A26</f>
        <v/>
      </c>
      <c r="H26" s="242" t="n"/>
      <c r="I26" s="242" t="n"/>
      <c r="J26" s="242" t="n"/>
      <c r="K26" s="242" t="n"/>
      <c r="L26" s="242" t="n"/>
      <c r="M26" s="242" t="n"/>
    </row>
    <row r="27" ht="27.75" customHeight="1" s="116">
      <c r="A27" s="247" t="inlineStr">
        <is>
          <t>Osso de Dragao</t>
        </is>
      </c>
      <c r="B27" s="248" t="inlineStr">
        <is>
          <t>A Caca ao Dragao Anciao</t>
        </is>
      </c>
      <c r="C27" s="249">
        <f>Tiers!E20</f>
        <v/>
      </c>
      <c r="D27" s="250" t="inlineStr">
        <is>
          <t>Explore os Picos Fumegantes a caça de dracoformos, e descubra por que o Dragão Ancião guarda o Pilar de Ossos sem hostilidade.</t>
        </is>
      </c>
      <c r="E27" s="249">
        <f>ROUND(Economia!E25*$B$11,0)</f>
        <v/>
      </c>
      <c r="F27" s="249">
        <f>ROUND(INDEX('Curva Mestra'!$J$20:$J$94,MATCH(C27,'Curva Mestra'!$A$20:$A$94,0))*Bestiario!$D$7*$B$12,0)</f>
        <v/>
      </c>
      <c r="G27" s="251">
        <f>"1 item Raro ou Lendario do tier "&amp;A27</f>
        <v/>
      </c>
      <c r="H27" s="242" t="n"/>
      <c r="I27" s="242" t="n"/>
      <c r="J27" s="242" t="n"/>
      <c r="K27" s="242" t="n"/>
      <c r="L27" s="242" t="n"/>
      <c r="M27" s="242" t="n"/>
    </row>
    <row r="28" ht="27.75" customHeight="1" s="116">
      <c r="A28" s="247" t="inlineStr">
        <is>
          <t>Pacto Daedrico</t>
        </is>
      </c>
      <c r="B28" s="248" t="inlineStr">
        <is>
          <t>O Ritual Proibido</t>
        </is>
      </c>
      <c r="C28" s="249">
        <f>Tiers!E21</f>
        <v/>
      </c>
      <c r="D28" s="250" t="inlineStr">
        <is>
          <t>Infiltre-se no Círculo Ritualístico Daédrico e destrua o altar central antes que o Arauto complete o pacto — com a ajuda do Penitente dos Dez Dedos.</t>
        </is>
      </c>
      <c r="E28" s="249">
        <f>ROUND(Economia!E26*$B$11,0)</f>
        <v/>
      </c>
      <c r="F28" s="249">
        <f>ROUND(INDEX('Curva Mestra'!$J$20:$J$94,MATCH(C28,'Curva Mestra'!$A$20:$A$94,0))*Bestiario!$D$7*$B$12,0)</f>
        <v/>
      </c>
      <c r="G28" s="251">
        <f>"1 item Raro ou Lendario do tier "&amp;A28</f>
        <v/>
      </c>
      <c r="H28" s="242" t="n"/>
      <c r="I28" s="242" t="n"/>
      <c r="J28" s="242" t="n"/>
      <c r="K28" s="242" t="n"/>
      <c r="L28" s="242" t="n"/>
      <c r="M28" s="242" t="n"/>
    </row>
    <row r="29" ht="27.75" customHeight="1" s="116">
      <c r="A29" s="247" t="inlineStr">
        <is>
          <t>Estelar / Cosmico</t>
        </is>
      </c>
      <c r="B29" s="248" t="inlineStr">
        <is>
          <t>O Ultimo Portal</t>
        </is>
      </c>
      <c r="C29" s="249">
        <f>Tiers!E22</f>
        <v/>
      </c>
      <c r="D29" s="250" t="inlineStr">
        <is>
          <t>Reúna os 5 Fragmentos do Aspecto e atravesse o Portal Estelar pro confronto final contra O Aspecto da Infecção.</t>
        </is>
      </c>
      <c r="E29" s="249">
        <f>ROUND(Economia!E27*$B$11,0)</f>
        <v/>
      </c>
      <c r="F29" s="249">
        <f>ROUND(INDEX('Curva Mestra'!$J$20:$J$94,MATCH(C29,'Curva Mestra'!$A$20:$A$94,0))*Bestiario!$D$7*$B$12,0)</f>
        <v/>
      </c>
      <c r="G29" s="251">
        <f>"1 item Raro ou Lendario do tier "&amp;A29</f>
        <v/>
      </c>
      <c r="H29" s="242" t="n"/>
      <c r="I29" s="242" t="n"/>
      <c r="J29" s="242" t="n"/>
      <c r="K29" s="242" t="n"/>
      <c r="L29" s="242" t="n"/>
      <c r="M29" s="242" t="n"/>
    </row>
    <row r="30">
      <c r="A30" s="242" t="n"/>
      <c r="B30" s="242" t="n"/>
      <c r="C30" s="242" t="n"/>
      <c r="D30" s="242" t="n"/>
      <c r="E30" s="242" t="n"/>
      <c r="F30" s="242" t="n"/>
      <c r="G30" s="242" t="n"/>
      <c r="H30" s="242" t="n"/>
      <c r="I30" s="242" t="n"/>
      <c r="J30" s="242" t="n"/>
      <c r="K30" s="242" t="n"/>
      <c r="L30" s="242" t="n"/>
      <c r="M30" s="242" t="n"/>
    </row>
    <row r="31">
      <c r="A31" s="161" t="inlineStr">
        <is>
          <t>Sucata Enferrujada</t>
        </is>
      </c>
      <c r="B31" s="161" t="inlineStr">
        <is>
          <t>Latidos na Neblina</t>
        </is>
      </c>
      <c r="C31" s="161" t="inlineStr">
        <is>
          <t>Combate (Modesta)</t>
        </is>
      </c>
      <c r="D31" s="161" t="inlineStr">
        <is>
          <t>Matar 3 Cães de Caça Sanguíneo que rondam a vila, a pedido do Irmão Lucian.</t>
        </is>
      </c>
      <c r="E31" s="161" t="inlineStr">
        <is>
          <t>18 Ouro. Só isso — é trabalho de rotina.</t>
        </is>
      </c>
      <c r="F31" s="242" t="n"/>
      <c r="G31" s="242" t="n"/>
      <c r="H31" s="242" t="n"/>
      <c r="I31" s="161" t="inlineStr">
        <is>
          <t>Combate (Grind)</t>
        </is>
      </c>
      <c r="J31" s="161" t="inlineStr">
        <is>
          <t>Comum (Honra 0)</t>
        </is>
      </c>
      <c r="K31" s="161" t="inlineStr">
        <is>
          <t>Capitão Vane</t>
        </is>
      </c>
      <c r="L31" s="242" t="n"/>
      <c r="M31" s="242" t="n"/>
    </row>
    <row r="32" ht="15" customHeight="1" s="116">
      <c r="A32" s="234" t="inlineStr">
        <is>
          <t>Sucata Enferrujada</t>
        </is>
      </c>
      <c r="B32" s="161" t="inlineStr">
        <is>
          <t>O Enxame que Não Para de Crescer</t>
        </is>
      </c>
      <c r="C32" s="161" t="inlineStr">
        <is>
          <t>Caça (Modesta)</t>
        </is>
      </c>
      <c r="D32" s="161" t="inlineStr">
        <is>
          <t>Limpar o Enxame de Moscas-Sangue que infesta o poço da vila antes que contaminem a água.</t>
        </is>
      </c>
      <c r="E32" s="161" t="inlineStr">
        <is>
          <t>20 Ouro.</t>
        </is>
      </c>
      <c r="F32" s="242" t="n"/>
      <c r="G32" s="242" t="n"/>
      <c r="H32" s="242" t="n"/>
      <c r="I32" s="161" t="inlineStr">
        <is>
          <t>Combate (Grind)</t>
        </is>
      </c>
      <c r="J32" s="161" t="inlineStr">
        <is>
          <t>Comum (Honra 0)</t>
        </is>
      </c>
      <c r="K32" s="161" t="inlineStr">
        <is>
          <t>Capitão Vane</t>
        </is>
      </c>
      <c r="L32" s="242" t="n"/>
      <c r="M32" s="242" t="n"/>
    </row>
    <row r="33" ht="15" customHeight="1" s="116">
      <c r="A33" s="241" t="inlineStr">
        <is>
          <t>Sucata Enferrujada</t>
        </is>
      </c>
      <c r="B33" s="241" t="inlineStr">
        <is>
          <t>Caça II — A Matilha Cresce</t>
        </is>
      </c>
      <c r="C33" s="242" t="n"/>
      <c r="D33" s="161" t="inlineStr">
        <is>
          <t>Mate 8 monstros Comuns do Tier 1 (qualquer combinação) + 1 Elite.</t>
        </is>
      </c>
      <c r="E33" s="242" t="n"/>
      <c r="F33" s="242" t="n"/>
      <c r="G33" s="242" t="n"/>
      <c r="H33" s="242" t="n"/>
      <c r="I33" s="161" t="inlineStr">
        <is>
          <t>Combate (Grind)</t>
        </is>
      </c>
      <c r="J33" s="161" t="inlineStr">
        <is>
          <t>Veterano (Honra 50)</t>
        </is>
      </c>
      <c r="K33" s="161" t="inlineStr">
        <is>
          <t>Capitão Vane</t>
        </is>
      </c>
      <c r="L33" s="242" t="n"/>
      <c r="M33" s="161" t="inlineStr">
        <is>
          <t>1 item Raro do Tier 1</t>
        </is>
      </c>
    </row>
    <row r="34" ht="15" customHeight="1" s="116">
      <c r="A34" s="241" t="inlineStr">
        <is>
          <t>Sucata Enferrujada</t>
        </is>
      </c>
      <c r="B34" s="241" t="inlineStr">
        <is>
          <t>Caça III — Limpeza Total</t>
        </is>
      </c>
      <c r="C34" s="242" t="n"/>
      <c r="D34" s="161" t="inlineStr">
        <is>
          <t>Mate 12 monstros Comuns do Tier 1 + 2 Elites diferentes.</t>
        </is>
      </c>
      <c r="E34" s="242" t="n"/>
      <c r="F34" s="242" t="n"/>
      <c r="G34" s="242" t="n"/>
      <c r="H34" s="242" t="n"/>
      <c r="I34" s="161" t="inlineStr">
        <is>
          <t>Combate (Grind)</t>
        </is>
      </c>
      <c r="J34" s="161" t="inlineStr">
        <is>
          <t>Lendário (Honra 100)</t>
        </is>
      </c>
      <c r="K34" s="161" t="inlineStr">
        <is>
          <t>Capitão Vane</t>
        </is>
      </c>
      <c r="L34" s="161" t="inlineStr">
        <is>
          <t>Completar Caça II antes</t>
        </is>
      </c>
      <c r="M34" s="161" t="inlineStr">
        <is>
          <t>1 item Lendário do Tier 1</t>
        </is>
      </c>
    </row>
    <row r="35" ht="15" customHeight="1" s="116">
      <c r="A35" s="241" t="inlineStr">
        <is>
          <t>Sucata Enferrujada</t>
        </is>
      </c>
      <c r="B35" s="241" t="inlineStr">
        <is>
          <t>A Colheita de Sucata II</t>
        </is>
      </c>
      <c r="C35" s="242" t="n"/>
      <c r="D35" s="161" t="inlineStr">
        <is>
          <t>Traga 5x Sucata Retorcida pro Gorim, pra ele reforçar o estoque.</t>
        </is>
      </c>
      <c r="E35" s="242" t="n"/>
      <c r="F35" s="242" t="n"/>
      <c r="G35" s="242" t="n"/>
      <c r="H35" s="242" t="n"/>
      <c r="I35" s="161" t="inlineStr">
        <is>
          <t>Coleta</t>
        </is>
      </c>
      <c r="J35" s="161" t="inlineStr">
        <is>
          <t>Veterano (Honra 50)</t>
        </is>
      </c>
      <c r="K35" s="161" t="inlineStr">
        <is>
          <t>Gorim o Caolho</t>
        </is>
      </c>
      <c r="L35" s="242" t="n"/>
      <c r="M35" s="161" t="inlineStr">
        <is>
          <t>Ouro + 1 Poção de Cura</t>
        </is>
      </c>
    </row>
    <row r="36" ht="15" customHeight="1" s="116">
      <c r="A36" s="241" t="inlineStr">
        <is>
          <t>Sucata Enferrujada</t>
        </is>
      </c>
      <c r="B36" s="241" t="inlineStr">
        <is>
          <t>A Colheita de Sucata III</t>
        </is>
      </c>
      <c r="C36" s="242" t="n"/>
      <c r="D36" s="161" t="inlineStr">
        <is>
          <t>Traga 2x Fragmento de Fanático dos Dedos Rubros — Gorim quer testar uma liga nova.</t>
        </is>
      </c>
      <c r="E36" s="242" t="n"/>
      <c r="F36" s="242" t="n"/>
      <c r="G36" s="242" t="n"/>
      <c r="H36" s="242" t="n"/>
      <c r="I36" s="161" t="inlineStr">
        <is>
          <t>Coleta</t>
        </is>
      </c>
      <c r="J36" s="161" t="inlineStr">
        <is>
          <t>Lendário (Honra 100)</t>
        </is>
      </c>
      <c r="K36" s="161" t="inlineStr">
        <is>
          <t>Gorim o Caolho</t>
        </is>
      </c>
      <c r="L36" s="161" t="inlineStr">
        <is>
          <t>Completar Coleta II antes</t>
        </is>
      </c>
      <c r="M36" s="161" t="inlineStr">
        <is>
          <t>1 item Raro do Tier 1</t>
        </is>
      </c>
    </row>
    <row r="37" ht="15" customHeight="1" s="116">
      <c r="A37" s="241" t="inlineStr">
        <is>
          <t>Sucata Enferrujada</t>
        </is>
      </c>
      <c r="B37" s="241" t="inlineStr">
        <is>
          <t>A Colheita de Sucata I</t>
        </is>
      </c>
      <c r="C37" s="242" t="n"/>
      <c r="D37" s="161" t="inlineStr">
        <is>
          <t>Traga 3x Sucata Retorcida pro Gorim, que perdeu parte do estoque pra bandidos.</t>
        </is>
      </c>
      <c r="E37" s="242" t="n"/>
      <c r="F37" s="242" t="n"/>
      <c r="G37" s="242" t="n"/>
      <c r="H37" s="242" t="n"/>
      <c r="I37" s="161" t="inlineStr">
        <is>
          <t>Coleta</t>
        </is>
      </c>
      <c r="J37" s="161" t="inlineStr">
        <is>
          <t>Comum (Honra 0)</t>
        </is>
      </c>
      <c r="K37" s="161" t="inlineStr">
        <is>
          <t>Gorim o Caolho</t>
        </is>
      </c>
      <c r="L37" s="242" t="n"/>
      <c r="M37" s="161" t="inlineStr">
        <is>
          <t>Ouro</t>
        </is>
      </c>
    </row>
    <row r="38">
      <c r="A38" s="161" t="inlineStr">
        <is>
          <t>Sucata Enferrujada</t>
        </is>
      </c>
      <c r="B38" s="161" t="inlineStr">
        <is>
          <t>O Caçador Caçado</t>
        </is>
      </c>
      <c r="C38" s="161" t="inlineStr">
        <is>
          <t>Caça de Elite (Significativa)</t>
        </is>
      </c>
      <c r="D38" s="161" t="inlineStr">
        <is>
          <t>Impeça o Caçador de Marcas de reportar a localização da família de refugiados escondida no celeiro.</t>
        </is>
      </c>
      <c r="E38" s="161" t="inlineStr">
        <is>
          <t>50 Ouro + 1 item Raro do tier.</t>
        </is>
      </c>
      <c r="F38" s="242" t="n"/>
      <c r="G38" s="242" t="n"/>
      <c r="H38" s="242" t="n"/>
      <c r="I38" s="161" t="inlineStr">
        <is>
          <t>Elite</t>
        </is>
      </c>
      <c r="J38" s="161" t="inlineStr">
        <is>
          <t>Veterano (Honra 50)</t>
        </is>
      </c>
      <c r="K38" s="161" t="inlineStr">
        <is>
          <t>Capitão Vane</t>
        </is>
      </c>
      <c r="L38" s="242" t="n"/>
      <c r="M38" s="242" t="n"/>
    </row>
    <row r="39" ht="15" customHeight="1" s="116">
      <c r="A39" s="234" t="inlineStr">
        <is>
          <t>Sucata Enferrujada</t>
        </is>
      </c>
      <c r="B39" s="161" t="inlineStr">
        <is>
          <t>O Colhedor do Primeiro Sangue</t>
        </is>
      </c>
      <c r="C39" s="161" t="inlineStr">
        <is>
          <t>Boss Opcional (Definidora — risco alto)</t>
        </is>
      </c>
      <c r="D39" s="161" t="inlineStr">
        <is>
          <t>Enfrente o líder do culto local antes que ele complete o ritual de marcação da vila inteira.</t>
        </is>
      </c>
      <c r="E39" s="161" t="inlineStr">
        <is>
          <t>100 Ouro + 1 item Lendário + 1 Fragmento do Sangue (progride a trama principal do Ato I).</t>
        </is>
      </c>
      <c r="F39" s="242" t="n"/>
      <c r="G39" s="242" t="n"/>
      <c r="H39" s="242" t="n"/>
      <c r="I39" s="161" t="inlineStr">
        <is>
          <t>Elite</t>
        </is>
      </c>
      <c r="J39" s="161" t="inlineStr">
        <is>
          <t>Lendário (Honra 100)</t>
        </is>
      </c>
      <c r="K39" s="161" t="inlineStr">
        <is>
          <t>Capitão Vane</t>
        </is>
      </c>
      <c r="L39" s="242" t="n"/>
      <c r="M39" s="242" t="n"/>
    </row>
    <row r="40" ht="15" customHeight="1" s="116">
      <c r="A40" s="252" t="inlineStr">
        <is>
          <t>Sucata Enferrujada</t>
        </is>
      </c>
      <c r="B40" s="252" t="inlineStr">
        <is>
          <t>O Desafio do Fanático</t>
        </is>
      </c>
      <c r="C40" s="253" t="n"/>
      <c r="D40" s="252" t="inlineStr">
        <is>
          <t>Derrote o Fanático dos Dedos Rubros sozinho, sem ajuda.</t>
        </is>
      </c>
      <c r="E40" s="253" t="n"/>
      <c r="F40" s="242" t="n"/>
      <c r="G40" s="242" t="n"/>
      <c r="H40" s="242" t="n"/>
      <c r="I40" s="254" t="inlineStr">
        <is>
          <t>Elite</t>
        </is>
      </c>
      <c r="J40" s="254" t="inlineStr">
        <is>
          <t>Comum (Honra 0)</t>
        </is>
      </c>
      <c r="K40" s="254" t="inlineStr">
        <is>
          <t>Capitão Vane</t>
        </is>
      </c>
      <c r="L40" s="255" t="n"/>
      <c r="M40" s="254" t="inlineStr">
        <is>
          <t>Ouro + XP extra</t>
        </is>
      </c>
    </row>
    <row r="41" ht="15" customHeight="1" s="116">
      <c r="A41" s="241" t="inlineStr">
        <is>
          <t>Sucata Enferrujada</t>
        </is>
      </c>
      <c r="B41" s="241" t="inlineStr">
        <is>
          <t>Dois Marcados</t>
        </is>
      </c>
      <c r="C41" s="243" t="n"/>
      <c r="D41" s="241" t="inlineStr">
        <is>
          <t>Derrote 2 Elites diferentes do Tier 1 (qualquer combinação).</t>
        </is>
      </c>
      <c r="E41" s="243" t="n"/>
      <c r="F41" s="242" t="n"/>
      <c r="G41" s="242" t="n"/>
      <c r="H41" s="242" t="n"/>
      <c r="I41" s="241" t="inlineStr">
        <is>
          <t>Elite</t>
        </is>
      </c>
      <c r="J41" s="241" t="inlineStr">
        <is>
          <t>Veterano (Honra 50)</t>
        </is>
      </c>
      <c r="K41" s="241" t="inlineStr">
        <is>
          <t>Capitão Vane</t>
        </is>
      </c>
      <c r="L41" s="161" t="inlineStr">
        <is>
          <t>Completar O Desafio do Fanático antes</t>
        </is>
      </c>
      <c r="M41" s="161" t="inlineStr">
        <is>
          <t>1 item Raro do Tier 1</t>
        </is>
      </c>
    </row>
    <row r="42" ht="15" customHeight="1" s="116">
      <c r="A42" s="241" t="inlineStr">
        <is>
          <t>Sucata Enferrujada</t>
        </is>
      </c>
      <c r="B42" s="241" t="inlineStr">
        <is>
          <t>O Chá da Velha Martha</t>
        </is>
      </c>
      <c r="C42" s="241" t="inlineStr">
        <is>
          <t>Social/Escolta (Gente Humilde)</t>
        </is>
      </c>
      <c r="D42" s="241" t="inlineStr">
        <is>
          <t>Escoltar a Velha Martha até a Estrada dos Bandidos pra colher Raiz de Sangue-Seco.</t>
        </is>
      </c>
      <c r="E42" s="241" t="inlineStr">
        <is>
          <t>10 Ouro + ela ensina a receita da Poção de Cura Básica de graça (fica permanente na sua lista de crafting) + vira aliada (reputação).</t>
        </is>
      </c>
      <c r="F42" s="242" t="n"/>
      <c r="G42" s="242" t="n"/>
      <c r="H42" s="242" t="n"/>
      <c r="I42" s="241" t="inlineStr">
        <is>
          <t>Social</t>
        </is>
      </c>
      <c r="J42" s="241" t="inlineStr">
        <is>
          <t>Comum (Honra 0)</t>
        </is>
      </c>
      <c r="K42" s="241" t="inlineStr">
        <is>
          <t>Velha Martha</t>
        </is>
      </c>
      <c r="L42" s="242" t="n"/>
      <c r="M42" s="242" t="n"/>
    </row>
    <row r="43" ht="15" customHeight="1" s="116">
      <c r="A43" s="241" t="inlineStr">
        <is>
          <t>Sucata Enferrujada</t>
        </is>
      </c>
      <c r="B43" s="241" t="inlineStr">
        <is>
          <t>O Amigo que Sumiu</t>
        </is>
      </c>
      <c r="C43" s="241" t="inlineStr">
        <is>
          <t>Traição (dilema — recompensa varia)</t>
        </is>
      </c>
      <c r="D43" s="241" t="inlineStr">
        <is>
          <t>Um morador pede ajuda pra achar o amigo desaparecido. Você o encontra como Peregrino Marcado.</t>
        </is>
      </c>
      <c r="E43" s="241" t="inlineStr">
        <is>
          <t>Contar a verdade: 10 Ouro + reputação com a vila. Mentir e poupar a família da dor: NPC vira devedor (favor futuro), mas reputação não sobe.</t>
        </is>
      </c>
      <c r="F43" s="161" t="inlineStr">
        <is>
          <t>A Milícia dos Desamparados</t>
        </is>
      </c>
      <c r="G43" s="161" t="inlineStr">
        <is>
          <t>+10 se contar a verdade / +0 se mentir (favor pessoal, não reputação)</t>
        </is>
      </c>
      <c r="H43" s="242" t="n"/>
      <c r="I43" s="161" t="inlineStr">
        <is>
          <t>Social</t>
        </is>
      </c>
      <c r="J43" s="161" t="inlineStr">
        <is>
          <t>Comum (Honra 0)</t>
        </is>
      </c>
      <c r="K43" s="161" t="inlineStr">
        <is>
          <t>Capitão Vane</t>
        </is>
      </c>
      <c r="L43" s="242" t="n"/>
      <c r="M43" s="242" t="n"/>
    </row>
    <row r="44" ht="15" customHeight="1" s="116">
      <c r="A44" s="241" t="inlineStr">
        <is>
          <t>Sucata Enferrujada</t>
        </is>
      </c>
      <c r="B44" s="241" t="inlineStr">
        <is>
          <t>A Disputa da Vila</t>
        </is>
      </c>
      <c r="C44" s="243" t="n"/>
      <c r="D44" s="241" t="inlineStr">
        <is>
          <t>Capitão Vane quer caçar os bandidos à força. Irmão Lucian quer negociar e curar os Marcados. Escolha um lado.</t>
        </is>
      </c>
      <c r="E44" s="243" t="n"/>
      <c r="F44" s="242" t="n"/>
      <c r="G44" s="242" t="n"/>
      <c r="H44" s="242" t="n"/>
      <c r="I44" s="161" t="inlineStr">
        <is>
          <t>Social</t>
        </is>
      </c>
      <c r="J44" s="161" t="inlineStr">
        <is>
          <t>Veterano (Honra 50)</t>
        </is>
      </c>
      <c r="K44" s="161" t="inlineStr">
        <is>
          <t>Capitão Vane / Irmão Lucian</t>
        </is>
      </c>
      <c r="L44" s="242" t="n"/>
      <c r="M44" s="161" t="inlineStr">
        <is>
          <t>+20 de Reputação com o lado escolhido, -10 com o outro</t>
        </is>
      </c>
    </row>
    <row r="45" ht="15" customHeight="1" s="116">
      <c r="A45" s="241" t="inlineStr">
        <is>
          <t>Sucata Enferrujada</t>
        </is>
      </c>
      <c r="B45" s="241" t="inlineStr">
        <is>
          <t>O Perdão do Recruta</t>
        </is>
      </c>
      <c r="C45" s="243" t="n"/>
      <c r="D45" s="241" t="inlineStr">
        <is>
          <t>Bandido Novato se rende a 25% de HP. Poupe-o (ele desiste do bando) ou termine o combate.</t>
        </is>
      </c>
      <c r="E45" s="243" t="n"/>
      <c r="F45" s="242" t="n"/>
      <c r="G45" s="242" t="n"/>
      <c r="H45" s="242" t="n"/>
      <c r="I45" s="161" t="inlineStr">
        <is>
          <t>Social</t>
        </is>
      </c>
      <c r="J45" s="161" t="inlineStr">
        <is>
          <t>Lendário (Honra 100)</t>
        </is>
      </c>
      <c r="K45" s="161" t="inlineStr">
        <is>
          <t>Capitão Vane</t>
        </is>
      </c>
      <c r="L45" s="242" t="n"/>
      <c r="M45" s="161" t="inlineStr">
        <is>
          <t>Poupar: +50 Reputação com a Milícia. Matar: item Único de loot.</t>
        </is>
      </c>
    </row>
    <row r="46" ht="15" customHeight="1" s="116">
      <c r="A46" s="241" t="inlineStr">
        <is>
          <t>Sucata Enferrujada</t>
        </is>
      </c>
      <c r="B46" s="241" t="inlineStr">
        <is>
          <t>O Baú do Salteador Afogado</t>
        </is>
      </c>
      <c r="C46" s="241" t="inlineStr">
        <is>
          <t>Tesouro (Significativa)</t>
        </is>
      </c>
      <c r="D46" s="241" t="inlineStr">
        <is>
          <t>Um bandido morreu tentando atravessar o rio com o saque de uma caravana. Ache o baú no leito raso.</t>
        </is>
      </c>
      <c r="E46" s="241" t="inlineStr">
        <is>
          <t>35 Ouro + 1 item Raro do tier.</t>
        </is>
      </c>
      <c r="F46" s="243" t="n"/>
      <c r="G46" s="243" t="n"/>
      <c r="H46" s="242" t="n"/>
      <c r="I46" s="161" t="inlineStr">
        <is>
          <t>Exploração</t>
        </is>
      </c>
      <c r="J46" s="161" t="inlineStr">
        <is>
          <t>Comum (Honra 0)</t>
        </is>
      </c>
      <c r="K46" s="161" t="inlineStr">
        <is>
          <t>Jarek o Carroceiro</t>
        </is>
      </c>
      <c r="L46" s="242" t="n"/>
      <c r="M46" s="242" t="n"/>
    </row>
    <row r="47">
      <c r="A47" s="161" t="inlineStr">
        <is>
          <t>Sucata Enferrujada</t>
        </is>
      </c>
      <c r="B47" s="161" t="inlineStr">
        <is>
          <t>As Portas Marcadas</t>
        </is>
      </c>
      <c r="C47" s="161" t="inlineStr">
        <is>
          <t>Segredo (Gente Humilde)</t>
        </is>
      </c>
      <c r="D47" s="161" t="inlineStr">
        <is>
          <t>Descubra por que certas casas têm dedos ensanguentados pintados na porta antes da próxima.</t>
        </is>
      </c>
      <c r="E47" s="161" t="inlineStr">
        <is>
          <t>15 Ouro + Irmão Lucian revela a existência do Caçador de Marcas (destrava a quest seguinte).</t>
        </is>
      </c>
      <c r="F47" s="242" t="n"/>
      <c r="G47" s="242" t="n"/>
      <c r="H47" s="242" t="n"/>
      <c r="I47" s="161" t="inlineStr">
        <is>
          <t>Exploração</t>
        </is>
      </c>
      <c r="J47" s="161" t="inlineStr">
        <is>
          <t>Veterano (Honra 50)</t>
        </is>
      </c>
      <c r="K47" s="161" t="inlineStr">
        <is>
          <t>Irmão Lucian</t>
        </is>
      </c>
      <c r="L47" s="242" t="n"/>
      <c r="M47" s="242" t="n"/>
    </row>
    <row r="48" ht="15" customHeight="1" s="116">
      <c r="A48" s="241" t="inlineStr">
        <is>
          <t>Sucata Enferrujada</t>
        </is>
      </c>
      <c r="B48" s="241" t="inlineStr">
        <is>
          <t>Descobrindo o Bosque Sombrio</t>
        </is>
      </c>
      <c r="C48" s="243" t="n"/>
      <c r="D48" s="241" t="inlineStr">
        <is>
          <t>Visite o Bosque Sombrio e reporte o que encontrar pro Capitão Vane.</t>
        </is>
      </c>
      <c r="E48" s="243" t="n"/>
      <c r="F48" s="242" t="n"/>
      <c r="G48" s="242" t="n"/>
      <c r="H48" s="242" t="n"/>
      <c r="I48" s="241" t="inlineStr">
        <is>
          <t>Exploração</t>
        </is>
      </c>
      <c r="J48" s="241" t="inlineStr">
        <is>
          <t>Comum (Honra 0)</t>
        </is>
      </c>
      <c r="K48" s="241" t="inlineStr">
        <is>
          <t>Capitão Vane</t>
        </is>
      </c>
      <c r="L48" s="242" t="n"/>
      <c r="M48" s="161" t="inlineStr">
        <is>
          <t>XP + Mapa da região revelado</t>
        </is>
      </c>
    </row>
    <row r="49" ht="15" customHeight="1" s="116">
      <c r="A49" s="241" t="inlineStr">
        <is>
          <t>Sucata Enferrujada</t>
        </is>
      </c>
      <c r="B49" s="241" t="inlineStr">
        <is>
          <t>Forjando o Amuleto do Uivo</t>
        </is>
      </c>
      <c r="C49" s="243" t="n"/>
      <c r="D49" s="241" t="inlineStr">
        <is>
          <t>Colete os materiais e forje 1 Amuleto do Uivo com o Gorim.</t>
        </is>
      </c>
      <c r="E49" s="243" t="n"/>
      <c r="F49" s="242" t="n"/>
      <c r="G49" s="242" t="n"/>
      <c r="H49" s="242" t="n"/>
      <c r="I49" s="241" t="inlineStr">
        <is>
          <t>Crafting</t>
        </is>
      </c>
      <c r="J49" s="241" t="inlineStr">
        <is>
          <t>Veterano (Honra 50)</t>
        </is>
      </c>
      <c r="K49" s="241" t="inlineStr">
        <is>
          <t>Gorim o Caolho</t>
        </is>
      </c>
      <c r="L49" s="242" t="n"/>
      <c r="M49" s="161" t="inlineStr">
        <is>
          <t>Amuleto do Uivo (+10% resistência a Sangramento)</t>
        </is>
      </c>
    </row>
    <row r="50" ht="15" customHeight="1" s="116">
      <c r="A50" s="241" t="inlineStr">
        <is>
          <t>Sucata Enferrujada</t>
        </is>
      </c>
      <c r="B50" s="241" t="inlineStr">
        <is>
          <t>O Segredo da Sombra</t>
        </is>
      </c>
      <c r="C50" s="243" t="n"/>
      <c r="D50" s="241" t="inlineStr">
        <is>
          <t>Poupe a Criança Marcada ou o Batedor Ferido — um deles revela a localização de um Local Secreto.</t>
        </is>
      </c>
      <c r="E50" s="243" t="n"/>
      <c r="F50" s="242" t="n"/>
      <c r="G50" s="242" t="n"/>
      <c r="H50" s="242" t="n"/>
      <c r="I50" s="241" t="inlineStr">
        <is>
          <t>Exploração</t>
        </is>
      </c>
      <c r="J50" s="241" t="inlineStr">
        <is>
          <t>Lendário (Honra 100)</t>
        </is>
      </c>
      <c r="K50" s="241" t="inlineStr">
        <is>
          <t>Capitão Vane</t>
        </is>
      </c>
      <c r="L50" s="161" t="inlineStr">
        <is>
          <t>Ter poupado Criança Marcada ou Batedor Ferido em Fuga</t>
        </is>
      </c>
      <c r="M50" s="161" t="inlineStr">
        <is>
          <t>1 Artefato Menor</t>
        </is>
      </c>
    </row>
    <row r="51" ht="15" customHeight="1" s="116">
      <c r="A51" s="241" t="inlineStr">
        <is>
          <t>Bronze</t>
        </is>
      </c>
      <c r="B51" s="241" t="inlineStr">
        <is>
          <t>Ferro Pros Ferreiros</t>
        </is>
      </c>
      <c r="C51" s="241" t="inlineStr">
        <is>
          <t>Coleta (Preparo)</t>
        </is>
      </c>
      <c r="D51" s="241" t="inlineStr">
        <is>
          <t>Trazer 4x Minério de Bronze Sulfuroso pro Gorim, que perdeu o estoque num desmoronamento.</t>
        </is>
      </c>
      <c r="E51" s="241" t="inlineStr">
        <is>
          <t>15 Ouro + Gorim forja de graça 1 Peitoral de Bronze (Comum) pra você.</t>
        </is>
      </c>
      <c r="F51" s="243" t="n"/>
      <c r="G51" s="243" t="n"/>
      <c r="H51" s="242" t="n"/>
      <c r="I51" s="243" t="inlineStr">
        <is>
          <t>Coleta</t>
        </is>
      </c>
      <c r="J51" s="243" t="inlineStr">
        <is>
          <t>Comum (Honra 0)</t>
        </is>
      </c>
      <c r="K51" s="243" t="inlineStr">
        <is>
          <t>Gorim o Caolho</t>
        </is>
      </c>
      <c r="L51" s="242" t="n"/>
      <c r="M51" s="242" t="n"/>
    </row>
    <row r="52" ht="15" customHeight="1" s="116">
      <c r="A52" s="241" t="inlineStr">
        <is>
          <t>Bronze</t>
        </is>
      </c>
      <c r="B52" s="241" t="inlineStr">
        <is>
          <t>O Ninho Que Não Devia Crescer</t>
        </is>
      </c>
      <c r="C52" s="241" t="inlineStr">
        <is>
          <t>Combate/Investigação (Significativa)</t>
        </is>
      </c>
      <c r="D52" s="241" t="inlineStr">
        <is>
          <t>Descobrir por que a colônia de aranhas triplicou de tamanho em poucas semanas (aponta pra vapor da infecção nos túneis).</t>
        </is>
      </c>
      <c r="E52" s="241" t="inlineStr">
        <is>
          <t>40 Ouro + 1 item Raro do tier.</t>
        </is>
      </c>
      <c r="F52" s="242" t="n"/>
      <c r="G52" s="242" t="n"/>
      <c r="H52" s="242" t="n"/>
      <c r="I52" s="243" t="inlineStr">
        <is>
          <t>Exploração</t>
        </is>
      </c>
      <c r="J52" s="243" t="inlineStr">
        <is>
          <t>Veterano (Honra 50)</t>
        </is>
      </c>
      <c r="K52" s="243" t="inlineStr">
        <is>
          <t>Irmão Lucian</t>
        </is>
      </c>
      <c r="L52" s="242" t="n"/>
      <c r="M52" s="242" t="inlineStr">
        <is>
          <t>1 item Raro do tier</t>
        </is>
      </c>
    </row>
    <row r="53" ht="15" customHeight="1" s="116">
      <c r="A53" s="241" t="inlineStr">
        <is>
          <t>Bronze</t>
        </is>
      </c>
      <c r="B53" s="241" t="inlineStr">
        <is>
          <t>Vermes na Rocha</t>
        </is>
      </c>
      <c r="C53" s="241" t="inlineStr">
        <is>
          <t>Caça (Modesta)</t>
        </is>
      </c>
      <c r="D53" s="241" t="inlineStr">
        <is>
          <t>Matar os Vermes Sulfurosos que corroem os suportes de madeira antes que a galeria principal desabe.</t>
        </is>
      </c>
      <c r="E53" s="241" t="inlineStr">
        <is>
          <t>20 Ouro.</t>
        </is>
      </c>
      <c r="F53" s="242" t="n"/>
      <c r="G53" s="242" t="n"/>
      <c r="H53" s="242" t="n"/>
      <c r="I53" s="243" t="inlineStr">
        <is>
          <t>Combate (Grind)</t>
        </is>
      </c>
      <c r="J53" s="243" t="inlineStr">
        <is>
          <t>Comum (Honra 0)</t>
        </is>
      </c>
      <c r="K53" s="243" t="inlineStr">
        <is>
          <t>Capitão Vane</t>
        </is>
      </c>
      <c r="L53" s="242" t="n"/>
      <c r="M53" s="242" t="n"/>
    </row>
    <row r="54" ht="15" customHeight="1" s="116">
      <c r="A54" s="241" t="inlineStr">
        <is>
          <t>Bronze</t>
        </is>
      </c>
      <c r="B54" s="241" t="inlineStr">
        <is>
          <t>Os Livros de Grimm</t>
        </is>
      </c>
      <c r="C54" s="241" t="inlineStr">
        <is>
          <t>Segredo (Significativa)</t>
        </is>
      </c>
      <c r="D54" s="241" t="inlineStr">
        <is>
          <t>Encontre os registros contábeis escondidos do Barão Grimm — provam que ele sabia dos riscos dos túneis profundos e escondeu por lucro.</t>
        </is>
      </c>
      <c r="E54" s="241" t="inlineStr">
        <is>
          <t>30 Ouro + reputação com os mineiros + destrava "A Ganância Não Morre".</t>
        </is>
      </c>
      <c r="F54" s="161" t="inlineStr">
        <is>
          <t>A Guilda dos Picaretas Negros</t>
        </is>
      </c>
      <c r="G54" s="161" t="inlineStr">
        <is>
          <t>-20 (prova de corrupção contra a própria Guilda)</t>
        </is>
      </c>
      <c r="H54" s="242" t="n"/>
      <c r="I54" s="242" t="inlineStr">
        <is>
          <t>Exploração</t>
        </is>
      </c>
      <c r="J54" s="242" t="inlineStr">
        <is>
          <t>Veterano (Honra 50)</t>
        </is>
      </c>
      <c r="K54" s="242" t="inlineStr">
        <is>
          <t>Irmão Lucian</t>
        </is>
      </c>
      <c r="L54" s="242" t="n"/>
      <c r="M54" s="242" t="inlineStr">
        <is>
          <t>Destrava "A Ganância Não Morre"</t>
        </is>
      </c>
    </row>
    <row r="55" ht="15" customHeight="1" s="116">
      <c r="A55" s="241" t="inlineStr">
        <is>
          <t>Bronze</t>
        </is>
      </c>
      <c r="B55" s="241" t="inlineStr">
        <is>
          <t>Salário Atrasado</t>
        </is>
      </c>
      <c r="C55" s="241" t="inlineStr">
        <is>
          <t>Traição (dilema — recompensa varia)</t>
        </is>
      </c>
      <c r="D55" s="241" t="inlineStr">
        <is>
          <t>Mineiros pedem ajuda pra confrontar Grimm sobre salários atrasados.</t>
        </is>
      </c>
      <c r="E55" s="241" t="inlineStr">
        <is>
          <t>Negociar: reputação alta com os mineiros, sem ouro. Usar força: 25 Ouro na hora, mas Grimm fica hostil mais cedo (afeta "A Ganância Não Morre").</t>
        </is>
      </c>
      <c r="F55" s="241" t="inlineStr">
        <is>
          <t>A Guilda dos Picaretas Negros</t>
        </is>
      </c>
      <c r="G55" s="241" t="inlineStr">
        <is>
          <t>+15 negociar / -10 usar força (some com Grimm mais cedo)</t>
        </is>
      </c>
      <c r="H55" s="242" t="n"/>
      <c r="I55" s="242" t="inlineStr">
        <is>
          <t>Social</t>
        </is>
      </c>
      <c r="J55" s="242" t="inlineStr">
        <is>
          <t>Comum (Honra 0)</t>
        </is>
      </c>
      <c r="K55" s="242" t="inlineStr">
        <is>
          <t>Gorim o Caolho</t>
        </is>
      </c>
      <c r="L55" s="242" t="n"/>
      <c r="M55" s="242" t="n"/>
    </row>
    <row r="56" ht="15" customHeight="1" s="116">
      <c r="A56" s="241" t="inlineStr">
        <is>
          <t>Bronze</t>
        </is>
      </c>
      <c r="B56" s="241" t="inlineStr">
        <is>
          <t>O Capataz Que Não Descansa</t>
        </is>
      </c>
      <c r="C56" s="241" t="inlineStr">
        <is>
          <t>Caça de Elite (Significativa)</t>
        </is>
      </c>
      <c r="D56" s="241" t="inlineStr">
        <is>
          <t>O Capataz Enforcado ainda pune quem "falha na cota", mesmo morto. Derrote-o para libertar os mineiros presos na ala leste.</t>
        </is>
      </c>
      <c r="E56" s="241" t="inlineStr">
        <is>
          <t>45 Ouro + 1 item Raro do tier.</t>
        </is>
      </c>
      <c r="F56" s="243" t="n"/>
      <c r="G56" s="243" t="n"/>
      <c r="H56" s="242" t="n"/>
      <c r="I56" s="242" t="inlineStr">
        <is>
          <t>Elite</t>
        </is>
      </c>
      <c r="J56" s="242" t="inlineStr">
        <is>
          <t>Veterano (Honra 50)</t>
        </is>
      </c>
      <c r="K56" s="242" t="inlineStr">
        <is>
          <t>Kessa, a Sobrevivente do Desabamento</t>
        </is>
      </c>
      <c r="L56" s="242" t="n"/>
      <c r="M56" s="242" t="inlineStr">
        <is>
          <t>1 item Raro do tier</t>
        </is>
      </c>
    </row>
    <row r="57" ht="15" customHeight="1" s="116">
      <c r="A57" s="241" t="inlineStr">
        <is>
          <t>Bronze</t>
        </is>
      </c>
      <c r="B57" s="241" t="inlineStr">
        <is>
          <t>A Ganância Não Morre</t>
        </is>
      </c>
      <c r="C57" s="241" t="inlineStr">
        <is>
          <t>Boss Opcional (Definidora — requer "Os Livros de Grimm")</t>
        </is>
      </c>
      <c r="D57" s="241" t="inlineStr">
        <is>
          <t>Confronte o Barão Aldous Grimm, corrompido pelos próprios vapores que ele se recusou a fechar.</t>
        </is>
      </c>
      <c r="E57" s="241" t="inlineStr">
        <is>
          <t>120 Ouro + 1 item Lendário + revela a ligação de Grimm com o avanço da infecção na região (progride a trama do Ato I).</t>
        </is>
      </c>
      <c r="F57" s="161" t="inlineStr">
        <is>
          <t>A Guilda dos Picaretas Negros</t>
        </is>
      </c>
      <c r="G57" s="161" t="inlineStr">
        <is>
          <t>-30 (derrotar Grimm expõe a Guilda)</t>
        </is>
      </c>
      <c r="H57" s="242" t="n"/>
      <c r="I57" s="242" t="inlineStr">
        <is>
          <t>Elite</t>
        </is>
      </c>
      <c r="J57" s="242" t="inlineStr">
        <is>
          <t>Lendário (Honra 100)</t>
        </is>
      </c>
      <c r="K57" s="242" t="inlineStr">
        <is>
          <t>Capitão Vane</t>
        </is>
      </c>
      <c r="L57" s="242" t="inlineStr">
        <is>
          <t>Completar "Os Livros de Grimm" antes</t>
        </is>
      </c>
      <c r="M57" s="242" t="inlineStr">
        <is>
          <t>1 item Lendário do tier + revela a ligação de Grimm com o avanço da infecção na região</t>
        </is>
      </c>
    </row>
    <row r="58" ht="15" customHeight="1" s="116">
      <c r="A58" s="115" t="inlineStr">
        <is>
          <t>Bronze</t>
        </is>
      </c>
      <c r="B58" s="115" t="inlineStr">
        <is>
          <t>Ratoeira nos Túneis</t>
        </is>
      </c>
      <c r="C58" s="115" t="inlineStr">
        <is>
          <t>Caça (Modesta)</t>
        </is>
      </c>
      <c r="D58" s="115" t="inlineStr">
        <is>
          <t>Mate a Aranha Recém-Nascida e a Segunda Aranha Recém-Nascida antes que a ninhada cresça e vire outra Matriarca.</t>
        </is>
      </c>
      <c r="E58" s="115" t="inlineStr">
        <is>
          <t>22 Ouro.</t>
        </is>
      </c>
      <c r="I58" s="115" t="inlineStr">
        <is>
          <t>Combate (Grind)</t>
        </is>
      </c>
      <c r="J58" s="115" t="inlineStr">
        <is>
          <t>Comum (Honra 0)</t>
        </is>
      </c>
      <c r="K58" s="115" t="inlineStr">
        <is>
          <t>Gorim o Caolho</t>
        </is>
      </c>
    </row>
    <row r="59" ht="15" customHeight="1" s="116">
      <c r="A59" s="115" t="inlineStr">
        <is>
          <t>Bronze</t>
        </is>
      </c>
      <c r="B59" s="115" t="inlineStr">
        <is>
          <t>A Cota de Sangue</t>
        </is>
      </c>
      <c r="C59" s="115" t="inlineStr">
        <is>
          <t>Caça (Modesta)</t>
        </is>
      </c>
      <c r="D59" s="115" t="inlineStr">
        <is>
          <t>Mate 3 Carrascos da Cota que punem mineiros por não render o suficiente no dia.</t>
        </is>
      </c>
      <c r="E59" s="115" t="inlineStr">
        <is>
          <t>25 Ouro.</t>
        </is>
      </c>
      <c r="I59" s="115" t="inlineStr">
        <is>
          <t>Combate (Grind)</t>
        </is>
      </c>
      <c r="J59" s="115" t="inlineStr">
        <is>
          <t>Comum (Honra 0)</t>
        </is>
      </c>
      <c r="K59" s="115" t="inlineStr">
        <is>
          <t>Capitão Vane</t>
        </is>
      </c>
    </row>
    <row r="60" ht="15" customHeight="1" s="116">
      <c r="A60" s="115" t="inlineStr">
        <is>
          <t>Bronze</t>
        </is>
      </c>
      <c r="B60" s="115" t="inlineStr">
        <is>
          <t>Seda Pra Costura</t>
        </is>
      </c>
      <c r="C60" s="115" t="inlineStr">
        <is>
          <t>Coleta (Preparo)</t>
        </is>
      </c>
      <c r="D60" s="115" t="inlineStr">
        <is>
          <t>Traga 4x Fio de Teia Grossa pra Velha Martha, que quer testar um curativo à base de seda de aranha.</t>
        </is>
      </c>
      <c r="E60" s="115" t="inlineStr">
        <is>
          <t>18 Ouro + Velha Martha ensina a receita da Pomada Cicatrizante de graça (fica permanente na sua lista de crafting).</t>
        </is>
      </c>
      <c r="I60" s="115" t="inlineStr">
        <is>
          <t>Coleta</t>
        </is>
      </c>
      <c r="J60" s="115" t="inlineStr">
        <is>
          <t>Comum (Honra 0)</t>
        </is>
      </c>
      <c r="K60" s="115" t="inlineStr">
        <is>
          <t>Velha Martha</t>
        </is>
      </c>
    </row>
    <row r="61" ht="15" customHeight="1" s="116">
      <c r="A61" s="115" t="inlineStr">
        <is>
          <t>Bronze</t>
        </is>
      </c>
      <c r="B61" s="115" t="inlineStr">
        <is>
          <t>Gás Engarrafado</t>
        </is>
      </c>
      <c r="C61" s="115" t="inlineStr">
        <is>
          <t>Coleta (Preparo)</t>
        </is>
      </c>
      <c r="D61" s="115" t="inlineStr">
        <is>
          <t>Traga 3x Frasco de Gás Sulfuroso Condensado pro Gorim, que quer testar uma têmpera especial pro bronze.</t>
        </is>
      </c>
      <c r="E61" s="115" t="inlineStr">
        <is>
          <t>25 Ouro + Gorim forja de graça 1 Machado de Bronze (Comum) pra você.</t>
        </is>
      </c>
      <c r="I61" s="115" t="inlineStr">
        <is>
          <t>Coleta</t>
        </is>
      </c>
      <c r="J61" s="115" t="inlineStr">
        <is>
          <t>Veterano (Honra 50)</t>
        </is>
      </c>
      <c r="K61" s="115" t="inlineStr">
        <is>
          <t>Gorim o Caolho</t>
        </is>
      </c>
    </row>
    <row r="62" ht="15" customHeight="1" s="116">
      <c r="A62" s="115" t="inlineStr">
        <is>
          <t>Bronze</t>
        </is>
      </c>
      <c r="B62" s="115" t="inlineStr">
        <is>
          <t>O Cão Que Nunca Viu a Luz</t>
        </is>
      </c>
      <c r="C62" s="115" t="inlineStr">
        <is>
          <t>Social/Pacífica (Gente Humilde)</t>
        </is>
      </c>
      <c r="D62" s="115" t="inlineStr">
        <is>
          <t>O Cão de Mina Cego não ataca ninguém — decida se ele é levado embora da mina ou deixado pra trás.</t>
        </is>
      </c>
      <c r="E62" s="115" t="inlineStr">
        <is>
          <t>Levar: 10 Ouro + reputação com Jarek, que o adota como cão de guarda da carroça. Deixar: nada, sem penalidade.</t>
        </is>
      </c>
      <c r="I62" s="115" t="inlineStr">
        <is>
          <t>Social</t>
        </is>
      </c>
      <c r="J62" s="115" t="inlineStr">
        <is>
          <t>Comum (Honra 0)</t>
        </is>
      </c>
      <c r="K62" s="115" t="inlineStr">
        <is>
          <t>Jarek o Carroceiro</t>
        </is>
      </c>
    </row>
    <row r="63" ht="15" customHeight="1" s="116">
      <c r="A63" s="115" t="inlineStr">
        <is>
          <t>Bronze</t>
        </is>
      </c>
      <c r="B63" s="115" t="inlineStr">
        <is>
          <t>A Ninhada Perdoada</t>
        </is>
      </c>
      <c r="C63" s="115" t="inlineStr">
        <is>
          <t>Dilema (recompensa varia)</t>
        </is>
      </c>
      <c r="D63" s="115" t="inlineStr">
        <is>
          <t>A Aranha Recém-Nascida e a Segunda Aranha Recém-Nascida são só ninhada — poupá-las deixa a Matriarca menos hostil, matá-las rende material extra.</t>
        </is>
      </c>
      <c r="E63" s="115" t="inlineStr">
        <is>
          <t>Poupar: a Rainha-Aranha/Matriarca fica menos agressiva no encontro seguinte (vantagem tática). Matar: 1x Fio de Teia Fresca extra por ninhada.</t>
        </is>
      </c>
      <c r="I63" s="115" t="inlineStr">
        <is>
          <t>Social</t>
        </is>
      </c>
      <c r="J63" s="115" t="inlineStr">
        <is>
          <t>Veterano (Honra 50)</t>
        </is>
      </c>
      <c r="K63" s="115" t="inlineStr">
        <is>
          <t>—(decisão de campo, sem NPC)</t>
        </is>
      </c>
    </row>
    <row r="64" ht="15" customHeight="1" s="116">
      <c r="A64" s="115" t="inlineStr">
        <is>
          <t>Bronze</t>
        </is>
      </c>
      <c r="B64" s="115" t="inlineStr">
        <is>
          <t>O Veio Que Não Devia Existir</t>
        </is>
      </c>
      <c r="C64" s="115" t="inlineStr">
        <is>
          <t>Segredo (Significativa)</t>
        </is>
      </c>
      <c r="D64" s="115" t="inlineStr">
        <is>
          <t>Investigue o Veio de Minério Falso antes que mais mineiros desesperados caiam na armadilha que a própria Guilda plantou.</t>
        </is>
      </c>
      <c r="E64" s="115" t="inlineStr">
        <is>
          <t>20 Ouro + revela que a Guilda arma ciladas contra os próprios trabalhadores.</t>
        </is>
      </c>
      <c r="F64" s="115" t="inlineStr">
        <is>
          <t>A Guilda dos Picaretas Negros</t>
        </is>
      </c>
      <c r="G64" s="115" t="inlineStr">
        <is>
          <t>-10 (prova de que a Guilda arma os próprios mineiros)</t>
        </is>
      </c>
      <c r="I64" s="115" t="inlineStr">
        <is>
          <t>Exploração</t>
        </is>
      </c>
      <c r="J64" s="115" t="inlineStr">
        <is>
          <t>Comum (Honra 0)</t>
        </is>
      </c>
      <c r="K64" s="115" t="inlineStr">
        <is>
          <t>Kaelen o Rastejador</t>
        </is>
      </c>
    </row>
    <row r="65" ht="15" customHeight="1" s="116">
      <c r="A65" s="115" t="inlineStr">
        <is>
          <t>Bronze</t>
        </is>
      </c>
      <c r="B65" s="115" t="inlineStr">
        <is>
          <t>Forjando a Coleira Quebrada</t>
        </is>
      </c>
      <c r="C65" s="115" t="inlineStr">
        <is>
          <t>Crafting</t>
        </is>
      </c>
      <c r="D65" s="115" t="inlineStr">
        <is>
          <t>Colete os materiais e forje 1 Coleira Quebrada da Guilda com o Gorim.</t>
        </is>
      </c>
      <c r="I65" s="115" t="inlineStr">
        <is>
          <t>Crafting</t>
        </is>
      </c>
      <c r="J65" s="115" t="inlineStr">
        <is>
          <t>Veterano (Honra 50)</t>
        </is>
      </c>
      <c r="K65" s="115" t="inlineStr">
        <is>
          <t>Gorim o Caolho</t>
        </is>
      </c>
      <c r="M65" s="115" t="inlineStr">
        <is>
          <t>Coleira Quebrada da Guilda (+10% resistência a Medo/Intimidação)</t>
        </is>
      </c>
    </row>
    <row r="66" ht="15" customHeight="1" s="116">
      <c r="A66" s="241" t="inlineStr">
        <is>
          <t>Ferro</t>
        </is>
      </c>
      <c r="B66" s="241" t="inlineStr">
        <is>
          <t>O Segredo do Executor</t>
        </is>
      </c>
      <c r="C66" s="241" t="inlineStr">
        <is>
          <t>Exploração (Significativa)</t>
        </is>
      </c>
      <c r="D66" s="241" t="inlineStr">
        <is>
          <t>Investigar por que o autômato da forja velha ainda tenta forjar armas sozinho, anos depois da vila cair.</t>
        </is>
      </c>
      <c r="E66" s="241" t="inlineStr">
        <is>
          <t>55 Ouro + 1 item Raro do tier.</t>
        </is>
      </c>
      <c r="F66" s="243" t="n"/>
      <c r="G66" s="243" t="n"/>
      <c r="H66" s="242" t="n"/>
      <c r="I66" s="242" t="inlineStr">
        <is>
          <t>Exploração</t>
        </is>
      </c>
      <c r="J66" s="242" t="inlineStr">
        <is>
          <t>Veterano (Honra 50)</t>
        </is>
      </c>
      <c r="K66" s="242" t="inlineStr">
        <is>
          <t>Mestre Bran</t>
        </is>
      </c>
      <c r="L66" s="242" t="n"/>
      <c r="M66" s="242" t="inlineStr">
        <is>
          <t>1 item Raro do tier</t>
        </is>
      </c>
    </row>
    <row r="67" ht="15" customHeight="1" s="116">
      <c r="A67" s="241" t="inlineStr">
        <is>
          <t>Ferro</t>
        </is>
      </c>
      <c r="B67" s="241" t="inlineStr">
        <is>
          <t>Descanso pro Salteador</t>
        </is>
      </c>
      <c r="C67" s="241" t="inlineStr">
        <is>
          <t>Social (Gente Humilde)</t>
        </is>
      </c>
      <c r="D67" s="241" t="inlineStr">
        <is>
          <t>O Salteador Encapuzado se rende e pede pra ser levado à vila em vez de morto — decisão sua.</t>
        </is>
      </c>
      <c r="E67" s="241" t="inlineStr">
        <is>
          <t>5 Ouro (recompensa por entregá-lo vivo) + reputação com a Milícia dos Desamparados, ou nada se for morto.</t>
        </is>
      </c>
      <c r="F67" s="161" t="inlineStr">
        <is>
          <t>A Milícia dos Desamparados</t>
        </is>
      </c>
      <c r="G67" s="161" t="inlineStr">
        <is>
          <t>+10 entregar vivo / -5 matar direto</t>
        </is>
      </c>
      <c r="H67" s="242" t="n"/>
      <c r="I67" s="242" t="inlineStr">
        <is>
          <t>Social</t>
        </is>
      </c>
      <c r="J67" s="242" t="inlineStr">
        <is>
          <t>Comum (Honra 0)</t>
        </is>
      </c>
      <c r="K67" s="242" t="inlineStr">
        <is>
          <t>Capitão Vane</t>
        </is>
      </c>
      <c r="L67" s="242" t="n"/>
      <c r="M67" s="242" t="n"/>
    </row>
    <row r="68" ht="15" customHeight="1" s="116">
      <c r="A68" s="241" t="inlineStr">
        <is>
          <t>Ferro</t>
        </is>
      </c>
      <c r="B68" s="241" t="inlineStr">
        <is>
          <t>Zelotes na Ruína</t>
        </is>
      </c>
      <c r="C68" s="241" t="inlineStr">
        <is>
          <t>Caça (Modesta)</t>
        </is>
      </c>
      <c r="D68" s="241" t="inlineStr">
        <is>
          <t>Matar 3 Zelotes de Ferro que fortificam a Antiga Forja com armas de verdade — o culto não é mais improviso.</t>
        </is>
      </c>
      <c r="E68" s="241" t="inlineStr">
        <is>
          <t>22 Ouro.</t>
        </is>
      </c>
      <c r="F68" s="242" t="n"/>
      <c r="G68" s="242" t="n"/>
      <c r="H68" s="242" t="n"/>
      <c r="I68" s="242" t="inlineStr">
        <is>
          <t>Combate (Grind)</t>
        </is>
      </c>
      <c r="J68" s="242" t="inlineStr">
        <is>
          <t>Comum (Honra 0)</t>
        </is>
      </c>
      <c r="K68" s="242" t="inlineStr">
        <is>
          <t>Mestre Bran</t>
        </is>
      </c>
      <c r="L68" s="242" t="n"/>
      <c r="M68" s="242" t="n"/>
    </row>
    <row r="69" ht="15" customHeight="1" s="116">
      <c r="A69" s="241" t="inlineStr">
        <is>
          <t>Ferro</t>
        </is>
      </c>
      <c r="B69" s="241" t="inlineStr">
        <is>
          <t>O Cofre do Capitão</t>
        </is>
      </c>
      <c r="C69" s="241" t="inlineStr">
        <is>
          <t>Tesouro (Significativa)</t>
        </is>
      </c>
      <c r="D69" s="241" t="inlineStr">
        <is>
          <t>Ache o cofre escondido do capitão que morreu defendendo a forja, guardado numa câmara atrás do altar da guarda.</t>
        </is>
      </c>
      <c r="E69" s="241" t="inlineStr">
        <is>
          <t>40 Ouro + 1 item Raro do tier.</t>
        </is>
      </c>
      <c r="F69" s="242" t="n"/>
      <c r="G69" s="242" t="n"/>
      <c r="H69" s="242" t="n"/>
      <c r="I69" s="242" t="inlineStr">
        <is>
          <t>Exploração</t>
        </is>
      </c>
      <c r="J69" s="242" t="inlineStr">
        <is>
          <t>Comum (Honra 0)</t>
        </is>
      </c>
      <c r="K69" s="242" t="inlineStr">
        <is>
          <t>Kaelen o Rastejador</t>
        </is>
      </c>
      <c r="L69" s="242" t="n"/>
      <c r="M69" s="242" t="inlineStr">
        <is>
          <t>1 item Raro do tier</t>
        </is>
      </c>
    </row>
    <row r="70" ht="15" customHeight="1" s="116">
      <c r="A70" s="241" t="inlineStr">
        <is>
          <t>Ferro</t>
        </is>
      </c>
      <c r="B70" s="241" t="inlineStr">
        <is>
          <t>O Fantasma Que Ainda Faz Ronda</t>
        </is>
      </c>
      <c r="C70" s="241" t="inlineStr">
        <is>
          <t>Segredo (Gente Humilde)</t>
        </is>
      </c>
      <c r="D70" s="241" t="inlineStr">
        <is>
          <t>Encontre os restos do soldado que ainda "patrulha" as ruínas e dê a ele descanso adequado.</t>
        </is>
      </c>
      <c r="E70" s="241" t="inlineStr">
        <is>
          <t>15 Ouro + Irmão Lucian revela uma pista sobre "O Primeiro Marcado".</t>
        </is>
      </c>
      <c r="F70" s="243" t="n"/>
      <c r="G70" s="243" t="n"/>
      <c r="H70" s="242" t="n"/>
      <c r="I70" s="242" t="inlineStr">
        <is>
          <t>Social</t>
        </is>
      </c>
      <c r="J70" s="242" t="inlineStr">
        <is>
          <t>Comum (Honra 0)</t>
        </is>
      </c>
      <c r="K70" s="242" t="inlineStr">
        <is>
          <t>Irmão Lucian</t>
        </is>
      </c>
      <c r="L70" s="242" t="n"/>
      <c r="M70" s="242" t="n"/>
    </row>
    <row r="71" ht="15" customHeight="1" s="116">
      <c r="A71" s="241" t="inlineStr">
        <is>
          <t>Ferro</t>
        </is>
      </c>
      <c r="B71" s="241" t="inlineStr">
        <is>
          <t>O Zelote Arrependido</t>
        </is>
      </c>
      <c r="C71" s="241" t="inlineStr">
        <is>
          <t>Traição (dilema — recompensa varia)</t>
        </is>
      </c>
      <c r="D71" s="241" t="inlineStr">
        <is>
          <t>Um Zelote Superior do Ferro capturado oferece informação em troca de perdão.</t>
        </is>
      </c>
      <c r="E71" s="241" t="inlineStr">
        <is>
          <t>Poupar: descobre a localização de O Primeiro Marcado antes da hora (vantagem tática). Entregar à Milícia: 30 Ouro + reputação formal, mas perde a vantagem de surpresa no boss final.</t>
        </is>
      </c>
      <c r="F71" s="161" t="inlineStr">
        <is>
          <t>A Milícia dos Desamparados</t>
        </is>
      </c>
      <c r="G71" s="161" t="inlineStr">
        <is>
          <t>+10 poupar e entregar vivo</t>
        </is>
      </c>
      <c r="H71" s="242" t="n"/>
      <c r="I71" s="242" t="inlineStr">
        <is>
          <t>Social</t>
        </is>
      </c>
      <c r="J71" s="242" t="inlineStr">
        <is>
          <t>Veterano (Honra 50)</t>
        </is>
      </c>
      <c r="K71" s="242" t="inlineStr">
        <is>
          <t>Capitão Vane</t>
        </is>
      </c>
      <c r="L71" s="242" t="n"/>
      <c r="M71" s="242" t="n"/>
    </row>
    <row r="72" ht="15" customHeight="1" s="116">
      <c r="A72" s="241" t="inlineStr">
        <is>
          <t>Ferro</t>
        </is>
      </c>
      <c r="B72" s="241" t="inlineStr">
        <is>
          <t>O Primeiro Marcado</t>
        </is>
      </c>
      <c r="C72" s="241" t="inlineStr">
        <is>
          <t>Boss Final de Ato (Definidora — fecha o Ato I)</t>
        </is>
      </c>
      <c r="D72" s="241" t="inlineStr">
        <is>
          <t>Encontre e derrote a primeira pessoa da região tocada pela Mão Carmesim, encerrando a ameaça do Culto dos Primeiros Marcados.</t>
        </is>
      </c>
      <c r="E72" s="241" t="inlineStr">
        <is>
          <t>150 Ouro + 1 item Lendário + completa o 2º Fragmento do Sangue + libera a transição pro Ato II (Prata / Fraternidade dos Sem-Voz).</t>
        </is>
      </c>
      <c r="F72" s="242" t="n"/>
      <c r="G72" s="242" t="n"/>
      <c r="H72" s="242" t="n"/>
      <c r="I72" s="242" t="inlineStr">
        <is>
          <t>Elite</t>
        </is>
      </c>
      <c r="J72" s="242" t="inlineStr">
        <is>
          <t>Lendário (Honra 100)</t>
        </is>
      </c>
      <c r="K72" s="242" t="inlineStr">
        <is>
          <t>Capitão Vane</t>
        </is>
      </c>
      <c r="L72" s="242" t="n"/>
      <c r="M72" s="242" t="n"/>
    </row>
    <row r="73" ht="15" customHeight="1" s="116">
      <c r="A73" s="115" t="inlineStr">
        <is>
          <t>Ferro</t>
        </is>
      </c>
      <c r="B73" s="115" t="inlineStr">
        <is>
          <t>Ossos na Muralha</t>
        </is>
      </c>
      <c r="C73" s="115" t="inlineStr">
        <is>
          <t>Caça (Modesta)</t>
        </is>
      </c>
      <c r="D73" s="115" t="inlineStr">
        <is>
          <t>Mate 3 Esqueletos Arqueiros que ainda vigiam a muralha externa das ruínas.</t>
        </is>
      </c>
      <c r="E73" s="115" t="inlineStr">
        <is>
          <t>24 Ouro.</t>
        </is>
      </c>
      <c r="I73" s="115" t="inlineStr">
        <is>
          <t>Combate (Grind)</t>
        </is>
      </c>
      <c r="J73" s="115" t="inlineStr">
        <is>
          <t>Comum (Honra 0)</t>
        </is>
      </c>
      <c r="K73" s="115" t="inlineStr">
        <is>
          <t>Mestre Bran</t>
        </is>
      </c>
    </row>
    <row r="74" ht="15" customHeight="1" s="116">
      <c r="A74" s="115" t="inlineStr">
        <is>
          <t>Ferro</t>
        </is>
      </c>
      <c r="B74" s="115" t="inlineStr">
        <is>
          <t>A Ferrugem Que Come Ferro</t>
        </is>
      </c>
      <c r="C74" s="115" t="inlineStr">
        <is>
          <t>Caça (Modesta)</t>
        </is>
      </c>
      <c r="D74" s="115" t="inlineStr">
        <is>
          <t>Elimine a Ferrugem Viva antes que ela corroa os golens restantes da fundição.</t>
        </is>
      </c>
      <c r="E74" s="115" t="inlineStr">
        <is>
          <t>26 Ouro.</t>
        </is>
      </c>
      <c r="I74" s="115" t="inlineStr">
        <is>
          <t>Combate (Grind)</t>
        </is>
      </c>
      <c r="J74" s="115" t="inlineStr">
        <is>
          <t>Comum (Honra 0)</t>
        </is>
      </c>
      <c r="K74" s="115" t="inlineStr">
        <is>
          <t>Kaelen o Rastejador</t>
        </is>
      </c>
    </row>
    <row r="75" ht="15" customHeight="1" s="116">
      <c r="A75" s="115" t="inlineStr">
        <is>
          <t>Ferro</t>
        </is>
      </c>
      <c r="B75" s="115" t="inlineStr">
        <is>
          <t>Ferro Pra Bran</t>
        </is>
      </c>
      <c r="C75" s="115" t="inlineStr">
        <is>
          <t>Coleta (Preparo)</t>
        </is>
      </c>
      <c r="D75" s="115" t="inlineStr">
        <is>
          <t>Traga 4x Veio de Ferro Negro pro Mestre Bran, que perdeu parte do estoque num desabamento.</t>
        </is>
      </c>
      <c r="E75" s="115" t="inlineStr">
        <is>
          <t>20 Ouro + Bran forja de graça 1 Peitoral de Ferro (Comum) pra você.</t>
        </is>
      </c>
      <c r="I75" s="115" t="inlineStr">
        <is>
          <t>Coleta</t>
        </is>
      </c>
      <c r="J75" s="115" t="inlineStr">
        <is>
          <t>Comum (Honra 0)</t>
        </is>
      </c>
      <c r="K75" s="115" t="inlineStr">
        <is>
          <t>Mestre Bran</t>
        </is>
      </c>
    </row>
    <row r="76" ht="15" customHeight="1" s="116">
      <c r="A76" s="115" t="inlineStr">
        <is>
          <t>Ferro</t>
        </is>
      </c>
      <c r="B76" s="115" t="inlineStr">
        <is>
          <t>Relíquias Sem Dono</t>
        </is>
      </c>
      <c r="C76" s="115" t="inlineStr">
        <is>
          <t>Coleta (Significativa)</t>
        </is>
      </c>
      <c r="D76" s="115" t="inlineStr">
        <is>
          <t>Recupere 3x Saco de Relíquias Menores do Ladrão de Relíquias antes que ele venda tudo pro mercado negro.</t>
        </is>
      </c>
      <c r="E76" s="115" t="inlineStr">
        <is>
          <t>28 Ouro.</t>
        </is>
      </c>
      <c r="I76" s="115" t="inlineStr">
        <is>
          <t>Coleta</t>
        </is>
      </c>
      <c r="J76" s="115" t="inlineStr">
        <is>
          <t>Veterano (Honra 50)</t>
        </is>
      </c>
      <c r="K76" s="115" t="inlineStr">
        <is>
          <t>Doran o Mascate de Penhores</t>
        </is>
      </c>
    </row>
    <row r="77" ht="15" customHeight="1" s="116">
      <c r="A77" s="115" t="inlineStr">
        <is>
          <t>Ferro</t>
        </is>
      </c>
      <c r="B77" s="115" t="inlineStr">
        <is>
          <t>Fagulha Guardada</t>
        </is>
      </c>
      <c r="C77" s="115" t="inlineStr">
        <is>
          <t>Coleta (Significativa)</t>
        </is>
      </c>
      <c r="D77" s="115" t="inlineStr">
        <is>
          <t>Traga 1x Fagulha do Primeiro Forjador pro Irmão Lucian, que quer estudar o espírito do ferreiro original antes que ele se apague de vez.</t>
        </is>
      </c>
      <c r="E77" s="115" t="inlineStr">
        <is>
          <t>25 Ouro + Irmão Lucian reduz 5 de Corrupção do grupo (ato de misericórdia).</t>
        </is>
      </c>
      <c r="I77" s="115" t="inlineStr">
        <is>
          <t>Coleta</t>
        </is>
      </c>
      <c r="J77" s="115" t="inlineStr">
        <is>
          <t>Veterano (Honra 50)</t>
        </is>
      </c>
      <c r="K77" s="115" t="inlineStr">
        <is>
          <t>Irmão Lucian</t>
        </is>
      </c>
    </row>
    <row r="78" ht="15" customHeight="1" s="116">
      <c r="A78" s="115" t="inlineStr">
        <is>
          <t>Ferro</t>
        </is>
      </c>
      <c r="B78" s="115" t="inlineStr">
        <is>
          <t>O Comandante Que Ainda Ordena</t>
        </is>
      </c>
      <c r="C78" s="115" t="inlineStr">
        <is>
          <t>Caça de Elite (Significativa)</t>
        </is>
      </c>
      <c r="D78" s="115" t="inlineStr">
        <is>
          <t>Silencie o Esqueleto Comandante antes que ele reorganize os esqueletos soltos da muralha numa guarda de verdade.</t>
        </is>
      </c>
      <c r="E78" s="115" t="inlineStr">
        <is>
          <t>50 Ouro + 1 item Raro do tier.</t>
        </is>
      </c>
      <c r="I78" s="115" t="inlineStr">
        <is>
          <t>Elite</t>
        </is>
      </c>
      <c r="J78" s="115" t="inlineStr">
        <is>
          <t>Veterano (Honra 50)</t>
        </is>
      </c>
      <c r="K78" s="115" t="inlineStr">
        <is>
          <t>Capitão Vane</t>
        </is>
      </c>
    </row>
    <row r="79" ht="15" customHeight="1" s="116">
      <c r="A79" s="115" t="inlineStr">
        <is>
          <t>Ferro</t>
        </is>
      </c>
      <c r="B79" s="115" t="inlineStr">
        <is>
          <t>O Espírito Preso no Veio</t>
        </is>
      </c>
      <c r="C79" s="115" t="inlineStr">
        <is>
          <t>Segredo (Significativa)</t>
        </is>
      </c>
      <c r="D79" s="115" t="inlineStr">
        <is>
          <t>Decida o destino do Espírito Fugidio do Minério — ajude-o a escapar ou capture-o pelo material raro que carrega.</t>
        </is>
      </c>
      <c r="E79" s="115" t="inlineStr">
        <is>
          <t>Ajudar a escapar: 20 Ouro + reputação com Kaelen (que respeita almas presas). Capturar: 1x Resíduo Etéreo do Espírito Fugidio garantido, sem reputação.</t>
        </is>
      </c>
      <c r="I79" s="115" t="inlineStr">
        <is>
          <t>Exploração</t>
        </is>
      </c>
      <c r="J79" s="115" t="inlineStr">
        <is>
          <t>Veterano (Honra 50)</t>
        </is>
      </c>
      <c r="K79" s="115" t="inlineStr">
        <is>
          <t>Kaelen o Rastejador</t>
        </is>
      </c>
    </row>
    <row r="80" ht="15" customHeight="1" s="116">
      <c r="A80" s="115" t="inlineStr">
        <is>
          <t>Ferro</t>
        </is>
      </c>
      <c r="B80" s="115" t="inlineStr">
        <is>
          <t>Forjando o Arco de Osso Reforçado</t>
        </is>
      </c>
      <c r="C80" s="115" t="inlineStr">
        <is>
          <t>Crafting</t>
        </is>
      </c>
      <c r="D80" s="115" t="inlineStr">
        <is>
          <t>Colete os materiais e forje 1 Arco de Osso Reforçado com o Mestre Bran.</t>
        </is>
      </c>
      <c r="I80" s="115" t="inlineStr">
        <is>
          <t>Crafting</t>
        </is>
      </c>
      <c r="J80" s="115" t="inlineStr">
        <is>
          <t>Veterano (Honra 50)</t>
        </is>
      </c>
      <c r="K80" s="115" t="inlineStr">
        <is>
          <t>Mestre Bran</t>
        </is>
      </c>
      <c r="M80" s="115" t="inlineStr">
        <is>
          <t>Arco de Osso Reforçado (+10% de precisão em ataques à distância)</t>
        </is>
      </c>
    </row>
    <row r="81" ht="15" customHeight="1" s="116">
      <c r="A81" s="241" t="inlineStr">
        <is>
          <t>Prata</t>
        </is>
      </c>
      <c r="B81" s="241" t="inlineStr">
        <is>
          <t>As Vozes Que Não Calam</t>
        </is>
      </c>
      <c r="C81" s="241" t="inlineStr">
        <is>
          <t>Caça (Modesta)</t>
        </is>
      </c>
      <c r="D81" s="241" t="inlineStr">
        <is>
          <t>Silencie as Aparições do Sudário e Zumbis da Cripta que ainda vagam pelos corredores externos.</t>
        </is>
      </c>
      <c r="E81" s="241" t="inlineStr">
        <is>
          <t>25 Ouro.</t>
        </is>
      </c>
      <c r="F81" s="242" t="n"/>
      <c r="G81" s="242" t="n"/>
      <c r="H81" s="242" t="n"/>
      <c r="I81" s="242" t="inlineStr">
        <is>
          <t>Combate (Grind)</t>
        </is>
      </c>
      <c r="J81" s="242" t="inlineStr">
        <is>
          <t>Comum (Honra 0)</t>
        </is>
      </c>
      <c r="K81" s="242" t="inlineStr">
        <is>
          <t>Irmã Valéria dos Sem-Voz</t>
        </is>
      </c>
      <c r="L81" s="242" t="n"/>
      <c r="M81" s="242" t="n"/>
    </row>
    <row r="82" ht="15" customHeight="1" s="116">
      <c r="A82" s="241" t="inlineStr">
        <is>
          <t>Prata</t>
        </is>
      </c>
      <c r="B82" s="241" t="inlineStr">
        <is>
          <t>O Relicário Perdido</t>
        </is>
      </c>
      <c r="C82" s="241" t="inlineStr">
        <is>
          <t>Tesouro (Significativa)</t>
        </is>
      </c>
      <c r="D82" s="241" t="inlineStr">
        <is>
          <t>Ache o relicário de prata roubado das catacumbas — a mesma missão que a Irmã Valéria dos Sem-Voz pede na Baronia.</t>
        </is>
      </c>
      <c r="E82" s="241" t="inlineStr">
        <is>
          <t>45 Ouro + 1 item Raro do tier.</t>
        </is>
      </c>
      <c r="F82" s="242" t="n"/>
      <c r="G82" s="242" t="n"/>
      <c r="H82" s="242" t="n"/>
      <c r="I82" s="242" t="inlineStr">
        <is>
          <t>Exploração</t>
        </is>
      </c>
      <c r="J82" s="242" t="inlineStr">
        <is>
          <t>Comum (Honra 0)</t>
        </is>
      </c>
      <c r="K82" s="242" t="inlineStr">
        <is>
          <t>Doran o Mascate de Penhores</t>
        </is>
      </c>
      <c r="L82" s="242" t="n"/>
      <c r="M82" s="242" t="inlineStr">
        <is>
          <t>1 item Raro do tier</t>
        </is>
      </c>
    </row>
    <row r="83" ht="15" customHeight="1" s="116">
      <c r="A83" s="241" t="inlineStr">
        <is>
          <t>Prata</t>
        </is>
      </c>
      <c r="B83" s="241" t="inlineStr">
        <is>
          <t>O Voto de Valéria</t>
        </is>
      </c>
      <c r="C83" s="241" t="inlineStr">
        <is>
          <t>Segredo (Gente Humilde)</t>
        </is>
      </c>
      <c r="D83" s="241" t="inlineStr">
        <is>
          <t>Descubra por que a Irmã Valéria cortou a própria voz, ajudando-a a concluir um ritual de proteção pendente.</t>
        </is>
      </c>
      <c r="E83" s="241" t="inlineStr">
        <is>
          <t>20 Ouro + Valéria realiza o Banho de Prata Sagrada de graça uma vez (reduz 15 de Corrupção).</t>
        </is>
      </c>
      <c r="F83" s="243" t="n"/>
      <c r="G83" s="243" t="n"/>
      <c r="H83" s="242" t="n"/>
      <c r="I83" s="242" t="inlineStr">
        <is>
          <t>Social</t>
        </is>
      </c>
      <c r="J83" s="242" t="inlineStr">
        <is>
          <t>Comum (Honra 0)</t>
        </is>
      </c>
      <c r="K83" s="242" t="inlineStr">
        <is>
          <t>Irmã Valéria dos Sem-Voz</t>
        </is>
      </c>
      <c r="L83" s="242" t="n"/>
      <c r="M83" s="242" t="n"/>
    </row>
    <row r="84" ht="15" customHeight="1" s="116">
      <c r="A84" s="241" t="inlineStr">
        <is>
          <t>Prata</t>
        </is>
      </c>
      <c r="B84" s="241" t="inlineStr">
        <is>
          <t>A Irmã Traidora</t>
        </is>
      </c>
      <c r="C84" s="241" t="inlineStr">
        <is>
          <t>Traição (dilema — recompensa varia)</t>
        </is>
      </c>
      <c r="D84" s="241" t="inlineStr">
        <is>
          <t>Encontre a Irmã que quebrou o voto de silêncio por amor a um aldeão condenado.</t>
        </is>
      </c>
      <c r="E84" s="241" t="inlineStr">
        <is>
          <t>Poupar: ela vira aliada secreta (info sobre O Ceifador em combates futuros). Entregar à Fraternidade: 35 Ouro, mas ela é executada.</t>
        </is>
      </c>
      <c r="F84" s="161" t="inlineStr">
        <is>
          <t>A Fraternidade dos Sem-Voz</t>
        </is>
      </c>
      <c r="G84" s="161" t="inlineStr">
        <is>
          <t>-20 poupar (ela é oficialmente traidora pra eles) / +10 entregar</t>
        </is>
      </c>
      <c r="H84" s="242" t="n"/>
      <c r="I84" s="242" t="inlineStr">
        <is>
          <t>Social</t>
        </is>
      </c>
      <c r="J84" s="242" t="inlineStr">
        <is>
          <t>Veterano (Honra 50)</t>
        </is>
      </c>
      <c r="K84" s="242" t="inlineStr">
        <is>
          <t>Irmã Valéria dos Sem-Voz</t>
        </is>
      </c>
      <c r="L84" s="242" t="n"/>
      <c r="M84" s="242" t="n"/>
    </row>
    <row r="85" ht="15" customHeight="1" s="116">
      <c r="A85" s="241" t="inlineStr">
        <is>
          <t>Prata</t>
        </is>
      </c>
      <c r="B85" s="241" t="inlineStr">
        <is>
          <t>O Inquisidor Que Não Ouve Súplicas</t>
        </is>
      </c>
      <c r="C85" s="241" t="inlineStr">
        <is>
          <t>Caça de Elite (Significativa)</t>
        </is>
      </c>
      <c r="D85" s="241" t="inlineStr">
        <is>
          <t>Impeça o Inquisidor do Silêncio de encontrar os últimos sacerdotes não-cultistas escondidos na região.</t>
        </is>
      </c>
      <c r="E85" s="241" t="inlineStr">
        <is>
          <t>50 Ouro + 1 item Raro do tier.</t>
        </is>
      </c>
      <c r="F85" s="242" t="n"/>
      <c r="G85" s="242" t="n"/>
      <c r="H85" s="242" t="n"/>
      <c r="I85" s="242" t="inlineStr">
        <is>
          <t>Elite</t>
        </is>
      </c>
      <c r="J85" s="242" t="inlineStr">
        <is>
          <t>Veterano (Honra 50)</t>
        </is>
      </c>
      <c r="K85" s="242" t="inlineStr">
        <is>
          <t>Irmã Valéria dos Sem-Voz</t>
        </is>
      </c>
      <c r="L85" s="242" t="n"/>
      <c r="M85" s="242" t="inlineStr">
        <is>
          <t>1 item Raro do tier</t>
        </is>
      </c>
    </row>
    <row r="86" ht="15" customHeight="1" s="116">
      <c r="A86" s="241" t="inlineStr">
        <is>
          <t>Prata</t>
        </is>
      </c>
      <c r="B86" s="241" t="inlineStr">
        <is>
          <t>Descanso nas Catacumbas</t>
        </is>
      </c>
      <c r="C86" s="241" t="inlineStr">
        <is>
          <t>Social/Pacífica (Gente Humilde)</t>
        </is>
      </c>
      <c r="D86" s="241" t="inlineStr">
        <is>
          <t>Em vez de destruir os Zumbis da Cripta, encontre seus nomes esquecidos e dê a eles descanso adequado.</t>
        </is>
      </c>
      <c r="E86" s="241" t="inlineStr">
        <is>
          <t>10 Ouro + reduz 5 de Corrupção (ato de misericórdia, não de combate).</t>
        </is>
      </c>
      <c r="F86" s="242" t="n"/>
      <c r="G86" s="242" t="n"/>
      <c r="H86" s="242" t="n"/>
      <c r="I86" s="242" t="inlineStr">
        <is>
          <t>Social</t>
        </is>
      </c>
      <c r="J86" s="242" t="inlineStr">
        <is>
          <t>Comum (Honra 0)</t>
        </is>
      </c>
      <c r="K86" s="242" t="inlineStr">
        <is>
          <t>Kaelen o Rastejador</t>
        </is>
      </c>
      <c r="L86" s="242" t="n"/>
      <c r="M86" s="242" t="n"/>
    </row>
    <row r="87" ht="15" customHeight="1" s="116">
      <c r="A87" s="241" t="inlineStr">
        <is>
          <t>Prata</t>
        </is>
      </c>
      <c r="B87" s="241" t="inlineStr">
        <is>
          <t>O Sino Que Não Deve Tocar</t>
        </is>
      </c>
      <c r="C87" s="241" t="inlineStr">
        <is>
          <t>Boss Opcional (Definidora — risco real)</t>
        </is>
      </c>
      <c r="D87" s="241" t="inlineStr">
        <is>
          <t>Enfrente o Guardião do Sino nas Criptas de Prata pra recuperar o artefato lendário — mas tocá-lo pode atrair o Ceifador antes da hora.</t>
        </is>
      </c>
      <c r="E87" s="241" t="inlineStr">
        <is>
          <t>130 Ouro + o artefato "O Sino Que Não Deve Tocar" (anula conjuração de todos por 2 turnos, 1x por combate).</t>
        </is>
      </c>
      <c r="F87" s="242" t="n"/>
      <c r="G87" s="242" t="n"/>
      <c r="H87" s="242" t="n"/>
      <c r="I87" s="242" t="inlineStr">
        <is>
          <t>Elite</t>
        </is>
      </c>
      <c r="J87" s="242" t="inlineStr">
        <is>
          <t>Lendário (Honra 100)</t>
        </is>
      </c>
      <c r="K87" s="242" t="inlineStr">
        <is>
          <t>Irmã Valéria dos Sem-Voz</t>
        </is>
      </c>
      <c r="L87" s="242" t="n"/>
      <c r="M87" s="242" t="n"/>
    </row>
    <row r="88" ht="15" customHeight="1" s="116">
      <c r="A88" s="115" t="inlineStr">
        <is>
          <t>Prata</t>
        </is>
      </c>
      <c r="B88" s="115" t="inlineStr">
        <is>
          <t>Espectros na Entrada</t>
        </is>
      </c>
      <c r="C88" s="115" t="inlineStr">
        <is>
          <t>Caça (Modesta)</t>
        </is>
      </c>
      <c r="D88" s="115" t="inlineStr">
        <is>
          <t>Mate 3 Aparições da Entrada que assombram quem tenta entrar nas criptas.</t>
        </is>
      </c>
      <c r="E88" s="115" t="inlineStr">
        <is>
          <t>26 Ouro.</t>
        </is>
      </c>
      <c r="I88" s="115" t="inlineStr">
        <is>
          <t>Combate (Grind)</t>
        </is>
      </c>
      <c r="J88" s="115" t="inlineStr">
        <is>
          <t>Comum (Honra 0)</t>
        </is>
      </c>
      <c r="K88" s="115" t="inlineStr">
        <is>
          <t>Kaelen o Rastejador</t>
        </is>
      </c>
    </row>
    <row r="89" ht="15" customHeight="1" s="116">
      <c r="A89" s="115" t="inlineStr">
        <is>
          <t>Prata</t>
        </is>
      </c>
      <c r="B89" s="115" t="inlineStr">
        <is>
          <t>O Peso do Sudário</t>
        </is>
      </c>
      <c r="C89" s="115" t="inlineStr">
        <is>
          <t>Caça (Modesta)</t>
        </is>
      </c>
      <c r="D89" s="115" t="inlineStr">
        <is>
          <t>Elimine os Vermes do Sudário antes que se espalhem da câmara externa pra câmara interna.</t>
        </is>
      </c>
      <c r="E89" s="115" t="inlineStr">
        <is>
          <t>28 Ouro.</t>
        </is>
      </c>
      <c r="I89" s="115" t="inlineStr">
        <is>
          <t>Combate (Grind)</t>
        </is>
      </c>
      <c r="J89" s="115" t="inlineStr">
        <is>
          <t>Comum (Honra 0)</t>
        </is>
      </c>
      <c r="K89" s="115" t="inlineStr">
        <is>
          <t>Irmã Valéria dos Sem-Voz</t>
        </is>
      </c>
    </row>
    <row r="90" ht="15" customHeight="1" s="116">
      <c r="A90" s="115" t="inlineStr">
        <is>
          <t>Prata</t>
        </is>
      </c>
      <c r="B90" s="115" t="inlineStr">
        <is>
          <t>Prata Pra Valéria</t>
        </is>
      </c>
      <c r="C90" s="115" t="inlineStr">
        <is>
          <t>Coleta (Preparo)</t>
        </is>
      </c>
      <c r="D90" s="115" t="inlineStr">
        <is>
          <t>Traga 4x Veio de Prata Pálida pra Irmã Valéria, que precisa reforçar o Banho de Prata Sagrada.</t>
        </is>
      </c>
      <c r="E90" s="115" t="inlineStr">
        <is>
          <t>22 Ouro + Valéria forja de graça 1 Peitoral de Prata (Comum) pra você.</t>
        </is>
      </c>
      <c r="I90" s="115" t="inlineStr">
        <is>
          <t>Coleta</t>
        </is>
      </c>
      <c r="J90" s="115" t="inlineStr">
        <is>
          <t>Comum (Honra 0)</t>
        </is>
      </c>
      <c r="K90" s="115" t="inlineStr">
        <is>
          <t>Irmã Valéria dos Sem-Voz</t>
        </is>
      </c>
    </row>
    <row r="91" ht="15" customHeight="1" s="116">
      <c r="A91" s="115" t="inlineStr">
        <is>
          <t>Prata</t>
        </is>
      </c>
      <c r="B91" s="115" t="inlineStr">
        <is>
          <t>Sudários Intactos</t>
        </is>
      </c>
      <c r="C91" s="115" t="inlineStr">
        <is>
          <t>Coleta (Significativa)</t>
        </is>
      </c>
      <c r="D91" s="115" t="inlineStr">
        <is>
          <t>Traga 3x Fio de Sudário Frio pro Doran, que revende como curiosidade rara no mercado negro.</t>
        </is>
      </c>
      <c r="E91" s="115" t="inlineStr">
        <is>
          <t>30 Ouro.</t>
        </is>
      </c>
      <c r="I91" s="115" t="inlineStr">
        <is>
          <t>Coleta</t>
        </is>
      </c>
      <c r="J91" s="115" t="inlineStr">
        <is>
          <t>Veterano (Honra 50)</t>
        </is>
      </c>
      <c r="K91" s="115" t="inlineStr">
        <is>
          <t>Doran o Mascate de Penhores</t>
        </is>
      </c>
    </row>
    <row r="92" ht="15" customHeight="1" s="116">
      <c r="A92" s="115" t="inlineStr">
        <is>
          <t>Prata</t>
        </is>
      </c>
      <c r="B92" s="115" t="inlineStr">
        <is>
          <t>O Terço Perdido</t>
        </is>
      </c>
      <c r="C92" s="115" t="inlineStr">
        <is>
          <t>Coleta (Significativa)</t>
        </is>
      </c>
      <c r="D92" s="115" t="inlineStr">
        <is>
          <t>Recupere o Terço Quebrado da Freira Perdida antes que se perca pra sempre nos corredores dos ecos.</t>
        </is>
      </c>
      <c r="E92" s="115" t="inlineStr">
        <is>
          <t>25 Ouro + Irmã Valéria reduz 5 de Corrupção do grupo (ato de misericórdia).</t>
        </is>
      </c>
      <c r="I92" s="115" t="inlineStr">
        <is>
          <t>Coleta</t>
        </is>
      </c>
      <c r="J92" s="115" t="inlineStr">
        <is>
          <t>Veterano (Honra 50)</t>
        </is>
      </c>
      <c r="K92" s="115" t="inlineStr">
        <is>
          <t>Irmã Valéria dos Sem-Voz</t>
        </is>
      </c>
    </row>
    <row r="93" ht="15" customHeight="1" s="116">
      <c r="A93" s="115" t="inlineStr">
        <is>
          <t>Prata</t>
        </is>
      </c>
      <c r="B93" s="115" t="inlineStr">
        <is>
          <t>O Salão dos Esquecidos</t>
        </is>
      </c>
      <c r="C93" s="115" t="inlineStr">
        <is>
          <t>Exploração (Significativa)</t>
        </is>
      </c>
      <c r="D93" s="115" t="inlineStr">
        <is>
          <t>Explore o salão dos cavaleiros e descubra por que nenhum deles tem nome.</t>
        </is>
      </c>
      <c r="E93" s="115" t="inlineStr">
        <is>
          <t>35 Ouro + 1 item Raro do tier.</t>
        </is>
      </c>
      <c r="I93" s="115" t="inlineStr">
        <is>
          <t>Exploração</t>
        </is>
      </c>
      <c r="J93" s="115" t="inlineStr">
        <is>
          <t>Comum (Honra 0)</t>
        </is>
      </c>
      <c r="K93" s="115" t="inlineStr">
        <is>
          <t>Kaelen o Rastejador</t>
        </is>
      </c>
    </row>
    <row r="94" ht="15" customHeight="1" s="116">
      <c r="A94" s="115" t="inlineStr">
        <is>
          <t>Prata</t>
        </is>
      </c>
      <c r="B94" s="115" t="inlineStr">
        <is>
          <t>A Alma no Sino</t>
        </is>
      </c>
      <c r="C94" s="115" t="inlineStr">
        <is>
          <t>Segredo (Significativa)</t>
        </is>
      </c>
      <c r="D94" s="115" t="inlineStr">
        <is>
          <t>Investigue a Alma Presa no Sino, que ainda tenta tocar o alarme séculos depois de morrer tentando.</t>
        </is>
      </c>
      <c r="E94" s="115" t="inlineStr">
        <is>
          <t>30 Ouro + revela uma pista sobre o Guardião do Sino antes do confronto.</t>
        </is>
      </c>
      <c r="I94" s="115" t="inlineStr">
        <is>
          <t>Exploração</t>
        </is>
      </c>
      <c r="J94" s="115" t="inlineStr">
        <is>
          <t>Veterano (Honra 50)</t>
        </is>
      </c>
      <c r="K94" s="115" t="inlineStr">
        <is>
          <t>Irmã Valéria dos Sem-Voz</t>
        </is>
      </c>
    </row>
    <row r="95" ht="15" customHeight="1" s="116">
      <c r="A95" s="115" t="inlineStr">
        <is>
          <t>Prata</t>
        </is>
      </c>
      <c r="B95" s="115" t="inlineStr">
        <is>
          <t>Forjando a Placa Remendada</t>
        </is>
      </c>
      <c r="C95" s="115" t="inlineStr">
        <is>
          <t>Crafting</t>
        </is>
      </c>
      <c r="D95" s="115" t="inlineStr">
        <is>
          <t>Colete os materiais e forje 1 Placa Remendada do Cavaleiro com o Mestre Bran.</t>
        </is>
      </c>
      <c r="I95" s="115" t="inlineStr">
        <is>
          <t>Crafting</t>
        </is>
      </c>
      <c r="J95" s="115" t="inlineStr">
        <is>
          <t>Veterano (Honra 50)</t>
        </is>
      </c>
      <c r="K95" s="115" t="inlineStr">
        <is>
          <t>Mestre Bran</t>
        </is>
      </c>
      <c r="M95" s="115" t="inlineStr">
        <is>
          <t>Placa Remendada do Cavaleiro (+2 de Defesa leve)</t>
        </is>
      </c>
    </row>
    <row r="96" ht="15" customHeight="1" s="116">
      <c r="A96" s="241" t="inlineStr">
        <is>
          <t>Aco Elfico</t>
        </is>
      </c>
      <c r="B96" s="241" t="inlineStr">
        <is>
          <t>Sentinelas Erradas</t>
        </is>
      </c>
      <c r="C96" s="241" t="inlineStr">
        <is>
          <t>Caça (Modesta)</t>
        </is>
      </c>
      <c r="D96" s="241" t="inlineStr">
        <is>
          <t>Abata as Sentinelas e Arqueiros que despertaram fora de hora pela corrupção no ar — sem ferir os guardiões legítimos.</t>
        </is>
      </c>
      <c r="E96" s="241" t="inlineStr">
        <is>
          <t>28 Ouro.</t>
        </is>
      </c>
      <c r="F96" s="242" t="n"/>
      <c r="G96" s="242" t="n"/>
      <c r="H96" s="242" t="n"/>
      <c r="I96" s="242" t="inlineStr">
        <is>
          <t>Combate (Grind)</t>
        </is>
      </c>
      <c r="J96" s="242" t="inlineStr">
        <is>
          <t>Comum (Honra 0)</t>
        </is>
      </c>
      <c r="K96" s="242" t="inlineStr">
        <is>
          <t>Grã-Senhora Elysea</t>
        </is>
      </c>
      <c r="L96" s="242" t="n"/>
      <c r="M96" s="242" t="n"/>
    </row>
    <row r="97" ht="15" customHeight="1" s="116">
      <c r="A97" s="241" t="inlineStr">
        <is>
          <t>Aco Elfico</t>
        </is>
      </c>
      <c r="B97" s="241" t="inlineStr">
        <is>
          <t>As Sementes da Árvore-Mãe</t>
        </is>
      </c>
      <c r="C97" s="241" t="inlineStr">
        <is>
          <t>Coleta (Preparo — a pedido de Lyra das Folhas Cantantes)</t>
        </is>
      </c>
      <c r="D97" s="241" t="inlineStr">
        <is>
          <t>Colete 3x Sabugueiro Ancestral puro nas ruínas pra Lyra restaurar a própria magia, perdida numa emboscada do Inquisidor do Silêncio.</t>
        </is>
      </c>
      <c r="E97" s="241" t="inlineStr">
        <is>
          <t>25 Ouro + Lyra forja de graça 1 Elixir de Mana Élfica (Comum).</t>
        </is>
      </c>
      <c r="F97" s="242" t="n"/>
      <c r="G97" s="242" t="n"/>
      <c r="H97" s="242" t="n"/>
      <c r="I97" s="242" t="inlineStr">
        <is>
          <t>Coleta</t>
        </is>
      </c>
      <c r="J97" s="242" t="inlineStr">
        <is>
          <t>Comum (Honra 0)</t>
        </is>
      </c>
      <c r="K97" s="242" t="inlineStr">
        <is>
          <t>Lyra das Folhas Cantantes</t>
        </is>
      </c>
      <c r="L97" s="242" t="n"/>
      <c r="M97" s="242" t="n"/>
    </row>
    <row r="98" ht="15" customHeight="1" s="116">
      <c r="A98" s="241" t="inlineStr">
        <is>
          <t>Aco Elfico</t>
        </is>
      </c>
      <c r="B98" s="241" t="inlineStr">
        <is>
          <t>As Runas do Guardião</t>
        </is>
      </c>
      <c r="C98" s="241" t="inlineStr">
        <is>
          <t>Segredo (Gente Humilde — Mestre Oron)</t>
        </is>
      </c>
      <c r="D98" s="241" t="inlineStr">
        <is>
          <t>Decifre as runas na base do Guardião dos Bosques Pétreos pro Mestre Oron da Academia dos Ecos.</t>
        </is>
      </c>
      <c r="E98" s="241" t="inlineStr">
        <is>
          <t>20 Ouro + Oron revela a localização de um item Raro escondido nas ruínas.</t>
        </is>
      </c>
      <c r="F98" s="242" t="n"/>
      <c r="G98" s="242" t="n"/>
      <c r="H98" s="242" t="n"/>
      <c r="I98" s="242" t="inlineStr">
        <is>
          <t>Exploração</t>
        </is>
      </c>
      <c r="J98" s="242" t="inlineStr">
        <is>
          <t>Comum (Honra 0)</t>
        </is>
      </c>
      <c r="K98" s="242" t="inlineStr">
        <is>
          <t>Mestre Oron</t>
        </is>
      </c>
      <c r="L98" s="242" t="n"/>
      <c r="M98" s="242" t="n"/>
    </row>
    <row r="99" ht="15" customHeight="1" s="116">
      <c r="A99" s="241" t="inlineStr">
        <is>
          <t>Aco Elfico</t>
        </is>
      </c>
      <c r="B99" s="241" t="inlineStr">
        <is>
          <t>O Luto de Silas</t>
        </is>
      </c>
      <c r="C99" s="241" t="inlineStr">
        <is>
          <t>Segredo (Significativa)</t>
        </is>
      </c>
      <c r="D99" s="241" t="inlineStr">
        <is>
          <t>Ajude Silas o Rastreador Noturno a confirmar quem matou a família dele.</t>
        </is>
      </c>
      <c r="E99" s="241" t="inlineStr">
        <is>
          <t>30 Ouro + Silas ensina uma técnica de rastreio (bônus permanente em testes de Percepção em florestas/ruínas).</t>
        </is>
      </c>
      <c r="F99" s="243" t="n"/>
      <c r="G99" s="243" t="n"/>
      <c r="H99" s="242" t="n"/>
      <c r="I99" s="242" t="inlineStr">
        <is>
          <t>Exploração</t>
        </is>
      </c>
      <c r="J99" s="242" t="inlineStr">
        <is>
          <t>Veterano (Honra 50)</t>
        </is>
      </c>
      <c r="K99" s="242" t="inlineStr">
        <is>
          <t>Silas o Rastreador Noturno</t>
        </is>
      </c>
      <c r="L99" s="242" t="n"/>
      <c r="M99" s="242" t="n"/>
    </row>
    <row r="100" ht="15" customHeight="1" s="116">
      <c r="A100" s="241" t="inlineStr">
        <is>
          <t>Aco Elfico</t>
        </is>
      </c>
      <c r="B100" s="241" t="inlineStr">
        <is>
          <t>O Pacto Élfico-Anão</t>
        </is>
      </c>
      <c r="C100" s="241" t="inlineStr">
        <is>
          <t>Traição (dilema — recompensa varia)</t>
        </is>
      </c>
      <c r="D100" s="241" t="inlineStr">
        <is>
          <t>Elysea e Thrum discordam sobre como lidar com a ameaça na região. Escolha um lado.</t>
        </is>
      </c>
      <c r="E100" s="241" t="inlineStr">
        <is>
          <t>Lado de Elysea: desconto permanente na loja élfica. Lado de Thrum: desconto permanente na loja anã. Nunca os dois.</t>
        </is>
      </c>
      <c r="F100" s="161" t="inlineStr">
        <is>
          <t>A Vigília das Folhas de Prata / Clã Martelo de Vapor</t>
        </is>
      </c>
      <c r="G100" s="161" t="inlineStr">
        <is>
          <t>+20 na facção escolhida / -10 na outra</t>
        </is>
      </c>
      <c r="H100" s="242" t="n"/>
      <c r="I100" s="242" t="inlineStr">
        <is>
          <t>Social</t>
        </is>
      </c>
      <c r="J100" s="242" t="inlineStr">
        <is>
          <t>Veterano (Honra 50)</t>
        </is>
      </c>
      <c r="K100" s="242" t="inlineStr">
        <is>
          <t>Grã-Senhora Elysea / Thrum o Engenheiro Renegado</t>
        </is>
      </c>
      <c r="L100" s="242" t="n"/>
      <c r="M100" s="242" t="n"/>
    </row>
    <row r="101" ht="15" customHeight="1" s="116">
      <c r="A101" s="241" t="inlineStr">
        <is>
          <t>Aco Elfico</t>
        </is>
      </c>
      <c r="B101" s="241" t="inlineStr">
        <is>
          <t>O Caçador de Conjuradores</t>
        </is>
      </c>
      <c r="C101" s="241" t="inlineStr">
        <is>
          <t>Caça de Elite (Significativa — risco real)</t>
        </is>
      </c>
      <c r="D101" s="241" t="inlineStr">
        <is>
          <t>Impeça o Caçador de Conjuradores de matar Lyra antes que ela conclua o próprio ritual de cura.</t>
        </is>
      </c>
      <c r="E101" s="241" t="inlineStr">
        <is>
          <t>55 Ouro + 1 item Raro. Falhar = Lyra morre e a loja dela fecha pro resto da campanha.</t>
        </is>
      </c>
      <c r="F101" s="242" t="n"/>
      <c r="G101" s="242" t="n"/>
      <c r="H101" s="242" t="n"/>
      <c r="I101" s="242" t="inlineStr">
        <is>
          <t>Elite</t>
        </is>
      </c>
      <c r="J101" s="242" t="inlineStr">
        <is>
          <t>Veterano (Honra 50)</t>
        </is>
      </c>
      <c r="K101" s="242" t="inlineStr">
        <is>
          <t>Lyra das Folhas Cantantes</t>
        </is>
      </c>
      <c r="L101" s="242" t="n"/>
      <c r="M101" s="242" t="n"/>
    </row>
    <row r="102" ht="15" customHeight="1" s="116">
      <c r="A102" s="241" t="inlineStr">
        <is>
          <t>Aco Elfico</t>
        </is>
      </c>
      <c r="B102" s="241" t="inlineStr">
        <is>
          <t>O Núcleo Desgovernado</t>
        </is>
      </c>
      <c r="C102" s="241" t="inlineStr">
        <is>
          <t>Boss Opcional (Definidora — pedido secreto de Thrum)</t>
        </is>
      </c>
      <c r="D102" s="241" t="inlineStr">
        <is>
          <t>Desative a máquina descontrolada de Thrum antes que destrua parte das ruínas — sem que Elysea descubra que foi erro dele.</t>
        </is>
      </c>
      <c r="E102" s="241" t="inlineStr">
        <is>
          <t>110 Ouro + 1 item Lendário + Thrum vira aliado pro resto da campanha.</t>
        </is>
      </c>
      <c r="F102" s="242" t="n"/>
      <c r="G102" s="242" t="n"/>
      <c r="H102" s="242" t="n"/>
      <c r="I102" s="242" t="inlineStr">
        <is>
          <t>Elite</t>
        </is>
      </c>
      <c r="J102" s="242" t="inlineStr">
        <is>
          <t>Lendário (Honra 100)</t>
        </is>
      </c>
      <c r="K102" s="242" t="inlineStr">
        <is>
          <t>Thrum o Engenheiro Renegado</t>
        </is>
      </c>
      <c r="L102" s="242" t="n"/>
      <c r="M102" s="242" t="n"/>
    </row>
    <row r="103" ht="15" customHeight="1" s="116">
      <c r="A103" s="241" t="inlineStr">
        <is>
          <t>Aco Elfico</t>
        </is>
      </c>
      <c r="B103" s="241" t="inlineStr">
        <is>
          <t>A Última Elfa</t>
        </is>
      </c>
      <c r="C103" s="241" t="inlineStr">
        <is>
          <t>Boss (Definidora de Tier — fecha o arco élfico)</t>
        </is>
      </c>
      <c r="D103" s="241" t="inlineStr">
        <is>
          <t>Enfrente ou negocie com o Espírito da Última Elfa, guardiã do sarcófago de jade.</t>
        </is>
      </c>
      <c r="E103" s="241" t="inlineStr">
        <is>
          <t>140 Ouro + o artefato "A Lâmina da Elfa Sem Nome" (ignora Defesa de alvos já feridos no combate).</t>
        </is>
      </c>
      <c r="F103" s="242" t="n"/>
      <c r="G103" s="242" t="n"/>
      <c r="H103" s="242" t="n"/>
      <c r="I103" s="242" t="inlineStr">
        <is>
          <t>Elite</t>
        </is>
      </c>
      <c r="J103" s="242" t="inlineStr">
        <is>
          <t>Lendário (Honra 100)</t>
        </is>
      </c>
      <c r="K103" s="242" t="inlineStr">
        <is>
          <t>Grã-Senhora Elysea</t>
        </is>
      </c>
      <c r="L103" s="242" t="n"/>
      <c r="M103" s="242" t="n"/>
    </row>
    <row r="104" ht="15" customHeight="1" s="116">
      <c r="A104" s="115" t="inlineStr">
        <is>
          <t>Aco Elfico</t>
        </is>
      </c>
      <c r="B104" s="115" t="inlineStr">
        <is>
          <t>Ecos Que Atacam</t>
        </is>
      </c>
      <c r="C104" s="115" t="inlineStr">
        <is>
          <t>Caça (Modesta)</t>
        </is>
      </c>
      <c r="D104" s="115" t="inlineStr">
        <is>
          <t>Mate 3 Ecos da Última Canção antes que se multipliquem em Ecos Menores pelos Bosques Pétreos.</t>
        </is>
      </c>
      <c r="E104" s="115" t="inlineStr">
        <is>
          <t>30 Ouro.</t>
        </is>
      </c>
      <c r="I104" s="115" t="inlineStr">
        <is>
          <t>Combate (Grind)</t>
        </is>
      </c>
      <c r="J104" s="115" t="inlineStr">
        <is>
          <t>Comum (Honra 0)</t>
        </is>
      </c>
      <c r="K104" s="115" t="inlineStr">
        <is>
          <t>Mestre Oron</t>
        </is>
      </c>
    </row>
    <row r="105" ht="15" customHeight="1" s="116">
      <c r="A105" s="115" t="inlineStr">
        <is>
          <t>Aco Elfico</t>
        </is>
      </c>
      <c r="B105" s="115" t="inlineStr">
        <is>
          <t>A Seiva Que Se Espalha</t>
        </is>
      </c>
      <c r="C105" s="115" t="inlineStr">
        <is>
          <t>Caça (Modesta)</t>
        </is>
      </c>
      <c r="D105" s="115" t="inlineStr">
        <is>
          <t>Elimine as Aranhas-Seiva antes que a seiva escurecida contamine mais árvores do bosque sagrado.</t>
        </is>
      </c>
      <c r="E105" s="115" t="inlineStr">
        <is>
          <t>32 Ouro.</t>
        </is>
      </c>
      <c r="I105" s="115" t="inlineStr">
        <is>
          <t>Combate (Grind)</t>
        </is>
      </c>
      <c r="J105" s="115" t="inlineStr">
        <is>
          <t>Comum (Honra 0)</t>
        </is>
      </c>
      <c r="K105" s="115" t="inlineStr">
        <is>
          <t>Lyra das Folhas Cantantes</t>
        </is>
      </c>
    </row>
    <row r="106" ht="15" customHeight="1" s="116">
      <c r="A106" s="115" t="inlineStr">
        <is>
          <t>Aco Elfico</t>
        </is>
      </c>
      <c r="B106" s="115" t="inlineStr">
        <is>
          <t>Aço Pra Elysea</t>
        </is>
      </c>
      <c r="C106" s="115" t="inlineStr">
        <is>
          <t>Coleta (Preparo)</t>
        </is>
      </c>
      <c r="D106" s="115" t="inlineStr">
        <is>
          <t>Traga 4x Metal Estriado Élfico pra Grã-Senhora Elysea, que quer reforçar as defesas do Entreposto.</t>
        </is>
      </c>
      <c r="E106" s="115" t="inlineStr">
        <is>
          <t>28 Ouro + Elysea forja de graça 1 Peitoral Élfico (Comum) pra você.</t>
        </is>
      </c>
      <c r="I106" s="115" t="inlineStr">
        <is>
          <t>Coleta</t>
        </is>
      </c>
      <c r="J106" s="115" t="inlineStr">
        <is>
          <t>Comum (Honra 0)</t>
        </is>
      </c>
      <c r="K106" s="115" t="inlineStr">
        <is>
          <t>Grã-Senhora Elysea</t>
        </is>
      </c>
    </row>
    <row r="107" ht="15" customHeight="1" s="116">
      <c r="A107" s="115" t="inlineStr">
        <is>
          <t>Aco Elfico</t>
        </is>
      </c>
      <c r="B107" s="115" t="inlineStr">
        <is>
          <t>A Última Canção Perdida</t>
        </is>
      </c>
      <c r="C107" s="115" t="inlineStr">
        <is>
          <t>Coleta (Significativa)</t>
        </is>
      </c>
      <c r="D107" s="115" t="inlineStr">
        <is>
          <t>Traga 2x Fragmento da Última Canção pro Mestre Oron, que quer completar o registro da Academia dos Ecos.</t>
        </is>
      </c>
      <c r="E107" s="115" t="inlineStr">
        <is>
          <t>30 Ouro.</t>
        </is>
      </c>
      <c r="I107" s="115" t="inlineStr">
        <is>
          <t>Coleta</t>
        </is>
      </c>
      <c r="J107" s="115" t="inlineStr">
        <is>
          <t>Veterano (Honra 50)</t>
        </is>
      </c>
      <c r="K107" s="115" t="inlineStr">
        <is>
          <t>Mestre Oron</t>
        </is>
      </c>
    </row>
    <row r="108" ht="15" customHeight="1" s="116">
      <c r="A108" s="115" t="inlineStr">
        <is>
          <t>Aco Elfico</t>
        </is>
      </c>
      <c r="B108" s="115" t="inlineStr">
        <is>
          <t>O Silêncio Que Protege</t>
        </is>
      </c>
      <c r="C108" s="115" t="inlineStr">
        <is>
          <t>Dilema (recompensa varia)</t>
        </is>
      </c>
      <c r="D108" s="115" t="inlineStr">
        <is>
          <t>Decida se ajuda ou combate o Assassino Silente, que caça conjuradores em nome da Ordem do Silêncio Eterno — Lyra é uma delas.</t>
        </is>
      </c>
      <c r="E108" s="115" t="inlineStr">
        <is>
          <t>Combater: 30 Ouro + reputação com Lyra. Negociar/deixar seguir: Lyra fica com medo, mas nenhuma vida se perde no confronto.</t>
        </is>
      </c>
      <c r="I108" s="115" t="inlineStr">
        <is>
          <t>Social</t>
        </is>
      </c>
      <c r="J108" s="115" t="inlineStr">
        <is>
          <t>Veterano (Honra 50)</t>
        </is>
      </c>
      <c r="K108" s="115" t="inlineStr">
        <is>
          <t>Lyra das Folhas Cantantes</t>
        </is>
      </c>
    </row>
    <row r="109" ht="15" customHeight="1" s="116">
      <c r="A109" s="115" t="inlineStr">
        <is>
          <t>Aco Elfico</t>
        </is>
      </c>
      <c r="B109" s="115" t="inlineStr">
        <is>
          <t>A Última do Clã</t>
        </is>
      </c>
      <c r="C109" s="115" t="inlineStr">
        <is>
          <t>Social/Pacífica (Gente Humilde)</t>
        </is>
      </c>
      <c r="D109" s="115" t="inlineStr">
        <is>
          <t>Encontre a Elfa Sobrevivente e decida se ela é levada pro Entreposto Élfico ou deixada em paz nas ruínas.</t>
        </is>
      </c>
      <c r="E109" s="115" t="inlineStr">
        <is>
          <t>Levar: 15 Ouro + reputação com Elysea. Deixar em paz: nada, sem penalidade.</t>
        </is>
      </c>
      <c r="I109" s="115" t="inlineStr">
        <is>
          <t>Social</t>
        </is>
      </c>
      <c r="J109" s="115" t="inlineStr">
        <is>
          <t>Comum (Honra 0)</t>
        </is>
      </c>
      <c r="K109" s="115" t="inlineStr">
        <is>
          <t>Grã-Senhora Elysea</t>
        </is>
      </c>
    </row>
    <row r="110" ht="15" customHeight="1" s="116">
      <c r="A110" s="115" t="inlineStr">
        <is>
          <t>Aco Elfico</t>
        </is>
      </c>
      <c r="B110" s="115" t="inlineStr">
        <is>
          <t>Forjando o Arco Espectral Reforçado</t>
        </is>
      </c>
      <c r="C110" s="115" t="inlineStr">
        <is>
          <t>Crafting</t>
        </is>
      </c>
      <c r="D110" s="115" t="inlineStr">
        <is>
          <t>Colete os materiais e forje 1 Arco Espectral Reforçado com Grã-Senhora Elysea.</t>
        </is>
      </c>
      <c r="I110" s="115" t="inlineStr">
        <is>
          <t>Crafting</t>
        </is>
      </c>
      <c r="J110" s="115" t="inlineStr">
        <is>
          <t>Veterano (Honra 50)</t>
        </is>
      </c>
      <c r="K110" s="115" t="inlineStr">
        <is>
          <t>Grã-Senhora Elysea</t>
        </is>
      </c>
      <c r="M110" s="115" t="inlineStr">
        <is>
          <t>Arco Espectral Reforçado (+10% de precisão em ataques à distância)</t>
        </is>
      </c>
    </row>
    <row r="111" ht="15" customHeight="1" s="116">
      <c r="A111" s="241" t="inlineStr">
        <is>
          <t>Mecanismo Anao</t>
        </is>
      </c>
      <c r="B111" s="241" t="inlineStr">
        <is>
          <t>Peças Perdidas</t>
        </is>
      </c>
      <c r="C111" s="241" t="inlineStr">
        <is>
          <t>Caça (Modesta)</t>
        </is>
      </c>
      <c r="D111" s="241" t="inlineStr">
        <is>
          <t>Destrua os Pistões Enfurecidos que danificam os trilhos de mineração antes que bloqueiem a saída.</t>
        </is>
      </c>
      <c r="E111" s="241" t="inlineStr">
        <is>
          <t>30 Ouro.</t>
        </is>
      </c>
      <c r="F111" s="242" t="n"/>
      <c r="G111" s="242" t="n"/>
      <c r="H111" s="242" t="n"/>
      <c r="I111" s="242" t="inlineStr">
        <is>
          <t>Combate (Grind)</t>
        </is>
      </c>
      <c r="J111" s="242" t="inlineStr">
        <is>
          <t>Comum (Honra 0)</t>
        </is>
      </c>
      <c r="K111" s="242" t="inlineStr">
        <is>
          <t>Thrum o Engenheiro Renegado</t>
        </is>
      </c>
      <c r="L111" s="242" t="n"/>
      <c r="M111" s="242" t="n"/>
    </row>
    <row r="112" ht="15" customHeight="1" s="116">
      <c r="A112" s="241" t="inlineStr">
        <is>
          <t>Mecanismo Anao</t>
        </is>
      </c>
      <c r="B112" s="241" t="inlineStr">
        <is>
          <t>O Relógio de Engrenagens Vivas</t>
        </is>
      </c>
      <c r="C112" s="241" t="inlineStr">
        <is>
          <t>Tesouro (Significativa)</t>
        </is>
      </c>
      <c r="D112" s="241" t="inlineStr">
        <is>
          <t>Resolva o Puzzle do Pêndulo Central e recupere o artefato guardado pelo Guardião do Puzzle Central.</t>
        </is>
      </c>
      <c r="E112" s="241" t="inlineStr">
        <is>
          <t>50 Ouro + o artefato "O Relógio de Engrenagens Vivas" (concede 2 turnos extras 1x por combate, com custo de vida).</t>
        </is>
      </c>
      <c r="F112" s="243" t="n"/>
      <c r="G112" s="243" t="n"/>
      <c r="H112" s="242" t="n"/>
      <c r="I112" s="242" t="inlineStr">
        <is>
          <t>Exploração</t>
        </is>
      </c>
      <c r="J112" s="242" t="inlineStr">
        <is>
          <t>Veterano (Honra 50)</t>
        </is>
      </c>
      <c r="K112" s="242" t="inlineStr">
        <is>
          <t>Thrum o Engenheiro Renegado</t>
        </is>
      </c>
      <c r="L112" s="242" t="n"/>
      <c r="M112" s="242" t="n"/>
    </row>
    <row r="113" ht="15" customHeight="1" s="116">
      <c r="A113" s="241" t="inlineStr">
        <is>
          <t>Mecanismo Anao</t>
        </is>
      </c>
      <c r="B113" s="241" t="inlineStr">
        <is>
          <t>O Que Restou de Thrum</t>
        </is>
      </c>
      <c r="C113" s="241" t="inlineStr">
        <is>
          <t>Segredo (ramifica conforme Tier 5)</t>
        </is>
      </c>
      <c r="D113" s="241" t="inlineStr">
        <is>
          <t>Se Thrum virou aliado no Tier 5: ajude-o a provar que não foi ele quem sabotou o Núcleo. Se não: investigue as provas que apontam pra ele.</t>
        </is>
      </c>
      <c r="E113" s="241" t="inlineStr">
        <is>
          <t>Aliado: 25 Ouro + acesso à Forja do Núcleo Ancestral com desconto. Não aliado: 25 Ouro + Thrum é banido do Clã (muda o NPC disponível na região dali pra frente).</t>
        </is>
      </c>
      <c r="F113" s="161" t="inlineStr">
        <is>
          <t>Clã Martelo de Vapor</t>
        </is>
      </c>
      <c r="G113" s="161" t="inlineStr">
        <is>
          <t>+15 se aliado / -15 se banido</t>
        </is>
      </c>
      <c r="H113" s="242" t="n"/>
      <c r="I113" s="242" t="inlineStr">
        <is>
          <t>Social</t>
        </is>
      </c>
      <c r="J113" s="242" t="inlineStr">
        <is>
          <t>Veterano (Honra 50)</t>
        </is>
      </c>
      <c r="K113" s="242" t="inlineStr">
        <is>
          <t>Grã-Senhora Elysea</t>
        </is>
      </c>
      <c r="L113" s="242" t="n"/>
      <c r="M113" s="242" t="n"/>
    </row>
    <row r="114" ht="15" customHeight="1" s="116">
      <c r="A114" s="241" t="inlineStr">
        <is>
          <t>Mecanismo Anao</t>
        </is>
      </c>
      <c r="B114" s="241" t="inlineStr">
        <is>
          <t>O Fiel Que Não Desistiu</t>
        </is>
      </c>
      <c r="C114" s="241" t="inlineStr">
        <is>
          <t>Traição/Dilema (Gente Humilde)</t>
        </is>
      </c>
      <c r="D114" s="241" t="inlineStr">
        <is>
          <t>O Engenheiro Fantasma pede ajuda pra terminar o projeto que o matou.</t>
        </is>
      </c>
      <c r="E114" s="241" t="inlineStr">
        <is>
          <t>Terminar o projeto: ele finalmente descansa, +15 Ouro. Destruir o projeto: ele desaparece em paz mesmo assim, sem ouro, mas reduz 5 de Corrupção do grupo (ato de misericórdia).</t>
        </is>
      </c>
      <c r="F114" s="243" t="n"/>
      <c r="G114" s="243" t="n"/>
      <c r="H114" s="242" t="n"/>
      <c r="I114" s="242" t="inlineStr">
        <is>
          <t>Social</t>
        </is>
      </c>
      <c r="J114" s="242" t="inlineStr">
        <is>
          <t>Comum (Honra 0)</t>
        </is>
      </c>
      <c r="K114" s="242" t="inlineStr">
        <is>
          <t>Thrum o Engenheiro Renegado</t>
        </is>
      </c>
      <c r="L114" s="242" t="n"/>
      <c r="M114" s="242" t="n"/>
    </row>
    <row r="115" ht="15" customHeight="1" s="116">
      <c r="A115" s="241" t="inlineStr">
        <is>
          <t>Mecanismo Anao</t>
        </is>
      </c>
      <c r="B115" s="241" t="inlineStr">
        <is>
          <t>Vapor Envenenado</t>
        </is>
      </c>
      <c r="C115" s="241" t="inlineStr">
        <is>
          <t>Social/Pacífica (Gente Humilde)</t>
        </is>
      </c>
      <c r="D115" s="241" t="inlineStr">
        <is>
          <t>Alguns Anões Possuídos pelo Vapor ainda são resgatáveis se levados a uma câmara de ar puro a tempo.</t>
        </is>
      </c>
      <c r="E115" s="241" t="inlineStr">
        <is>
          <t>10 Ouro por anão salvo + reputação com o Clã Martelo de Vapor.</t>
        </is>
      </c>
      <c r="F115" s="161" t="inlineStr">
        <is>
          <t>Clã Martelo de Vapor</t>
        </is>
      </c>
      <c r="G115" s="161" t="inlineStr">
        <is>
          <t>+10 por anão salvo</t>
        </is>
      </c>
      <c r="H115" s="242" t="n"/>
      <c r="I115" s="242" t="inlineStr">
        <is>
          <t>Social</t>
        </is>
      </c>
      <c r="J115" s="242" t="inlineStr">
        <is>
          <t>Comum (Honra 0)</t>
        </is>
      </c>
      <c r="K115" s="242" t="inlineStr">
        <is>
          <t>Thrum o Engenheiro Renegado</t>
        </is>
      </c>
      <c r="L115" s="242" t="n"/>
      <c r="M115" s="242" t="n"/>
    </row>
    <row r="116" ht="15" customHeight="1" s="116">
      <c r="A116" s="241" t="inlineStr">
        <is>
          <t>Mecanismo Anao</t>
        </is>
      </c>
      <c r="B116" s="241" t="inlineStr">
        <is>
          <t>Engrenagem Contra Engrenagem</t>
        </is>
      </c>
      <c r="C116" s="241" t="inlineStr">
        <is>
          <t>Caça de Elite (Significativa)</t>
        </is>
      </c>
      <c r="D116" s="241" t="inlineStr">
        <is>
          <t>Pare a Máquina de Guerra Anã antes que ela destrua o que restou da fundição principal.</t>
        </is>
      </c>
      <c r="E116" s="241" t="inlineStr">
        <is>
          <t>55 Ouro + 1 item Raro do tier.</t>
        </is>
      </c>
      <c r="F116" s="242" t="n"/>
      <c r="G116" s="242" t="n"/>
      <c r="H116" s="242" t="n"/>
      <c r="I116" s="242" t="inlineStr">
        <is>
          <t>Elite</t>
        </is>
      </c>
      <c r="J116" s="242" t="inlineStr">
        <is>
          <t>Veterano (Honra 50)</t>
        </is>
      </c>
      <c r="K116" s="242" t="inlineStr">
        <is>
          <t>Thrum o Engenheiro Renegado</t>
        </is>
      </c>
      <c r="L116" s="242" t="n"/>
      <c r="M116" s="242" t="n"/>
    </row>
    <row r="117" ht="15" customHeight="1" s="116">
      <c r="A117" s="241" t="inlineStr">
        <is>
          <t>Mecanismo Anao</t>
        </is>
      </c>
      <c r="B117" s="241" t="inlineStr">
        <is>
          <t>A Fúria do Colosso Desgovernado</t>
        </is>
      </c>
      <c r="C117" s="241" t="inlineStr">
        <is>
          <t>Boss Opcional (Definidora — risco alto)</t>
        </is>
      </c>
      <c r="D117" s="241" t="inlineStr">
        <is>
          <t>Enfrente O Colosso a Vapor Desgovernado antes que ele desabe a Câmara Mecânica inteira.</t>
        </is>
      </c>
      <c r="E117" s="241" t="inlineStr">
        <is>
          <t>130 Ouro + 1 item Lendário.</t>
        </is>
      </c>
      <c r="F117" s="242" t="n"/>
      <c r="G117" s="242" t="n"/>
      <c r="H117" s="242" t="n"/>
      <c r="I117" s="242" t="inlineStr">
        <is>
          <t>Elite</t>
        </is>
      </c>
      <c r="J117" s="242" t="inlineStr">
        <is>
          <t>Lendário (Honra 100)</t>
        </is>
      </c>
      <c r="K117" s="242" t="inlineStr">
        <is>
          <t>Thrum o Engenheiro Renegado</t>
        </is>
      </c>
      <c r="L117" s="242" t="n"/>
      <c r="M117" s="242" t="n"/>
    </row>
    <row r="118" ht="15" customHeight="1" s="116">
      <c r="A118" s="115" t="inlineStr">
        <is>
          <t>Mecanismo Anao</t>
        </is>
      </c>
      <c r="B118" s="115" t="inlineStr">
        <is>
          <t>Vapor Que Ataca</t>
        </is>
      </c>
      <c r="C118" s="115" t="inlineStr">
        <is>
          <t>Caça (Modesta)</t>
        </is>
      </c>
      <c r="D118" s="115" t="inlineStr">
        <is>
          <t>Elimine os Vapores Corrosivos Grudados antes que corroam mais autômatos da câmara.</t>
        </is>
      </c>
      <c r="E118" s="115" t="inlineStr">
        <is>
          <t>34 Ouro.</t>
        </is>
      </c>
      <c r="I118" s="115" t="inlineStr">
        <is>
          <t>Combate (Grind)</t>
        </is>
      </c>
      <c r="J118" s="115" t="inlineStr">
        <is>
          <t>Comum (Honra 0)</t>
        </is>
      </c>
      <c r="K118" s="115" t="inlineStr">
        <is>
          <t>Thrum o Engenheiro Renegado</t>
        </is>
      </c>
    </row>
    <row r="119" ht="15" customHeight="1" s="116">
      <c r="A119" s="115" t="inlineStr">
        <is>
          <t>Mecanismo Anao</t>
        </is>
      </c>
      <c r="B119" s="115" t="inlineStr">
        <is>
          <t>Trilhos Fora de Controle</t>
        </is>
      </c>
      <c r="C119" s="115" t="inlineStr">
        <is>
          <t>Caça (Modesta)</t>
        </is>
      </c>
      <c r="D119" s="115" t="inlineStr">
        <is>
          <t>Destrua os Trilhos Vivos que correm sem parar pelos corredores de vapor.</t>
        </is>
      </c>
      <c r="E119" s="115" t="inlineStr">
        <is>
          <t>32 Ouro.</t>
        </is>
      </c>
      <c r="I119" s="115" t="inlineStr">
        <is>
          <t>Combate (Grind)</t>
        </is>
      </c>
      <c r="J119" s="115" t="inlineStr">
        <is>
          <t>Comum (Honra 0)</t>
        </is>
      </c>
      <c r="K119" s="115" t="inlineStr">
        <is>
          <t>Thrum o Engenheiro Renegado</t>
        </is>
      </c>
    </row>
    <row r="120" ht="15" customHeight="1" s="116">
      <c r="A120" s="115" t="inlineStr">
        <is>
          <t>Mecanismo Anao</t>
        </is>
      </c>
      <c r="B120" s="115" t="inlineStr">
        <is>
          <t>Latão Pra Thrum</t>
        </is>
      </c>
      <c r="C120" s="115" t="inlineStr">
        <is>
          <t>Coleta (Preparo)</t>
        </is>
      </c>
      <c r="D120" s="115" t="inlineStr">
        <is>
          <t>Traga 4x Latão de Fornalha Subterrânea pro Thrum, que quer reparar os mecanismos restantes da câmara.</t>
        </is>
      </c>
      <c r="E120" s="115" t="inlineStr">
        <is>
          <t>30 Ouro + Thrum forja de graça 1 Elmo Mecânico (Comum) pra você.</t>
        </is>
      </c>
      <c r="I120" s="115" t="inlineStr">
        <is>
          <t>Coleta</t>
        </is>
      </c>
      <c r="J120" s="115" t="inlineStr">
        <is>
          <t>Comum (Honra 0)</t>
        </is>
      </c>
      <c r="K120" s="115" t="inlineStr">
        <is>
          <t>Thrum o Engenheiro Renegado</t>
        </is>
      </c>
    </row>
    <row r="121" ht="15" customHeight="1" s="116">
      <c r="A121" s="115" t="inlineStr">
        <is>
          <t>Mecanismo Anao</t>
        </is>
      </c>
      <c r="B121" s="115" t="inlineStr">
        <is>
          <t>Peças do Rato Fugidio</t>
        </is>
      </c>
      <c r="C121" s="115" t="inlineStr">
        <is>
          <t>Coleta (Significativa)</t>
        </is>
      </c>
      <c r="D121" s="115" t="inlineStr">
        <is>
          <t>Recupere 2x Peça Rara de Rato Fugidio antes que o pequeno autômato fuja de vez da câmara mecânica.</t>
        </is>
      </c>
      <c r="E121" s="115" t="inlineStr">
        <is>
          <t>35 Ouro.</t>
        </is>
      </c>
      <c r="I121" s="115" t="inlineStr">
        <is>
          <t>Coleta</t>
        </is>
      </c>
      <c r="J121" s="115" t="inlineStr">
        <is>
          <t>Veterano (Honra 50)</t>
        </is>
      </c>
      <c r="K121" s="115" t="inlineStr">
        <is>
          <t>Thrum o Engenheiro Renegado</t>
        </is>
      </c>
    </row>
    <row r="122" ht="15" customHeight="1" s="116">
      <c r="A122" s="115" t="inlineStr">
        <is>
          <t>Mecanismo Anao</t>
        </is>
      </c>
      <c r="B122" s="115" t="inlineStr">
        <is>
          <t>O Manifesto Recuperado</t>
        </is>
      </c>
      <c r="C122" s="115" t="inlineStr">
        <is>
          <t>Coleta (Significativa)</t>
        </is>
      </c>
      <c r="D122" s="115" t="inlineStr">
        <is>
          <t>Traga o Manifesto do Renegado intacto pra Grã-Senhora Elysea, que quer entender até onde as ideias de Thrum se espalharam.</t>
        </is>
      </c>
      <c r="E122" s="115" t="inlineStr">
        <is>
          <t>30 Ouro + reputação com Elysea.</t>
        </is>
      </c>
      <c r="I122" s="115" t="inlineStr">
        <is>
          <t>Coleta</t>
        </is>
      </c>
      <c r="J122" s="115" t="inlineStr">
        <is>
          <t>Veterano (Honra 50)</t>
        </is>
      </c>
      <c r="K122" s="115" t="inlineStr">
        <is>
          <t>Grã-Senhora Elysea</t>
        </is>
      </c>
    </row>
    <row r="123" ht="15" customHeight="1" s="116">
      <c r="A123" s="115" t="inlineStr">
        <is>
          <t>Mecanismo Anao</t>
        </is>
      </c>
      <c r="B123" s="115" t="inlineStr">
        <is>
          <t>A Última Tarefa do Autômato</t>
        </is>
      </c>
      <c r="C123" s="115" t="inlineStr">
        <is>
          <t>Exploração (Significativa)</t>
        </is>
      </c>
      <c r="D123" s="115" t="inlineStr">
        <is>
          <t>Descubra qual era a última tarefa que o Autômato Anão Quebrado tentava terminar antes da Câmara ser lacrada.</t>
        </is>
      </c>
      <c r="E123" s="115" t="inlineStr">
        <is>
          <t>38 Ouro + 1 item Raro do tier.</t>
        </is>
      </c>
      <c r="I123" s="115" t="inlineStr">
        <is>
          <t>Exploração</t>
        </is>
      </c>
      <c r="J123" s="115" t="inlineStr">
        <is>
          <t>Comum (Honra 0)</t>
        </is>
      </c>
      <c r="K123" s="115" t="inlineStr">
        <is>
          <t>Thrum o Engenheiro Renegado</t>
        </is>
      </c>
    </row>
    <row r="124" ht="15" customHeight="1" s="116">
      <c r="A124" s="115" t="inlineStr">
        <is>
          <t>Mecanismo Anao</t>
        </is>
      </c>
      <c r="B124" s="115" t="inlineStr">
        <is>
          <t>O Turno Que Nunca Terminou</t>
        </is>
      </c>
      <c r="C124" s="115" t="inlineStr">
        <is>
          <t>Segredo (Significativa)</t>
        </is>
      </c>
      <c r="D124" s="115" t="inlineStr">
        <is>
          <t>Investigue por que o Autômato Só Se Ativa à Noite continua vigiando um turno que não existe mais.</t>
        </is>
      </c>
      <c r="E124" s="115" t="inlineStr">
        <is>
          <t>32 Ouro + revela uma pista sobre Grondar antes do confronto.</t>
        </is>
      </c>
      <c r="I124" s="115" t="inlineStr">
        <is>
          <t>Exploração</t>
        </is>
      </c>
      <c r="J124" s="115" t="inlineStr">
        <is>
          <t>Veterano (Honra 50)</t>
        </is>
      </c>
      <c r="K124" s="115" t="inlineStr">
        <is>
          <t>Thrum o Engenheiro Renegado</t>
        </is>
      </c>
    </row>
    <row r="125" ht="15" customHeight="1" s="116">
      <c r="A125" s="115" t="inlineStr">
        <is>
          <t>Mecanismo Anao</t>
        </is>
      </c>
      <c r="B125" s="115" t="inlineStr">
        <is>
          <t>Forjando o Amuleto do Pistão</t>
        </is>
      </c>
      <c r="C125" s="115" t="inlineStr">
        <is>
          <t>Crafting</t>
        </is>
      </c>
      <c r="D125" s="115" t="inlineStr">
        <is>
          <t>Colete os materiais e forje 1 Amuleto do Pistão com Thrum.</t>
        </is>
      </c>
      <c r="I125" s="115" t="inlineStr">
        <is>
          <t>Crafting</t>
        </is>
      </c>
      <c r="J125" s="115" t="inlineStr">
        <is>
          <t>Veterano (Honra 50)</t>
        </is>
      </c>
      <c r="K125" s="115" t="inlineStr">
        <is>
          <t>Thrum o Engenheiro Renegado</t>
        </is>
      </c>
      <c r="M125" s="115" t="inlineStr">
        <is>
          <t>Amuleto do Pistão (+5% de dano em ataques corpo a corpo)</t>
        </is>
      </c>
    </row>
    <row r="126" ht="15" customHeight="1" s="116">
      <c r="A126" s="241" t="inlineStr">
        <is>
          <t>Vidro Vulcanico</t>
        </is>
      </c>
      <c r="B126" s="241" t="inlineStr">
        <is>
          <t>Salamandras na Forja</t>
        </is>
      </c>
      <c r="C126" s="241" t="inlineStr">
        <is>
          <t>Caça (Modesta)</t>
        </is>
      </c>
      <c r="D126" s="241" t="inlineStr">
        <is>
          <t>Controle a população de Salamandras de Vidro e Elementais de Cinzas que atrapalham a forja principal.</t>
        </is>
      </c>
      <c r="E126" s="241" t="inlineStr">
        <is>
          <t>32 Ouro.</t>
        </is>
      </c>
      <c r="F126" s="242" t="n"/>
      <c r="G126" s="242" t="n"/>
      <c r="H126" s="242" t="n"/>
      <c r="I126" s="242" t="inlineStr">
        <is>
          <t>Combate (Grind)</t>
        </is>
      </c>
      <c r="J126" s="242" t="inlineStr">
        <is>
          <t>Comum (Honra 0)</t>
        </is>
      </c>
      <c r="K126" s="242" t="inlineStr">
        <is>
          <t>Zafira dos Alambiques Ardentes</t>
        </is>
      </c>
      <c r="L126" s="242" t="n"/>
      <c r="M126" s="242" t="n"/>
    </row>
    <row r="127" ht="15" customHeight="1" s="116">
      <c r="A127" s="241" t="inlineStr">
        <is>
          <t>Vidro Vulcanico</t>
        </is>
      </c>
      <c r="B127" s="241" t="inlineStr">
        <is>
          <t>Vidro Pra Forja</t>
        </is>
      </c>
      <c r="C127" s="241" t="inlineStr">
        <is>
          <t>Coleta (Preparo — a pedido de Zafira dos Alambiques Ardentes)</t>
        </is>
      </c>
      <c r="D127" s="241" t="inlineStr">
        <is>
          <t>Colete 4x Orquídea de Magma pra Zafira reabastecer os caldeirões.</t>
        </is>
      </c>
      <c r="E127" s="241" t="inlineStr">
        <is>
          <t>35 Ouro + Zafira forja de graça 1 Poção de Fúria Berserker.</t>
        </is>
      </c>
      <c r="F127" s="242" t="n"/>
      <c r="G127" s="242" t="n"/>
      <c r="H127" s="242" t="n"/>
      <c r="I127" s="242" t="inlineStr">
        <is>
          <t>Coleta</t>
        </is>
      </c>
      <c r="J127" s="242" t="inlineStr">
        <is>
          <t>Comum (Honra 0)</t>
        </is>
      </c>
      <c r="K127" s="242" t="inlineStr">
        <is>
          <t>Zafira dos Alambiques Ardentes</t>
        </is>
      </c>
      <c r="L127" s="242" t="n"/>
      <c r="M127" s="242" t="n"/>
    </row>
    <row r="128" ht="15" customHeight="1" s="116">
      <c r="A128" s="241" t="inlineStr">
        <is>
          <t>Vidro Vulcanico</t>
        </is>
      </c>
      <c r="B128" s="241" t="inlineStr">
        <is>
          <t>A Espada de Obsidiana Queimada</t>
        </is>
      </c>
      <c r="C128" s="241" t="inlineStr">
        <is>
          <t>Tesouro (Significativa)</t>
        </is>
      </c>
      <c r="D128" s="241" t="inlineStr">
        <is>
          <t>Recupere o artefato guardado pelo Guardião da Fenda Ativa no Altar de Lava.</t>
        </is>
      </c>
      <c r="E128" s="241" t="inlineStr">
        <is>
          <t>60 Ouro + o artefato "A Espada de Obsidiana Queimada" (aplica Queimadura severa por 3 rodadas).</t>
        </is>
      </c>
      <c r="F128" s="243" t="n"/>
      <c r="G128" s="243" t="n"/>
      <c r="H128" s="242" t="n"/>
      <c r="I128" s="242" t="inlineStr">
        <is>
          <t>Exploração</t>
        </is>
      </c>
      <c r="J128" s="242" t="inlineStr">
        <is>
          <t>Veterano (Honra 50)</t>
        </is>
      </c>
      <c r="K128" s="242" t="inlineStr">
        <is>
          <t>Inquisidor Tobias</t>
        </is>
      </c>
      <c r="L128" s="242" t="n"/>
      <c r="M128" s="242" t="n"/>
    </row>
    <row r="129" ht="15" customHeight="1" s="116">
      <c r="A129" s="241" t="inlineStr">
        <is>
          <t>Vidro Vulcanico</t>
        </is>
      </c>
      <c r="B129" s="241" t="inlineStr">
        <is>
          <t>O Sacrifício de Tobias</t>
        </is>
      </c>
      <c r="C129" s="241" t="inlineStr">
        <is>
          <t>Segredo (Significativa)</t>
        </is>
      </c>
      <c r="D129" s="241" t="inlineStr">
        <is>
          <t>Ajude o Inquisidor Tobias a confirmar que o Sumo Sacerdote da Coroação ordenou o sacrifício da família dele.</t>
        </is>
      </c>
      <c r="E129" s="241" t="inlineStr">
        <is>
          <t>40 Ouro + Tobias vira aliado nas incursões contra o culto (bônus de combate contra Zelotes).</t>
        </is>
      </c>
      <c r="F129" s="241" t="inlineStr">
        <is>
          <t>O Conselho dos Mestres de Forja</t>
        </is>
      </c>
      <c r="G129" s="241" t="inlineStr">
        <is>
          <t>+15 (ajuda Tobias a purificar a região)</t>
        </is>
      </c>
      <c r="H129" s="242" t="n"/>
      <c r="I129" s="242" t="inlineStr">
        <is>
          <t>Social</t>
        </is>
      </c>
      <c r="J129" s="242" t="inlineStr">
        <is>
          <t>Veterano (Honra 50)</t>
        </is>
      </c>
      <c r="K129" s="242" t="inlineStr">
        <is>
          <t>Inquisidor Tobias</t>
        </is>
      </c>
      <c r="L129" s="242" t="n"/>
      <c r="M129" s="242" t="n"/>
    </row>
    <row r="130" ht="15" customHeight="1" s="116">
      <c r="A130" s="241" t="inlineStr">
        <is>
          <t>Vidro Vulcanico</t>
        </is>
      </c>
      <c r="B130" s="241" t="inlineStr">
        <is>
          <t>A Coroação sem Rei</t>
        </is>
      </c>
      <c r="C130" s="241" t="inlineStr">
        <is>
          <t>Traição (dilema — recompensa varia)</t>
        </is>
      </c>
      <c r="D130" s="241" t="inlineStr">
        <is>
          <t>O Zelote Superior da Coroação, capturado, oferece provas contra o próprio Sumo Sacerdote em troca de fuga.</t>
        </is>
      </c>
      <c r="E130" s="241" t="inlineStr">
        <is>
          <t>Aceitar o trato: vantagem tática contra o Sumo Sacerdote, mas ele foge pra sempre. Recusar: 40 Ouro + reputação com Tobias.</t>
        </is>
      </c>
      <c r="F130" s="161" t="inlineStr">
        <is>
          <t>O Conselho dos Mestres de Forja</t>
        </is>
      </c>
      <c r="G130" s="161" t="inlineStr">
        <is>
          <t>+10 recusar o trato / -15 aceitar (Tobias desconfia)</t>
        </is>
      </c>
      <c r="H130" s="242" t="n"/>
      <c r="I130" s="242" t="inlineStr">
        <is>
          <t>Social</t>
        </is>
      </c>
      <c r="J130" s="242" t="inlineStr">
        <is>
          <t>Veterano (Honra 50)</t>
        </is>
      </c>
      <c r="K130" s="242" t="inlineStr">
        <is>
          <t>Inquisidor Tobias</t>
        </is>
      </c>
      <c r="L130" s="242" t="n"/>
      <c r="M130" s="242" t="n"/>
    </row>
    <row r="131" ht="15" customHeight="1" s="116">
      <c r="A131" s="241" t="inlineStr">
        <is>
          <t>Vidro Vulcanico</t>
        </is>
      </c>
      <c r="B131" s="241" t="inlineStr">
        <is>
          <t>O Sumo Sacerdote da Coroação</t>
        </is>
      </c>
      <c r="C131" s="241" t="inlineStr">
        <is>
          <t>Caça de Elite (Significativa)</t>
        </is>
      </c>
      <c r="D131" s="241" t="inlineStr">
        <is>
          <t>Impeça o ritual de coroação escarlate antes que ele termine.</t>
        </is>
      </c>
      <c r="E131" s="241" t="inlineStr">
        <is>
          <t>65 Ouro + 1 item Raro do tier.</t>
        </is>
      </c>
      <c r="F131" s="242" t="n"/>
      <c r="G131" s="242" t="n"/>
      <c r="H131" s="242" t="n"/>
      <c r="I131" s="242" t="inlineStr">
        <is>
          <t>Elite</t>
        </is>
      </c>
      <c r="J131" s="242" t="inlineStr">
        <is>
          <t>Veterano (Honra 50)</t>
        </is>
      </c>
      <c r="K131" s="242" t="inlineStr">
        <is>
          <t>Inquisidor Tobias</t>
        </is>
      </c>
      <c r="L131" s="242" t="n"/>
      <c r="M131" s="242" t="n"/>
    </row>
    <row r="132" ht="15" customHeight="1" s="116">
      <c r="A132" s="241" t="inlineStr">
        <is>
          <t>Vidro Vulcanico</t>
        </is>
      </c>
      <c r="B132" s="241" t="inlineStr">
        <is>
          <t>O Arauto da Coroação Vazia</t>
        </is>
      </c>
      <c r="C132" s="241" t="inlineStr">
        <is>
          <t>Boss Opcional (Definidora — risco alto)</t>
        </is>
      </c>
      <c r="D132" s="241" t="inlineStr">
        <is>
          <t>Enfrente quem diz falar pelo Rei sem corpo — o primeiro sinal real do que está por vir no Ato III.</t>
        </is>
      </c>
      <c r="E132" s="241" t="inlineStr">
        <is>
          <t>150 Ouro + 1 item Lendário.</t>
        </is>
      </c>
      <c r="F132" s="242" t="n"/>
      <c r="G132" s="242" t="n"/>
      <c r="H132" s="242" t="n"/>
      <c r="I132" s="242" t="inlineStr">
        <is>
          <t>Elite</t>
        </is>
      </c>
      <c r="J132" s="242" t="inlineStr">
        <is>
          <t>Lendário (Honra 100)</t>
        </is>
      </c>
      <c r="K132" s="242" t="inlineStr">
        <is>
          <t>Inquisidor Tobias</t>
        </is>
      </c>
      <c r="L132" s="242" t="n"/>
      <c r="M132" s="242" t="n"/>
    </row>
    <row r="133" ht="15" customHeight="1" s="116">
      <c r="A133" s="115" t="inlineStr">
        <is>
          <t>Vidro Vulcanico</t>
        </is>
      </c>
      <c r="B133" s="115" t="inlineStr">
        <is>
          <t>Larvas na Lava</t>
        </is>
      </c>
      <c r="C133" s="115" t="inlineStr">
        <is>
          <t>Caça (Modesta)</t>
        </is>
      </c>
      <c r="D133" s="115" t="inlineStr">
        <is>
          <t>Elimine as Larvas de Magma antes que se multipliquem nas bordas da fenda.</t>
        </is>
      </c>
      <c r="E133" s="115" t="inlineStr">
        <is>
          <t>36 Ouro.</t>
        </is>
      </c>
      <c r="I133" s="115" t="inlineStr">
        <is>
          <t>Combate (Grind)</t>
        </is>
      </c>
      <c r="J133" s="115" t="inlineStr">
        <is>
          <t>Comum (Honra 0)</t>
        </is>
      </c>
      <c r="K133" s="115" t="inlineStr">
        <is>
          <t>Zafira dos Alambiques Ardentes</t>
        </is>
      </c>
    </row>
    <row r="134" ht="15" customHeight="1" s="116">
      <c r="A134" s="115" t="inlineStr">
        <is>
          <t>Vidro Vulcanico</t>
        </is>
      </c>
      <c r="B134" s="115" t="inlineStr">
        <is>
          <t>Cristais Que Se Alimentam</t>
        </is>
      </c>
      <c r="C134" s="115" t="inlineStr">
        <is>
          <t>Caça (Modesta)</t>
        </is>
      </c>
      <c r="D134" s="115" t="inlineStr">
        <is>
          <t>Destrua os Cristais Parasitas que crescem sobre as Feras Vítreas Ancestrais da fenda.</t>
        </is>
      </c>
      <c r="E134" s="115" t="inlineStr">
        <is>
          <t>38 Ouro.</t>
        </is>
      </c>
      <c r="I134" s="115" t="inlineStr">
        <is>
          <t>Combate (Grind)</t>
        </is>
      </c>
      <c r="J134" s="115" t="inlineStr">
        <is>
          <t>Comum (Honra 0)</t>
        </is>
      </c>
      <c r="K134" s="115" t="inlineStr">
        <is>
          <t>Zafira dos Alambiques Ardentes</t>
        </is>
      </c>
    </row>
    <row r="135" ht="15" customHeight="1" s="116">
      <c r="A135" s="115" t="inlineStr">
        <is>
          <t>Vidro Vulcanico</t>
        </is>
      </c>
      <c r="B135" s="115" t="inlineStr">
        <is>
          <t>Obsidiana Pra Zafira</t>
        </is>
      </c>
      <c r="C135" s="115" t="inlineStr">
        <is>
          <t>Coleta (Preparo)</t>
        </is>
      </c>
      <c r="D135" s="115" t="inlineStr">
        <is>
          <t>Traga 4x Obsidiana Incandescente pra Zafira, que precisa reforçar os caldeirões da forja.</t>
        </is>
      </c>
      <c r="E135" s="115" t="inlineStr">
        <is>
          <t>32 Ouro + Zafira forja de graça 1 Elmo de Vidro Vulcânico (Comum) pra você.</t>
        </is>
      </c>
      <c r="I135" s="115" t="inlineStr">
        <is>
          <t>Coleta</t>
        </is>
      </c>
      <c r="J135" s="115" t="inlineStr">
        <is>
          <t>Comum (Honra 0)</t>
        </is>
      </c>
      <c r="K135" s="115" t="inlineStr">
        <is>
          <t>Zafira dos Alambiques Ardentes</t>
        </is>
      </c>
    </row>
    <row r="136" ht="15" customHeight="1" s="116">
      <c r="A136" s="115" t="inlineStr">
        <is>
          <t>Vidro Vulcanico</t>
        </is>
      </c>
      <c r="B136" s="115" t="inlineStr">
        <is>
          <t>Escamas da Fenda</t>
        </is>
      </c>
      <c r="C136" s="115" t="inlineStr">
        <is>
          <t>Coleta (Significativa)</t>
        </is>
      </c>
      <c r="D136" s="115" t="inlineStr">
        <is>
          <t>Traga 3x Escama de Fera Vítrea pro Tobias, que estuda os padrões de regeneração da Fera Vítrea Ancestral.</t>
        </is>
      </c>
      <c r="E136" s="115" t="inlineStr">
        <is>
          <t>35 Ouro.</t>
        </is>
      </c>
      <c r="I136" s="115" t="inlineStr">
        <is>
          <t>Coleta</t>
        </is>
      </c>
      <c r="J136" s="115" t="inlineStr">
        <is>
          <t>Veterano (Honra 50)</t>
        </is>
      </c>
      <c r="K136" s="115" t="inlineStr">
        <is>
          <t>Inquisidor Tobias</t>
        </is>
      </c>
    </row>
    <row r="137" ht="15" customHeight="1" s="116">
      <c r="A137" s="115" t="inlineStr">
        <is>
          <t>Vidro Vulcanico</t>
        </is>
      </c>
      <c r="B137" s="115" t="inlineStr">
        <is>
          <t>O Peregrino Que Só Observa</t>
        </is>
      </c>
      <c r="C137" s="115" t="inlineStr">
        <is>
          <t>Exploração (Significativa)</t>
        </is>
      </c>
      <c r="D137" s="115" t="inlineStr">
        <is>
          <t>Descubra o que o Peregrino da Fenda está esperando ver antes de decidir se junta ao culto ou foge.</t>
        </is>
      </c>
      <c r="E137" s="115" t="inlineStr">
        <is>
          <t>40 Ouro + 1 item Raro do tier.</t>
        </is>
      </c>
      <c r="I137" s="115" t="inlineStr">
        <is>
          <t>Exploração</t>
        </is>
      </c>
      <c r="J137" s="115" t="inlineStr">
        <is>
          <t>Comum (Honra 0)</t>
        </is>
      </c>
      <c r="K137" s="115" t="inlineStr">
        <is>
          <t>Zafira dos Alambiques Ardentes</t>
        </is>
      </c>
    </row>
    <row r="138" ht="15" customHeight="1" s="116">
      <c r="A138" s="115" t="inlineStr">
        <is>
          <t>Vidro Vulcanico</t>
        </is>
      </c>
      <c r="B138" s="115" t="inlineStr">
        <is>
          <t>A Dúvida de Irmão Kaelen</t>
        </is>
      </c>
      <c r="C138" s="115" t="inlineStr">
        <is>
          <t>Segredo (Significativa)</t>
        </is>
      </c>
      <c r="D138" s="115" t="inlineStr">
        <is>
          <t>Investigue por que o ex-Sumo Sacerdote Irmão Kaelen duvidou em voz alta e o que ele sabe sobre a Coroação Vazia.</t>
        </is>
      </c>
      <c r="E138" s="115" t="inlineStr">
        <is>
          <t>38 Ouro + revela uma pista sobre O Arauto da Coroação Vazia antes do confronto.</t>
        </is>
      </c>
      <c r="I138" s="115" t="inlineStr">
        <is>
          <t>Exploração</t>
        </is>
      </c>
      <c r="J138" s="115" t="inlineStr">
        <is>
          <t>Veterano (Honra 50)</t>
        </is>
      </c>
      <c r="K138" s="115" t="inlineStr">
        <is>
          <t>Inquisidor Tobias</t>
        </is>
      </c>
    </row>
    <row r="139" ht="15" customHeight="1" s="116">
      <c r="A139" s="115" t="inlineStr">
        <is>
          <t>Vidro Vulcanico</t>
        </is>
      </c>
      <c r="B139" s="115" t="inlineStr">
        <is>
          <t>Forjando o Amuleto da Salamandra</t>
        </is>
      </c>
      <c r="C139" s="115" t="inlineStr">
        <is>
          <t>Crafting</t>
        </is>
      </c>
      <c r="D139" s="115" t="inlineStr">
        <is>
          <t>Colete os materiais e forje 1 Amuleto da Salamandra com Zafira.</t>
        </is>
      </c>
      <c r="I139" s="115" t="inlineStr">
        <is>
          <t>Crafting</t>
        </is>
      </c>
      <c r="J139" s="115" t="inlineStr">
        <is>
          <t>Veterano (Honra 50)</t>
        </is>
      </c>
      <c r="K139" s="115" t="inlineStr">
        <is>
          <t>Zafira dos Alambiques Ardentes</t>
        </is>
      </c>
      <c r="M139" s="115" t="inlineStr">
        <is>
          <t>Amuleto da Salamandra (+15% de resistência a Fogo)</t>
        </is>
      </c>
    </row>
    <row r="140" ht="15" customHeight="1" s="116">
      <c r="A140" s="241" t="inlineStr">
        <is>
          <t>Ferro Orquico</t>
        </is>
      </c>
      <c r="B140" s="241" t="inlineStr">
        <is>
          <t>Lobos na Neblina</t>
        </is>
      </c>
      <c r="C140" s="241" t="inlineStr">
        <is>
          <t>Caça (Modesta)</t>
        </is>
      </c>
      <c r="D140" s="241" t="inlineStr">
        <is>
          <t>Reduza a matilha de Lobos de Guerra Corrompidos que ronda os arredores do acampamento.</t>
        </is>
      </c>
      <c r="E140" s="241" t="inlineStr">
        <is>
          <t>35 Ouro.</t>
        </is>
      </c>
      <c r="F140" s="242" t="n"/>
      <c r="G140" s="242" t="n"/>
      <c r="H140" s="242" t="n"/>
      <c r="I140" s="242" t="inlineStr">
        <is>
          <t>Combate (Grind)</t>
        </is>
      </c>
      <c r="J140" s="242" t="inlineStr">
        <is>
          <t>Comum (Honra 0)</t>
        </is>
      </c>
      <c r="K140" s="242" t="inlineStr">
        <is>
          <t>Intendente de Guerra Grom</t>
        </is>
      </c>
      <c r="L140" s="242" t="n"/>
      <c r="M140" s="242" t="n"/>
    </row>
    <row r="141" ht="15" customHeight="1" s="116">
      <c r="A141" s="241" t="inlineStr">
        <is>
          <t>Ferro Orquico</t>
        </is>
      </c>
      <c r="B141" s="241" t="inlineStr">
        <is>
          <t>Ferro Pra Grom</t>
        </is>
      </c>
      <c r="C141" s="241" t="inlineStr">
        <is>
          <t>Coleta (Preparo)</t>
        </is>
      </c>
      <c r="D141" s="241" t="inlineStr">
        <is>
          <t>Traga 4x Lingote de Ferro Órquico Bruto pro Intendente de Guerra Grom — ele cobra caro demais dos aventureiros de passagem.</t>
        </is>
      </c>
      <c r="E141" s="241" t="inlineStr">
        <is>
          <t>30 Ouro + Grom vende 1 Machado Bárbaro (Comum) pela metade do preço, uma vez.</t>
        </is>
      </c>
      <c r="F141" s="242" t="n"/>
      <c r="G141" s="242" t="n"/>
      <c r="H141" s="242" t="n"/>
      <c r="I141" s="242" t="inlineStr">
        <is>
          <t>Coleta</t>
        </is>
      </c>
      <c r="J141" s="242" t="inlineStr">
        <is>
          <t>Comum (Honra 0)</t>
        </is>
      </c>
      <c r="K141" s="242" t="inlineStr">
        <is>
          <t>Intendente de Guerra Grom</t>
        </is>
      </c>
      <c r="L141" s="242" t="n"/>
      <c r="M141" s="242" t="n"/>
    </row>
    <row r="142" ht="15" customHeight="1" s="116">
      <c r="A142" s="241" t="inlineStr">
        <is>
          <t>Ferro Orquico</t>
        </is>
      </c>
      <c r="B142" s="241" t="inlineStr">
        <is>
          <t>O Voto de Malkor</t>
        </is>
      </c>
      <c r="C142" s="241" t="inlineStr">
        <is>
          <t>Segredo (Significativa)</t>
        </is>
      </c>
      <c r="D142" s="241" t="inlineStr">
        <is>
          <t>Ajude Malkor a provar pro Campeão Cicatrizado Orc que foi o chefe quem traiu o bando, não ele.</t>
        </is>
      </c>
      <c r="E142" s="241" t="inlineStr">
        <is>
          <t>45 Ouro + o Campeão se recusa a lutar por Malkor na confrontação final (enfraquece o Chefe).</t>
        </is>
      </c>
      <c r="F142" s="242" t="n"/>
      <c r="G142" s="242" t="n"/>
      <c r="H142" s="242" t="n"/>
      <c r="I142" s="242" t="inlineStr">
        <is>
          <t>Social</t>
        </is>
      </c>
      <c r="J142" s="242" t="inlineStr">
        <is>
          <t>Veterano (Honra 50)</t>
        </is>
      </c>
      <c r="K142" s="242" t="inlineStr">
        <is>
          <t>Malkor</t>
        </is>
      </c>
      <c r="L142" s="242" t="n"/>
      <c r="M142" s="242" t="n"/>
    </row>
    <row r="143">
      <c r="A143" s="241" t="inlineStr">
        <is>
          <t>Ferro Orquico</t>
        </is>
      </c>
      <c r="B143" s="241" t="inlineStr">
        <is>
          <t>O Recruta Marcado</t>
        </is>
      </c>
      <c r="C143" s="241" t="inlineStr">
        <is>
          <t>Traição/Dilema (Gente Humilde)</t>
        </is>
      </c>
      <c r="D143" s="241" t="inlineStr">
        <is>
          <t>Um jovem orc marcado à força pede ajuda pra fugir do bando antes do próximo ritual de sangue.</t>
        </is>
      </c>
      <c r="E143" s="241" t="inlineStr">
        <is>
          <t>Ajudar: ele foge e vira contato futuro (aliado leve). Recusar/ignorar: ele é sacrificado no ritual do Xamã — sem recompensa, mas some do jogo.</t>
        </is>
      </c>
      <c r="F143" s="242" t="n"/>
      <c r="G143" s="242" t="n"/>
      <c r="H143" s="242" t="n"/>
      <c r="I143" s="242" t="inlineStr">
        <is>
          <t>Social</t>
        </is>
      </c>
      <c r="J143" s="242" t="inlineStr">
        <is>
          <t>Veterano (Honra 50)</t>
        </is>
      </c>
      <c r="K143" s="242" t="inlineStr">
        <is>
          <t>Malkor</t>
        </is>
      </c>
      <c r="L143" s="242" t="n"/>
      <c r="M143" s="242" t="n"/>
    </row>
    <row r="144">
      <c r="A144" s="241" t="inlineStr">
        <is>
          <t>Ferro Orquico</t>
        </is>
      </c>
      <c r="B144" s="241" t="inlineStr">
        <is>
          <t>O Estandarte Despedaçado</t>
        </is>
      </c>
      <c r="C144" s="241" t="inlineStr">
        <is>
          <t>Tesouro (Significativa)</t>
        </is>
      </c>
      <c r="D144" s="241" t="inlineStr">
        <is>
          <t>Recupere "O Estandarte do Bando Despedaçado" das mãos do Guardião do Estandarte.</t>
        </is>
      </c>
      <c r="E144" s="241" t="inlineStr">
        <is>
          <t>55 Ouro + o artefato "O Estandarte do Bando Despedaçado" (+2 de Ataque pra todo o grupo, imunidade a Medo).</t>
        </is>
      </c>
      <c r="F144" s="242" t="n"/>
      <c r="G144" s="242" t="n"/>
      <c r="H144" s="242" t="n"/>
      <c r="I144" s="242" t="inlineStr">
        <is>
          <t>Exploração</t>
        </is>
      </c>
      <c r="J144" s="242" t="inlineStr">
        <is>
          <t>Veterano (Honra 50)</t>
        </is>
      </c>
      <c r="K144" s="242" t="inlineStr">
        <is>
          <t>Intendente de Guerra Grom</t>
        </is>
      </c>
      <c r="L144" s="242" t="n"/>
      <c r="M144" s="242" t="n"/>
    </row>
    <row r="145">
      <c r="A145" s="241" t="inlineStr">
        <is>
          <t>Ferro Orquico</t>
        </is>
      </c>
      <c r="B145" s="241" t="inlineStr">
        <is>
          <t>O Xamã do Sangue Negro</t>
        </is>
      </c>
      <c r="C145" s="241" t="inlineStr">
        <is>
          <t>Caça de Elite (Significativa)</t>
        </is>
      </c>
      <c r="D145" s="241" t="inlineStr">
        <is>
          <t>Interrompa o ritual do Xamã do Sangue Negro antes que ele fortaleça o bando inteiro.</t>
        </is>
      </c>
      <c r="E145" s="241" t="inlineStr">
        <is>
          <t>60 Ouro + 1 item Raro do tier.</t>
        </is>
      </c>
      <c r="F145" s="243" t="n"/>
      <c r="G145" s="243" t="n"/>
      <c r="H145" s="242" t="n"/>
      <c r="I145" s="242" t="inlineStr">
        <is>
          <t>Elite</t>
        </is>
      </c>
      <c r="J145" s="242" t="inlineStr">
        <is>
          <t>Veterano (Honra 50)</t>
        </is>
      </c>
      <c r="K145" s="242" t="inlineStr">
        <is>
          <t>Malkor</t>
        </is>
      </c>
      <c r="L145" s="242" t="n"/>
      <c r="M145" s="242" t="n"/>
    </row>
    <row r="146">
      <c r="A146" s="241" t="inlineStr">
        <is>
          <t>Ferro Orquico</t>
        </is>
      </c>
      <c r="B146" s="241" t="inlineStr">
        <is>
          <t>Trégua ou Extermínio</t>
        </is>
      </c>
      <c r="C146" s="241" t="inlineStr">
        <is>
          <t>Traição/Dilema (Definidora — afeta Reinos e Facções)</t>
        </is>
      </c>
      <c r="D146" s="241" t="inlineStr">
        <is>
          <t>Depois de tudo, orcs não-corrompidos pedem trégua em vez de morte. Decida o destino do que resta do bando.</t>
        </is>
      </c>
      <c r="E146" s="241" t="inlineStr">
        <is>
          <t>Trégua: bando vira aliado leve em futuras batalhas contra a Mão. Extermínio: 80 Ouro + item Raro extra, mas a região perde uma facção potencial.</t>
        </is>
      </c>
      <c r="F146" s="161" t="inlineStr">
        <is>
          <t>Bando de Ferro Órquico</t>
        </is>
      </c>
      <c r="G146" s="161" t="inlineStr">
        <is>
          <t>+40 trégua (vira aliado leve) / -20 extermínio</t>
        </is>
      </c>
      <c r="H146" s="242" t="n"/>
      <c r="I146" s="242" t="inlineStr">
        <is>
          <t>Elite</t>
        </is>
      </c>
      <c r="J146" s="242" t="inlineStr">
        <is>
          <t>Lendário (Honra 100)</t>
        </is>
      </c>
      <c r="K146" s="242" t="inlineStr">
        <is>
          <t>Malkor</t>
        </is>
      </c>
      <c r="L146" s="242" t="n"/>
      <c r="M146" s="242" t="n"/>
    </row>
    <row r="147">
      <c r="A147" s="115" t="inlineStr">
        <is>
          <t>Ferro Orquico</t>
        </is>
      </c>
      <c r="B147" s="115" t="inlineStr">
        <is>
          <t>Batedores na Fronteira</t>
        </is>
      </c>
      <c r="C147" s="115" t="inlineStr">
        <is>
          <t>Caça (Modesta)</t>
        </is>
      </c>
      <c r="D147" s="115" t="inlineStr">
        <is>
          <t>Elimine os Batedores Orc que vigiam as bordas do acampamento.</t>
        </is>
      </c>
      <c r="E147" s="115" t="inlineStr">
        <is>
          <t>36 Ouro.</t>
        </is>
      </c>
      <c r="I147" s="115" t="inlineStr">
        <is>
          <t>Combate (Grind)</t>
        </is>
      </c>
      <c r="J147" s="115" t="inlineStr">
        <is>
          <t>Comum (Honra 0)</t>
        </is>
      </c>
      <c r="K147" s="115" t="inlineStr">
        <is>
          <t>Intendente de Guerra Grom</t>
        </is>
      </c>
    </row>
    <row r="148">
      <c r="A148" s="115" t="inlineStr">
        <is>
          <t>Ferro Orquico</t>
        </is>
      </c>
      <c r="B148" s="115" t="inlineStr">
        <is>
          <t>O Parasita Que Se Espalha</t>
        </is>
      </c>
      <c r="C148" s="115" t="inlineStr">
        <is>
          <t>Caça (Modesta)</t>
        </is>
      </c>
      <c r="D148" s="115" t="inlineStr">
        <is>
          <t>Destrua os Parasitas do Sangue Negro antes que se espalhem pelo ritual do Xamã.</t>
        </is>
      </c>
      <c r="E148" s="115" t="inlineStr">
        <is>
          <t>38 Ouro.</t>
        </is>
      </c>
      <c r="I148" s="115" t="inlineStr">
        <is>
          <t>Combate (Grind)</t>
        </is>
      </c>
      <c r="J148" s="115" t="inlineStr">
        <is>
          <t>Comum (Honra 0)</t>
        </is>
      </c>
      <c r="K148" s="115" t="inlineStr">
        <is>
          <t>Malkor</t>
        </is>
      </c>
    </row>
    <row r="149">
      <c r="A149" s="115" t="inlineStr">
        <is>
          <t>Ferro Orquico</t>
        </is>
      </c>
      <c r="B149" s="115" t="inlineStr">
        <is>
          <t>Presas Pra Grom</t>
        </is>
      </c>
      <c r="C149" s="115" t="inlineStr">
        <is>
          <t>Coleta (Preparo)</t>
        </is>
      </c>
      <c r="D149" s="115" t="inlineStr">
        <is>
          <t>Traga 4x Crânio Troféu do Chefe Orc pro Grom, que quer provar a força do bando pros aventureiros de passagem.</t>
        </is>
      </c>
      <c r="E149" s="115" t="inlineStr">
        <is>
          <t>34 Ouro + Grom vende 1 Elmo Bárbaro (Comum) pela metade do preço, uma vez.</t>
        </is>
      </c>
      <c r="I149" s="115" t="inlineStr">
        <is>
          <t>Coleta</t>
        </is>
      </c>
      <c r="J149" s="115" t="inlineStr">
        <is>
          <t>Comum (Honra 0)</t>
        </is>
      </c>
      <c r="K149" s="115" t="inlineStr">
        <is>
          <t>Intendente de Guerra Grom</t>
        </is>
      </c>
    </row>
    <row r="150">
      <c r="A150" s="115" t="inlineStr">
        <is>
          <t>Ferro Orquico</t>
        </is>
      </c>
      <c r="B150" s="115" t="inlineStr">
        <is>
          <t>Os Filhotes Perdidos</t>
        </is>
      </c>
      <c r="C150" s="115" t="inlineStr">
        <is>
          <t>Coleta (Significativa)</t>
        </is>
      </c>
      <c r="D150" s="115" t="inlineStr">
        <is>
          <t>Recupere 3x Presa de Filhote de Guerra antes que a matilha os encontre primeiro.</t>
        </is>
      </c>
      <c r="E150" s="115" t="inlineStr">
        <is>
          <t>36 Ouro.</t>
        </is>
      </c>
      <c r="I150" s="115" t="inlineStr">
        <is>
          <t>Coleta</t>
        </is>
      </c>
      <c r="J150" s="115" t="inlineStr">
        <is>
          <t>Veterano (Honra 50)</t>
        </is>
      </c>
      <c r="K150" s="115" t="inlineStr">
        <is>
          <t>Malkor</t>
        </is>
      </c>
    </row>
    <row r="151">
      <c r="A151" s="115" t="inlineStr">
        <is>
          <t>Ferro Orquico</t>
        </is>
      </c>
      <c r="B151" s="115" t="inlineStr">
        <is>
          <t>O Batedor Que Só Quer Fugir</t>
        </is>
      </c>
      <c r="C151" s="115" t="inlineStr">
        <is>
          <t>Exploração (Significativa)</t>
        </is>
      </c>
      <c r="D151" s="115" t="inlineStr">
        <is>
          <t>Ajude o Batedor Ferido em Fuga a escapar do bando antes que o alcancem.</t>
        </is>
      </c>
      <c r="E151" s="115" t="inlineStr">
        <is>
          <t>40 Ouro + 1 item Raro do tier.</t>
        </is>
      </c>
      <c r="I151" s="115" t="inlineStr">
        <is>
          <t>Exploração</t>
        </is>
      </c>
      <c r="J151" s="115" t="inlineStr">
        <is>
          <t>Comum (Honra 0)</t>
        </is>
      </c>
      <c r="K151" s="115" t="inlineStr">
        <is>
          <t>Malkor</t>
        </is>
      </c>
    </row>
    <row r="152">
      <c r="A152" s="115" t="inlineStr">
        <is>
          <t>Ferro Orquico</t>
        </is>
      </c>
      <c r="B152" s="115" t="inlineStr">
        <is>
          <t>A Recusa de Grok</t>
        </is>
      </c>
      <c r="C152" s="115" t="inlineStr">
        <is>
          <t>Segredo (Significativa)</t>
        </is>
      </c>
      <c r="D152" s="115" t="inlineStr">
        <is>
          <t>Investigue por que Grok recusou a guerra e o que ele sabe sobre a marca do Chefe.</t>
        </is>
      </c>
      <c r="E152" s="115" t="inlineStr">
        <is>
          <t>42 Ouro + revela uma pista sobre o Chefe do Bando Orc antes do confronto.</t>
        </is>
      </c>
      <c r="I152" s="115" t="inlineStr">
        <is>
          <t>Exploração</t>
        </is>
      </c>
      <c r="J152" s="115" t="inlineStr">
        <is>
          <t>Veterano (Honra 50)</t>
        </is>
      </c>
      <c r="K152" s="115" t="inlineStr">
        <is>
          <t>Malkor</t>
        </is>
      </c>
    </row>
    <row r="153">
      <c r="A153" s="115" t="inlineStr">
        <is>
          <t>Ferro Orquico</t>
        </is>
      </c>
      <c r="B153" s="115" t="inlineStr">
        <is>
          <t>Forjando o Amuleto do Orc Ferido</t>
        </is>
      </c>
      <c r="C153" s="115" t="inlineStr">
        <is>
          <t>Crafting</t>
        </is>
      </c>
      <c r="D153" s="115" t="inlineStr">
        <is>
          <t>Colete os materiais e forje 1 Amuleto do Orc Ferido com o Grom.</t>
        </is>
      </c>
      <c r="I153" s="115" t="inlineStr">
        <is>
          <t>Crafting</t>
        </is>
      </c>
      <c r="J153" s="115" t="inlineStr">
        <is>
          <t>Veterano (Honra 50)</t>
        </is>
      </c>
      <c r="K153" s="115" t="inlineStr">
        <is>
          <t>Intendente de Guerra Grom</t>
        </is>
      </c>
      <c r="M153" s="115" t="inlineStr">
        <is>
          <t>Amuleto do Orc Ferido (+2 de Defesa leve)</t>
        </is>
      </c>
    </row>
    <row r="154">
      <c r="A154" s="241" t="inlineStr">
        <is>
          <t>Mithril</t>
        </is>
      </c>
      <c r="B154" s="241" t="inlineStr">
        <is>
          <t>Ecos no Escuro</t>
        </is>
      </c>
      <c r="C154" s="241" t="inlineStr">
        <is>
          <t>Caça (Modesta)</t>
        </is>
      </c>
      <c r="D154" s="241" t="inlineStr">
        <is>
          <t>Reduza os Morcegos e Peixes-Abissais que atacam as rotas de navegação do Almirante Malakor.</t>
        </is>
      </c>
      <c r="E154" s="241" t="inlineStr">
        <is>
          <t>38 Ouro.</t>
        </is>
      </c>
      <c r="F154" s="242" t="n"/>
      <c r="G154" s="242" t="n"/>
      <c r="H154" s="242" t="n"/>
      <c r="I154" s="242" t="inlineStr">
        <is>
          <t>Combate (Grind)</t>
        </is>
      </c>
      <c r="J154" s="242" t="inlineStr">
        <is>
          <t>Comum (Honra 0)</t>
        </is>
      </c>
      <c r="K154" s="242" t="inlineStr">
        <is>
          <t>Almirante Malakor</t>
        </is>
      </c>
      <c r="L154" s="242" t="n"/>
      <c r="M154" s="242" t="n"/>
    </row>
    <row r="155">
      <c r="A155" s="241" t="inlineStr">
        <is>
          <t>Mithril</t>
        </is>
      </c>
      <c r="B155" s="241" t="inlineStr">
        <is>
          <t>A Flor do Abismo Profundo</t>
        </is>
      </c>
      <c r="C155" s="241" t="inlineStr">
        <is>
          <t>Coleta (Preparo — a pedido de Nadia das Marés Negras)</t>
        </is>
      </c>
      <c r="D155" s="241" t="inlineStr">
        <is>
          <t>Colete 3x Lótus do Lago Sem Sol pra Nadia, guia de mergulho das cavernas.</t>
        </is>
      </c>
      <c r="E155" s="241" t="inlineStr">
        <is>
          <t>35 Ouro + Nadia guia o grupo até um atalho que evita 1 encontro aleatório perigoso no tier.</t>
        </is>
      </c>
      <c r="F155" s="242" t="n"/>
      <c r="G155" s="242" t="n"/>
      <c r="H155" s="242" t="n"/>
      <c r="I155" s="242" t="inlineStr">
        <is>
          <t>Coleta</t>
        </is>
      </c>
      <c r="J155" s="242" t="inlineStr">
        <is>
          <t>Comum (Honra 0)</t>
        </is>
      </c>
      <c r="K155" s="242" t="inlineStr">
        <is>
          <t>Nadia das Marés Negras</t>
        </is>
      </c>
      <c r="L155" s="242" t="n"/>
      <c r="M155" s="242" t="n"/>
    </row>
    <row r="156">
      <c r="A156" s="241" t="inlineStr">
        <is>
          <t>Mithril</t>
        </is>
      </c>
      <c r="B156" s="241" t="inlineStr">
        <is>
          <t>O Farol Preso</t>
        </is>
      </c>
      <c r="C156" s="241" t="inlineStr">
        <is>
          <t>Segredo (Significativa)</t>
        </is>
      </c>
      <c r="D156" s="241" t="inlineStr">
        <is>
          <t>Consulte O Prisioneiro do Farol de Cristal — uma entidade acorrentada há 500 anos que enxerga fraquezas de chefes cósmicos.</t>
        </is>
      </c>
      <c r="E156" s="241" t="inlineStr">
        <is>
          <t>40 Ouro + revela a fraqueza de um Boss Cósmico futuro (utilizável no Ato V).</t>
        </is>
      </c>
      <c r="F156" s="243" t="n"/>
      <c r="G156" s="243" t="n"/>
      <c r="H156" s="242" t="n"/>
      <c r="I156" s="242" t="inlineStr">
        <is>
          <t>Exploração</t>
        </is>
      </c>
      <c r="J156" s="242" t="inlineStr">
        <is>
          <t>Veterano (Honra 50)</t>
        </is>
      </c>
      <c r="K156" s="242" t="inlineStr">
        <is>
          <t>O Prisioneiro do Farol de Cristal</t>
        </is>
      </c>
      <c r="L156" s="242" t="n"/>
      <c r="M156" s="242" t="n"/>
    </row>
    <row r="157">
      <c r="A157" s="241" t="inlineStr">
        <is>
          <t>Mithril</t>
        </is>
      </c>
      <c r="B157" s="241" t="inlineStr">
        <is>
          <t>As Amostras do Dr. Corvus</t>
        </is>
      </c>
      <c r="C157" s="241" t="inlineStr">
        <is>
          <t>Traição/Dilema (moral ambígua)</t>
        </is>
      </c>
      <c r="D157" s="241" t="inlineStr">
        <is>
          <t>Descubra que o Dr. Corvus mantém partes vivas de monstros em potes — mas ele genuinamente busca entender a infecção, não é só um vilão.</t>
        </is>
      </c>
      <c r="E157" s="241" t="inlineStr">
        <is>
          <t>Reportar aos Navegadores: 30 Ouro + reputação formal, Corvus é banido. Ajudar em segredo: Corvus revela dados sobre a Infecção (bônus permanente em testes de INT contra criaturas assimiladas).</t>
        </is>
      </c>
      <c r="F157" s="161" t="inlineStr">
        <is>
          <t>Os Navegadores do Abismo</t>
        </is>
      </c>
      <c r="G157" s="161" t="inlineStr">
        <is>
          <t>+15 reportar oficialmente / 0 ajudar em segredo (ganho é outro, não reputação)</t>
        </is>
      </c>
      <c r="H157" s="242" t="n"/>
      <c r="I157" s="242" t="inlineStr">
        <is>
          <t>Social</t>
        </is>
      </c>
      <c r="J157" s="242" t="inlineStr">
        <is>
          <t>Veterano (Honra 50)</t>
        </is>
      </c>
      <c r="K157" s="242" t="inlineStr">
        <is>
          <t>Dr. Corvus</t>
        </is>
      </c>
      <c r="L157" s="242" t="n"/>
      <c r="M157" s="242" t="n"/>
    </row>
    <row r="158">
      <c r="A158" s="241" t="inlineStr">
        <is>
          <t>Mithril</t>
        </is>
      </c>
      <c r="B158" s="241" t="inlineStr">
        <is>
          <t>O Coração de Mithril Resfriado</t>
        </is>
      </c>
      <c r="C158" s="241" t="inlineStr">
        <is>
          <t>Tesouro (Significativa)</t>
        </is>
      </c>
      <c r="D158" s="241" t="inlineStr">
        <is>
          <t>Recupere o artefato guardado pelo Elemental Guardião das Profundezas.</t>
        </is>
      </c>
      <c r="E158" s="241" t="inlineStr">
        <is>
          <t>55 Ouro + o artefato "O Coração de Mithril Resfriado" (reduz custo de Mana de magias em 2).</t>
        </is>
      </c>
      <c r="F158" s="242" t="n"/>
      <c r="G158" s="242" t="n"/>
      <c r="H158" s="242" t="n"/>
      <c r="I158" s="242" t="inlineStr">
        <is>
          <t>Exploração</t>
        </is>
      </c>
      <c r="J158" s="242" t="inlineStr">
        <is>
          <t>Veterano (Honra 50)</t>
        </is>
      </c>
      <c r="K158" s="242" t="inlineStr">
        <is>
          <t>Nadia das Marés Negras</t>
        </is>
      </c>
      <c r="L158" s="242" t="n"/>
      <c r="M158" s="242" t="n"/>
    </row>
    <row r="159">
      <c r="A159" s="241" t="inlineStr">
        <is>
          <t>Mithril</t>
        </is>
      </c>
      <c r="B159" s="241" t="inlineStr">
        <is>
          <t>O Profeta da Fusão</t>
        </is>
      </c>
      <c r="C159" s="241" t="inlineStr">
        <is>
          <t>Caça de Elite (Significativa)</t>
        </is>
      </c>
      <c r="D159" s="241" t="inlineStr">
        <is>
          <t>Impeça o Profeta da Fusão de converter mais navegadores desesperados ao Culto da Assimilação.</t>
        </is>
      </c>
      <c r="E159" s="241" t="inlineStr">
        <is>
          <t>60 Ouro + 1 item Raro do tier.</t>
        </is>
      </c>
      <c r="F159" s="242" t="n"/>
      <c r="G159" s="242" t="n"/>
      <c r="H159" s="242" t="n"/>
      <c r="I159" s="242" t="inlineStr">
        <is>
          <t>Elite</t>
        </is>
      </c>
      <c r="J159" s="242" t="inlineStr">
        <is>
          <t>Veterano (Honra 50)</t>
        </is>
      </c>
      <c r="K159" s="242" t="inlineStr">
        <is>
          <t>Almirante Malakor</t>
        </is>
      </c>
      <c r="L159" s="242" t="n"/>
      <c r="M159" s="242" t="n"/>
    </row>
    <row r="160">
      <c r="A160" s="241" t="inlineStr">
        <is>
          <t>Mithril</t>
        </is>
      </c>
      <c r="B160" s="241" t="inlineStr">
        <is>
          <t>O Devorador de Mithril</t>
        </is>
      </c>
      <c r="C160" s="241" t="inlineStr">
        <is>
          <t>Boss Opcional (Definidora — fecha o Ato III)</t>
        </is>
      </c>
      <c r="D160" s="241" t="inlineStr">
        <is>
          <t>Enfrente o maior perigo real das Cavernas Profundas.</t>
        </is>
      </c>
      <c r="E160" s="241" t="inlineStr">
        <is>
          <t>160 Ouro + 1 item Lendário + completa a transição pro Ato IV (Ébano, Culto da Assimilação em força total).</t>
        </is>
      </c>
      <c r="F160" s="242" t="n"/>
      <c r="G160" s="242" t="n"/>
      <c r="H160" s="242" t="n"/>
      <c r="I160" s="242" t="inlineStr">
        <is>
          <t>Elite</t>
        </is>
      </c>
      <c r="J160" s="242" t="inlineStr">
        <is>
          <t>Lendário (Honra 100)</t>
        </is>
      </c>
      <c r="K160" s="242" t="inlineStr">
        <is>
          <t>Almirante Malakor</t>
        </is>
      </c>
      <c r="L160" s="242" t="n"/>
      <c r="M160" s="242" t="n"/>
    </row>
    <row r="161">
      <c r="A161" s="115" t="inlineStr">
        <is>
          <t>Mithril</t>
        </is>
      </c>
      <c r="B161" s="115" t="inlineStr">
        <is>
          <t>Cardumes Corrompidos</t>
        </is>
      </c>
      <c r="C161" s="115" t="inlineStr">
        <is>
          <t>Caça (Modesta)</t>
        </is>
      </c>
      <c r="D161" s="115" t="inlineStr">
        <is>
          <t>Elimine os Cardumes Abissais antes que sigam o Peixe-Abissal Corrompido pra mais perto do Porto.</t>
        </is>
      </c>
      <c r="E161" s="115" t="inlineStr">
        <is>
          <t>38 Ouro.</t>
        </is>
      </c>
      <c r="I161" s="115" t="inlineStr">
        <is>
          <t>Combate (Grind)</t>
        </is>
      </c>
      <c r="J161" s="115" t="inlineStr">
        <is>
          <t>Comum (Honra 0)</t>
        </is>
      </c>
      <c r="K161" s="115" t="inlineStr">
        <is>
          <t>Almirante Malakor</t>
        </is>
      </c>
    </row>
    <row r="162">
      <c r="A162" s="115" t="inlineStr">
        <is>
          <t>Mithril</t>
        </is>
      </c>
      <c r="B162" s="115" t="inlineStr">
        <is>
          <t>Golens à Deriva</t>
        </is>
      </c>
      <c r="C162" s="115" t="inlineStr">
        <is>
          <t>Caça (Modesta)</t>
        </is>
      </c>
      <c r="D162" s="115" t="inlineStr">
        <is>
          <t>Destrua os Golens de Mithril Rachados antes que colapsem numa rota de navegação movimentada.</t>
        </is>
      </c>
      <c r="E162" s="115" t="inlineStr">
        <is>
          <t>42 Ouro.</t>
        </is>
      </c>
      <c r="I162" s="115" t="inlineStr">
        <is>
          <t>Combate (Grind)</t>
        </is>
      </c>
      <c r="J162" s="115" t="inlineStr">
        <is>
          <t>Comum (Honra 0)</t>
        </is>
      </c>
      <c r="K162" s="115" t="inlineStr">
        <is>
          <t>Nadia das Marés Negras</t>
        </is>
      </c>
    </row>
    <row r="163">
      <c r="A163" s="115" t="inlineStr">
        <is>
          <t>Mithril</t>
        </is>
      </c>
      <c r="B163" s="115" t="inlineStr">
        <is>
          <t>Mithril Pro Porto</t>
        </is>
      </c>
      <c r="C163" s="115" t="inlineStr">
        <is>
          <t>Coleta (Preparo)</t>
        </is>
      </c>
      <c r="D163" s="115" t="inlineStr">
        <is>
          <t>Traga 4x Veio Profundo de Mithril pro Almirante Malakor, que precisa reforçar o casco dos navios.</t>
        </is>
      </c>
      <c r="E163" s="115" t="inlineStr">
        <is>
          <t>36 Ouro + Malakor forja de graça 1 Elmo de Mithril (Comum) pra você.</t>
        </is>
      </c>
      <c r="I163" s="115" t="inlineStr">
        <is>
          <t>Coleta</t>
        </is>
      </c>
      <c r="J163" s="115" t="inlineStr">
        <is>
          <t>Comum (Honra 0)</t>
        </is>
      </c>
      <c r="K163" s="115" t="inlineStr">
        <is>
          <t>Almirante Malakor</t>
        </is>
      </c>
    </row>
    <row r="164">
      <c r="A164" s="115" t="inlineStr">
        <is>
          <t>Mithril</t>
        </is>
      </c>
      <c r="B164" s="115" t="inlineStr">
        <is>
          <t>Escamas Douradas</t>
        </is>
      </c>
      <c r="C164" s="115" t="inlineStr">
        <is>
          <t>Coleta (Significativa)</t>
        </is>
      </c>
      <c r="D164" s="115" t="inlineStr">
        <is>
          <t>Traga 2x Escama Dourada de Peixe das Profundezas pra Nadia, que quer provar aos navegadores que ainda existe beleza no Mar Sem Sol.</t>
        </is>
      </c>
      <c r="E164" s="115" t="inlineStr">
        <is>
          <t>40 Ouro.</t>
        </is>
      </c>
      <c r="I164" s="115" t="inlineStr">
        <is>
          <t>Coleta</t>
        </is>
      </c>
      <c r="J164" s="115" t="inlineStr">
        <is>
          <t>Veterano (Honra 50)</t>
        </is>
      </c>
      <c r="K164" s="115" t="inlineStr">
        <is>
          <t>Nadia das Marés Negras</t>
        </is>
      </c>
    </row>
    <row r="165">
      <c r="A165" s="115" t="inlineStr">
        <is>
          <t>Mithril</t>
        </is>
      </c>
      <c r="B165" s="115" t="inlineStr">
        <is>
          <t>O Náufrago Que Ainda Se Esconde</t>
        </is>
      </c>
      <c r="C165" s="115" t="inlineStr">
        <is>
          <t>Social/Pacífica (Gente Humilde)</t>
        </is>
      </c>
      <c r="D165" s="115" t="inlineStr">
        <is>
          <t>Encontre o Náufrago Escondido e decida se ele é levado de volta ao Porto ou deixado esperando na bolsa de ar.</t>
        </is>
      </c>
      <c r="E165" s="115" t="inlineStr">
        <is>
          <t>Levar: 20 Ouro + reputação com Malakor. Deixar: nada, sem penalidade.</t>
        </is>
      </c>
      <c r="I165" s="115" t="inlineStr">
        <is>
          <t>Social</t>
        </is>
      </c>
      <c r="J165" s="115" t="inlineStr">
        <is>
          <t>Comum (Honra 0)</t>
        </is>
      </c>
      <c r="K165" s="115" t="inlineStr">
        <is>
          <t>Almirante Malakor</t>
        </is>
      </c>
    </row>
    <row r="166">
      <c r="A166" s="115" t="inlineStr">
        <is>
          <t>Mithril</t>
        </is>
      </c>
      <c r="B166" s="115" t="inlineStr">
        <is>
          <t>A Dúvida do Marinheiro</t>
        </is>
      </c>
      <c r="C166" s="115" t="inlineStr">
        <is>
          <t>Dilema (recompensa varia)</t>
        </is>
      </c>
      <c r="D166" s="115" t="inlineStr">
        <is>
          <t>Decida se ajuda o Marinheiro Recém-Afogado a lutar contra a fusão ou deixa o processo terminar.</t>
        </is>
      </c>
      <c r="E166" s="115" t="inlineStr">
        <is>
          <t>Ajudar a lutar: 25 Ouro + reputação com Nadia. Deixar terminar: nenhuma reputação, mas nenhum recurso gasto.</t>
        </is>
      </c>
      <c r="I166" s="115" t="inlineStr">
        <is>
          <t>Social</t>
        </is>
      </c>
      <c r="J166" s="115" t="inlineStr">
        <is>
          <t>Veterano (Honra 50)</t>
        </is>
      </c>
      <c r="K166" s="115" t="inlineStr">
        <is>
          <t>Nadia das Marés Negras</t>
        </is>
      </c>
    </row>
    <row r="167">
      <c r="A167" s="115" t="inlineStr">
        <is>
          <t>Mithril</t>
        </is>
      </c>
      <c r="B167" s="115" t="inlineStr">
        <is>
          <t>Forjando o Amuleto do Cristal</t>
        </is>
      </c>
      <c r="C167" s="115" t="inlineStr">
        <is>
          <t>Crafting</t>
        </is>
      </c>
      <c r="D167" s="115" t="inlineStr">
        <is>
          <t>Colete os materiais e forje 1 Amuleto do Cristal com Nadia.</t>
        </is>
      </c>
      <c r="I167" s="115" t="inlineStr">
        <is>
          <t>Crafting</t>
        </is>
      </c>
      <c r="J167" s="115" t="inlineStr">
        <is>
          <t>Veterano (Honra 50)</t>
        </is>
      </c>
      <c r="K167" s="115" t="inlineStr">
        <is>
          <t>Nadia das Marés Negras</t>
        </is>
      </c>
      <c r="M167" s="115" t="inlineStr">
        <is>
          <t>Amuleto do Cristal (+10% de resistência a Controle)</t>
        </is>
      </c>
    </row>
    <row r="168">
      <c r="A168" s="241" t="inlineStr">
        <is>
          <t>Ebano</t>
        </is>
      </c>
      <c r="B168" s="241" t="inlineStr">
        <is>
          <t>Sombras na Cinza</t>
        </is>
      </c>
      <c r="C168" s="241" t="inlineStr">
        <is>
          <t>Caça (Modesta)</t>
        </is>
      </c>
      <c r="D168" s="241" t="inlineStr">
        <is>
          <t>Limpe as Sombras Vulcânicas e Cinzas Amaldiçoadas que o culto usa como cobertura pros rituais.</t>
        </is>
      </c>
      <c r="E168" s="241" t="inlineStr">
        <is>
          <t>40 Ouro.</t>
        </is>
      </c>
      <c r="F168" s="242" t="n"/>
      <c r="G168" s="242" t="n"/>
      <c r="H168" s="242" t="n"/>
      <c r="I168" s="242" t="inlineStr">
        <is>
          <t>Combate (Grind)</t>
        </is>
      </c>
      <c r="J168" s="242" t="inlineStr">
        <is>
          <t>Comum (Honra 0)</t>
        </is>
      </c>
      <c r="K168" s="242" t="inlineStr">
        <is>
          <t>Mestra Vespera da Forja Negra</t>
        </is>
      </c>
      <c r="L168" s="242" t="n"/>
      <c r="M168" s="242" t="n"/>
    </row>
    <row r="169">
      <c r="A169" s="241" t="inlineStr">
        <is>
          <t>Ebano</t>
        </is>
      </c>
      <c r="B169" s="241" t="inlineStr">
        <is>
          <t>O Manto de Cinza Impenetrável</t>
        </is>
      </c>
      <c r="C169" s="241" t="inlineStr">
        <is>
          <t>Tesouro (Significativa)</t>
        </is>
      </c>
      <c r="D169" s="241" t="inlineStr">
        <is>
          <t>Recupere o artefato guardado pelo Guardião da Fenda Morta.</t>
        </is>
      </c>
      <c r="E169" s="241" t="inlineStr">
        <is>
          <t>60 Ouro + o artefato "O Manto de Cinza Impenetrável" (imunidade total a Veneno, Sangramento e Queimadura).</t>
        </is>
      </c>
      <c r="F169" s="243" t="n"/>
      <c r="G169" s="243" t="n"/>
      <c r="H169" s="242" t="n"/>
      <c r="I169" s="242" t="inlineStr">
        <is>
          <t>Exploração</t>
        </is>
      </c>
      <c r="J169" s="242" t="inlineStr">
        <is>
          <t>Veterano (Honra 50)</t>
        </is>
      </c>
      <c r="K169" s="242" t="inlineStr">
        <is>
          <t>Mestra Vespera da Forja Negra</t>
        </is>
      </c>
      <c r="L169" s="242" t="n"/>
      <c r="M169" s="242" t="n"/>
    </row>
    <row r="170">
      <c r="A170" s="241" t="inlineStr">
        <is>
          <t>Ebano</t>
        </is>
      </c>
      <c r="B170" s="241" t="inlineStr">
        <is>
          <t>O Legado de Corvus</t>
        </is>
      </c>
      <c r="C170" s="241" t="inlineStr">
        <is>
          <t>Segredo (ramifica conforme Tier 9)</t>
        </is>
      </c>
      <c r="D170" s="241" t="inlineStr">
        <is>
          <t>Se o Dr. Corvus foi poupado no Mithril: encontre a pesquisa escondida dele na fenda, revelando a fraqueza do Amálgama Original. Se não: investigue por conta própria, sem atalho.</t>
        </is>
      </c>
      <c r="E170" s="241" t="inlineStr">
        <is>
          <t>Com a pesquisa de Corvus: vantagem tática garantida contra o Amálgama Original. Sem ela: 30 Ouro de compensação, luta mais difícil.</t>
        </is>
      </c>
      <c r="F170" s="161" t="inlineStr">
        <is>
          <t>Os Navegadores do Abismo</t>
        </is>
      </c>
      <c r="G170" s="161" t="inlineStr">
        <is>
          <t>+10 (resolve o caso, com ou sem a pesquisa)</t>
        </is>
      </c>
      <c r="H170" s="242" t="n"/>
      <c r="I170" s="242" t="inlineStr">
        <is>
          <t>Exploração</t>
        </is>
      </c>
      <c r="J170" s="242" t="inlineStr">
        <is>
          <t>Veterano (Honra 50)</t>
        </is>
      </c>
      <c r="K170" s="242" t="inlineStr">
        <is>
          <t>Dr. Corvus</t>
        </is>
      </c>
      <c r="L170" s="242" t="n"/>
      <c r="M170" s="242" t="n"/>
    </row>
    <row r="171">
      <c r="A171" s="241" t="inlineStr">
        <is>
          <t>Ebano</t>
        </is>
      </c>
      <c r="B171" s="241" t="inlineStr">
        <is>
          <t>A Raiz Que Ainda Sente</t>
        </is>
      </c>
      <c r="C171" s="241" t="inlineStr">
        <is>
          <t>Traição/Dilema (moral pesado)</t>
        </is>
      </c>
      <c r="D171" s="241" t="inlineStr">
        <is>
          <t>A Raiz Rastejante pode ainda estar consciente lá dentro, pedindo silenciosamente pra ser libertada em vez de morta.</t>
        </is>
      </c>
      <c r="E171" s="241" t="inlineStr">
        <is>
          <t>Tentar libertar (teste SAB CD 18): sucesso vira aliado resgatado, falha causa dano extra no combate. Matar direto: combate mais simples, sem recompensa extra.</t>
        </is>
      </c>
      <c r="F171" s="242" t="n"/>
      <c r="G171" s="242" t="n"/>
      <c r="H171" s="242" t="n"/>
      <c r="I171" s="242" t="inlineStr">
        <is>
          <t>Social</t>
        </is>
      </c>
      <c r="J171" s="242" t="inlineStr">
        <is>
          <t>Veterano (Honra 50)</t>
        </is>
      </c>
      <c r="K171" s="242" t="inlineStr">
        <is>
          <t>Mestra Vespera da Forja Negra</t>
        </is>
      </c>
      <c r="L171" s="242" t="n"/>
      <c r="M171" s="242" t="n"/>
    </row>
    <row r="172">
      <c r="A172" s="241" t="inlineStr">
        <is>
          <t>Ebano</t>
        </is>
      </c>
      <c r="B172" s="241" t="inlineStr">
        <is>
          <t>O Zelote da Fusão Suprema</t>
        </is>
      </c>
      <c r="C172" s="241" t="inlineStr">
        <is>
          <t>Caça de Elite (Significativa)</t>
        </is>
      </c>
      <c r="D172" s="241" t="inlineStr">
        <is>
          <t>Impeça o Zelote da Fusão Suprema de converter mais vítimas em massa.</t>
        </is>
      </c>
      <c r="E172" s="241" t="inlineStr">
        <is>
          <t>65 Ouro + 1 item Raro do tier.</t>
        </is>
      </c>
      <c r="F172" s="242" t="n"/>
      <c r="G172" s="242" t="n"/>
      <c r="H172" s="242" t="n"/>
      <c r="I172" s="242" t="inlineStr">
        <is>
          <t>Elite</t>
        </is>
      </c>
      <c r="J172" s="242" t="inlineStr">
        <is>
          <t>Veterano (Honra 50)</t>
        </is>
      </c>
      <c r="K172" s="242" t="inlineStr">
        <is>
          <t>Mestra Vespera da Forja Negra</t>
        </is>
      </c>
      <c r="L172" s="242" t="n"/>
      <c r="M172" s="242" t="n"/>
    </row>
    <row r="173">
      <c r="A173" s="241" t="inlineStr">
        <is>
          <t>Ebano</t>
        </is>
      </c>
      <c r="B173" s="241" t="inlineStr">
        <is>
          <t>O Amálgama Original</t>
        </is>
      </c>
      <c r="C173" s="241" t="inlineStr">
        <is>
          <t>Boss Opcional (Definidora — risco alto)</t>
        </is>
      </c>
      <c r="D173" s="241" t="inlineStr">
        <is>
          <t>Enfrente a primeira fusão bem-sucedida do Culto da Assimilação e recupere "A Couraça da Carne Rastejante".</t>
        </is>
      </c>
      <c r="E173" s="241" t="inlineStr">
        <is>
          <t>170 Ouro + o artefato "A Couraça da Carne Rastejante" + 1 item Lendário.</t>
        </is>
      </c>
      <c r="F173" s="242" t="n"/>
      <c r="G173" s="242" t="n"/>
      <c r="H173" s="242" t="n"/>
      <c r="I173" s="242" t="inlineStr">
        <is>
          <t>Elite</t>
        </is>
      </c>
      <c r="J173" s="242" t="inlineStr">
        <is>
          <t>Lendário (Honra 100)</t>
        </is>
      </c>
      <c r="K173" s="242" t="inlineStr">
        <is>
          <t>Mestra Vespera da Forja Negra</t>
        </is>
      </c>
      <c r="L173" s="242" t="n"/>
      <c r="M173" s="242" t="n"/>
    </row>
    <row r="174">
      <c r="A174" s="115" t="inlineStr">
        <is>
          <t>Ebano</t>
        </is>
      </c>
      <c r="B174" s="115" t="inlineStr">
        <is>
          <t>Espectros Fragmentados</t>
        </is>
      </c>
      <c r="C174" s="115" t="inlineStr">
        <is>
          <t>Caça (Modesta)</t>
        </is>
      </c>
      <c r="D174" s="115" t="inlineStr">
        <is>
          <t>Elimine os Espectros Fragmentados que rondam a fenda morta.</t>
        </is>
      </c>
      <c r="E174" s="115" t="inlineStr">
        <is>
          <t>44 Ouro.</t>
        </is>
      </c>
      <c r="I174" s="115" t="inlineStr">
        <is>
          <t>Combate (Grind)</t>
        </is>
      </c>
      <c r="J174" s="115" t="inlineStr">
        <is>
          <t>Comum (Honra 0)</t>
        </is>
      </c>
      <c r="K174" s="115" t="inlineStr">
        <is>
          <t>Mestra Vespera da Forja Negra</t>
        </is>
      </c>
    </row>
    <row r="175">
      <c r="A175" s="115" t="inlineStr">
        <is>
          <t>Ebano</t>
        </is>
      </c>
      <c r="B175" s="115" t="inlineStr">
        <is>
          <t>Ceifadores em Treinamento</t>
        </is>
      </c>
      <c r="C175" s="115" t="inlineStr">
        <is>
          <t>Caça (Modesta)</t>
        </is>
      </c>
      <c r="D175" s="115" t="inlineStr">
        <is>
          <t>Elimine os Ceifadores Aprendizes antes que completem o treinamento sob o Ceifador da Carne Viva.</t>
        </is>
      </c>
      <c r="E175" s="115" t="inlineStr">
        <is>
          <t>46 Ouro.</t>
        </is>
      </c>
      <c r="I175" s="115" t="inlineStr">
        <is>
          <t>Combate (Grind)</t>
        </is>
      </c>
      <c r="J175" s="115" t="inlineStr">
        <is>
          <t>Comum (Honra 0)</t>
        </is>
      </c>
      <c r="K175" s="115" t="inlineStr">
        <is>
          <t>Inquisidor Tobias do Olho Ardente</t>
        </is>
      </c>
    </row>
    <row r="176">
      <c r="A176" s="115" t="inlineStr">
        <is>
          <t>Ebano</t>
        </is>
      </c>
      <c r="B176" s="115" t="inlineStr">
        <is>
          <t>Ébano Pra Vespera</t>
        </is>
      </c>
      <c r="C176" s="115" t="inlineStr">
        <is>
          <t>Coleta (Preparo)</t>
        </is>
      </c>
      <c r="D176" s="115" t="inlineStr">
        <is>
          <t>Traga 4x Rocha Negra de Ébano pra Mestra Vespera, que precisa forjar mais lâminas que não refletem luz.</t>
        </is>
      </c>
      <c r="E176" s="115" t="inlineStr">
        <is>
          <t>40 Ouro + Vespera forja de graça 1 Elmo de Ébano (Comum) pra você.</t>
        </is>
      </c>
      <c r="I176" s="115" t="inlineStr">
        <is>
          <t>Coleta</t>
        </is>
      </c>
      <c r="J176" s="115" t="inlineStr">
        <is>
          <t>Comum (Honra 0)</t>
        </is>
      </c>
      <c r="K176" s="115" t="inlineStr">
        <is>
          <t>Mestra Vespera da Forja Negra</t>
        </is>
      </c>
    </row>
    <row r="177">
      <c r="A177" s="115" t="inlineStr">
        <is>
          <t>Ebano</t>
        </is>
      </c>
      <c r="B177" s="115" t="inlineStr">
        <is>
          <t>Esporos da Cinza</t>
        </is>
      </c>
      <c r="C177" s="115" t="inlineStr">
        <is>
          <t>Coleta (Significativa)</t>
        </is>
      </c>
      <c r="D177" s="115" t="inlineStr">
        <is>
          <t>Traga 3x Esporo Andante de Cinza pro Dr. Corvus, que quer estudar como o cogumelo ganhou movimento próprio.</t>
        </is>
      </c>
      <c r="E177" s="115" t="inlineStr">
        <is>
          <t>42 Ouro.</t>
        </is>
      </c>
      <c r="I177" s="115" t="inlineStr">
        <is>
          <t>Coleta</t>
        </is>
      </c>
      <c r="J177" s="115" t="inlineStr">
        <is>
          <t>Veterano (Honra 50)</t>
        </is>
      </c>
      <c r="K177" s="115" t="inlineStr">
        <is>
          <t>Dr. Corvus</t>
        </is>
      </c>
    </row>
    <row r="178">
      <c r="A178" s="115" t="inlineStr">
        <is>
          <t>Ebano</t>
        </is>
      </c>
      <c r="B178" s="115" t="inlineStr">
        <is>
          <t>Carne Pra Pesquisa</t>
        </is>
      </c>
      <c r="C178" s="115" t="inlineStr">
        <is>
          <t>Coleta (Significativa)</t>
        </is>
      </c>
      <c r="D178" s="115" t="inlineStr">
        <is>
          <t>Traga 2x Amostra de Carne Multi-Fundida pro Dr. Corvus continuar a pesquisa sobre a Infecção.</t>
        </is>
      </c>
      <c r="E178" s="115" t="inlineStr">
        <is>
          <t>45 Ouro + Corvus revela uma dica útil contra Aberrações.</t>
        </is>
      </c>
      <c r="I178" s="115" t="inlineStr">
        <is>
          <t>Coleta</t>
        </is>
      </c>
      <c r="J178" s="115" t="inlineStr">
        <is>
          <t>Veterano (Honra 50)</t>
        </is>
      </c>
      <c r="K178" s="115" t="inlineStr">
        <is>
          <t>Dr. Corvus</t>
        </is>
      </c>
    </row>
    <row r="179">
      <c r="A179" s="115" t="inlineStr">
        <is>
          <t>Ebano</t>
        </is>
      </c>
      <c r="B179" s="115" t="inlineStr">
        <is>
          <t>O Zelote Que Ainda Duvida</t>
        </is>
      </c>
      <c r="C179" s="115" t="inlineStr">
        <is>
          <t>Dilema (recompensa varia)</t>
        </is>
      </c>
      <c r="D179" s="115" t="inlineStr">
        <is>
          <t>Decida se ajuda o Zelote Recém-Fundido a resistir à fusão completa ou deixa o processo terminar.</t>
        </is>
      </c>
      <c r="E179" s="115" t="inlineStr">
        <is>
          <t>Ajudar a resistir: 25 Ouro + reputação com Vespera. Deixar terminar: nenhuma reputação, sem custo de recurso.</t>
        </is>
      </c>
      <c r="I179" s="115" t="inlineStr">
        <is>
          <t>Social</t>
        </is>
      </c>
      <c r="J179" s="115" t="inlineStr">
        <is>
          <t>Comum (Honra 0)</t>
        </is>
      </c>
      <c r="K179" s="115" t="inlineStr">
        <is>
          <t>Mestra Vespera da Forja Negra</t>
        </is>
      </c>
    </row>
    <row r="180">
      <c r="A180" s="115" t="inlineStr">
        <is>
          <t>Ebano</t>
        </is>
      </c>
      <c r="B180" s="115" t="inlineStr">
        <is>
          <t>A Segunda no Comando</t>
        </is>
      </c>
      <c r="C180" s="115" t="inlineStr">
        <is>
          <t>Social (Significativa)</t>
        </is>
      </c>
      <c r="D180" s="115" t="inlineStr">
        <is>
          <t>Converse com Irmã Vashti antes de decidir se ela é recrutada como aliada ou combatida como Elite.</t>
        </is>
      </c>
      <c r="E180" s="115" t="inlineStr">
        <is>
          <t>Recrutar: sem Ouro, mas ela pode ajudar num confronto futuro. Combater: recompensa normal de Elite.</t>
        </is>
      </c>
      <c r="I180" s="115" t="inlineStr">
        <is>
          <t>Social</t>
        </is>
      </c>
      <c r="J180" s="115" t="inlineStr">
        <is>
          <t>Veterano (Honra 50)</t>
        </is>
      </c>
      <c r="K180" s="115" t="inlineStr">
        <is>
          <t>Mestra Vespera da Forja Negra</t>
        </is>
      </c>
    </row>
    <row r="181">
      <c r="A181" s="115" t="inlineStr">
        <is>
          <t>Ebano</t>
        </is>
      </c>
      <c r="B181" s="115" t="inlineStr">
        <is>
          <t>Forjando o Amuleto da Sombra</t>
        </is>
      </c>
      <c r="C181" s="115" t="inlineStr">
        <is>
          <t>Crafting</t>
        </is>
      </c>
      <c r="D181" s="115" t="inlineStr">
        <is>
          <t>Colete os materiais e forje 1 Amuleto da Sombra com Mestra Vespera.</t>
        </is>
      </c>
      <c r="I181" s="115" t="inlineStr">
        <is>
          <t>Crafting</t>
        </is>
      </c>
      <c r="J181" s="115" t="inlineStr">
        <is>
          <t>Veterano (Honra 50)</t>
        </is>
      </c>
      <c r="K181" s="115" t="inlineStr">
        <is>
          <t>Mestra Vespera da Forja Negra</t>
        </is>
      </c>
      <c r="M181" s="115" t="inlineStr">
        <is>
          <t>Amuleto da Sombra (+10% de resistência a Controle)</t>
        </is>
      </c>
    </row>
    <row r="182">
      <c r="A182" s="241" t="inlineStr">
        <is>
          <t>Adamantina</t>
        </is>
      </c>
      <c r="B182" s="241" t="inlineStr">
        <is>
          <t>Golens à Solta</t>
        </is>
      </c>
      <c r="C182" s="241" t="inlineStr">
        <is>
          <t>Caça (Modesta)</t>
        </is>
      </c>
      <c r="D182" s="241" t="inlineStr">
        <is>
          <t>Destrua os Golens de Guerra roubados pela Heresia e nunca devolvidos à Ordem.</t>
        </is>
      </c>
      <c r="E182" s="241" t="inlineStr">
        <is>
          <t>42 Ouro.</t>
        </is>
      </c>
      <c r="F182" s="242" t="n"/>
      <c r="G182" s="242" t="n"/>
      <c r="H182" s="242" t="n"/>
      <c r="I182" s="242" t="inlineStr">
        <is>
          <t>Combate (Grind)</t>
        </is>
      </c>
      <c r="J182" s="242" t="inlineStr">
        <is>
          <t>Comum (Honra 0)</t>
        </is>
      </c>
      <c r="K182" s="242" t="inlineStr">
        <is>
          <t>Coronel Justin o Estrategista de Cerco</t>
        </is>
      </c>
      <c r="L182" s="242" t="n"/>
      <c r="M182" s="242" t="n"/>
    </row>
    <row r="183">
      <c r="A183" s="241" t="inlineStr">
        <is>
          <t>Adamantina</t>
        </is>
      </c>
      <c r="B183" s="241" t="inlineStr">
        <is>
          <t>A Lança do Matador de Titãs</t>
        </is>
      </c>
      <c r="C183" s="241" t="inlineStr">
        <is>
          <t>Tesouro (Significativa)</t>
        </is>
      </c>
      <c r="D183" s="241" t="inlineStr">
        <is>
          <t>Recupere a lança do Cofre Proibido dos Campeões, forjada por Valtiel pra derrubar o primeiro titã.</t>
        </is>
      </c>
      <c r="E183" s="241" t="inlineStr">
        <is>
          <t>65 Ouro + o artefato "A Lança do Matador de Titãs" (ignora escudos e redução de dano de criaturas com mais de 1000 HP).</t>
        </is>
      </c>
      <c r="F183" s="242" t="n"/>
      <c r="G183" s="242" t="n"/>
      <c r="H183" s="242" t="n"/>
      <c r="I183" s="242" t="inlineStr">
        <is>
          <t>Exploração</t>
        </is>
      </c>
      <c r="J183" s="242" t="inlineStr">
        <is>
          <t>Veterano (Honra 50)</t>
        </is>
      </c>
      <c r="K183" s="242" t="inlineStr">
        <is>
          <t>Valtiel o Mestre da Adamantina</t>
        </is>
      </c>
      <c r="L183" s="242" t="n"/>
      <c r="M183" s="242" t="n"/>
    </row>
    <row r="184">
      <c r="A184" s="241" t="inlineStr">
        <is>
          <t>Adamantina</t>
        </is>
      </c>
      <c r="B184" s="241" t="inlineStr">
        <is>
          <t>O Nome Apagado</t>
        </is>
      </c>
      <c r="C184" s="241" t="inlineStr">
        <is>
          <t>Segredo (Significativa)</t>
        </is>
      </c>
      <c r="D184" s="241" t="inlineStr">
        <is>
          <t>Descubra a identidade do herói cujo nome foi apagado da história, homenageado só por um monumento sem inscrição.</t>
        </is>
      </c>
      <c r="E184" s="241" t="inlineStr">
        <is>
          <t>35 Ouro + revela a fraqueza real de "O Herói Caído" antes do confronto.</t>
        </is>
      </c>
      <c r="F184" s="243" t="n"/>
      <c r="G184" s="243" t="n"/>
      <c r="H184" s="242" t="n"/>
      <c r="I184" s="242" t="inlineStr">
        <is>
          <t>Exploração</t>
        </is>
      </c>
      <c r="J184" s="242" t="inlineStr">
        <is>
          <t>Veterano (Honra 50)</t>
        </is>
      </c>
      <c r="K184" s="242" t="inlineStr">
        <is>
          <t>Grão-Mestre Roderick o Inquebrável</t>
        </is>
      </c>
      <c r="L184" s="242" t="n"/>
      <c r="M184" s="242" t="n"/>
    </row>
    <row r="185">
      <c r="A185" s="241" t="inlineStr">
        <is>
          <t>Adamantina</t>
        </is>
      </c>
      <c r="B185" s="241" t="inlineStr">
        <is>
          <t>A Heresia Silenciosa</t>
        </is>
      </c>
      <c r="C185" s="241" t="inlineStr">
        <is>
          <t>Traição (dilema pesado)</t>
        </is>
      </c>
      <c r="D185" s="241" t="inlineStr">
        <is>
          <t>O Heresiarca capturado revela que Cavaleiros da própria Ordem simpatizam em segredo com a Heresia.</t>
        </is>
      </c>
      <c r="E185" s="241" t="inlineStr">
        <is>
          <t>Expor publicamente: a Ordem se purifica, mas perde força numérica (menos aliados em combates futuros). Proteger o segredo: Ordem mantém força total, mas carrega risco de traição futura.</t>
        </is>
      </c>
      <c r="F185" s="161" t="inlineStr">
        <is>
          <t>A Ordem dos Cavaleiros do Dragão Decaído</t>
        </is>
      </c>
      <c r="G185" s="161" t="inlineStr">
        <is>
          <t>+15 expor (purifica) / -10 proteger (risco futuro)</t>
        </is>
      </c>
      <c r="H185" s="242" t="n"/>
      <c r="I185" s="242" t="inlineStr">
        <is>
          <t>Social</t>
        </is>
      </c>
      <c r="J185" s="242" t="inlineStr">
        <is>
          <t>Lendário (Honra 100)</t>
        </is>
      </c>
      <c r="K185" s="242" t="inlineStr">
        <is>
          <t>Grão-Mestre Roderick o Inquebrável</t>
        </is>
      </c>
      <c r="L185" s="242" t="n"/>
      <c r="M185" s="242" t="n"/>
    </row>
    <row r="186">
      <c r="A186" s="241" t="inlineStr">
        <is>
          <t>Adamantina</t>
        </is>
      </c>
      <c r="B186" s="241" t="inlineStr">
        <is>
          <t>A Penitência de Selene</t>
        </is>
      </c>
      <c r="C186" s="241" t="inlineStr">
        <is>
          <t>Cura/Ritual (Gente Humilde — Sacerdotisa Selene)</t>
        </is>
      </c>
      <c r="D186" s="241" t="inlineStr">
        <is>
          <t>Ajude Selene a derrotar 1 Aberração de Elite sem usar magia de sangue, completando a Penitência do Bastião.</t>
        </is>
      </c>
      <c r="E186" s="241" t="inlineStr">
        <is>
          <t>20 Ouro + Selene reduz 40 Pontos de Corrupção do grupo, de graça, uma vez.</t>
        </is>
      </c>
      <c r="F186" s="242" t="n"/>
      <c r="G186" s="242" t="n"/>
      <c r="H186" s="242" t="n"/>
      <c r="I186" s="242" t="inlineStr">
        <is>
          <t>Social</t>
        </is>
      </c>
      <c r="J186" s="242" t="inlineStr">
        <is>
          <t>Comum (Honra 0)</t>
        </is>
      </c>
      <c r="K186" s="242" t="inlineStr">
        <is>
          <t>Sacerdotisa Selene dos Cem Mártires</t>
        </is>
      </c>
      <c r="L186" s="242" t="n"/>
      <c r="M186" s="242" t="n"/>
    </row>
    <row r="187">
      <c r="A187" s="241" t="inlineStr">
        <is>
          <t>Adamantina</t>
        </is>
      </c>
      <c r="B187" s="241" t="inlineStr">
        <is>
          <t>O Constructo Corrompido</t>
        </is>
      </c>
      <c r="C187" s="241" t="inlineStr">
        <is>
          <t>Caça de Elite (Significativa)</t>
        </is>
      </c>
      <c r="D187" s="241" t="inlineStr">
        <is>
          <t>Impeça o Constructo Titânico Corrompido de destruir as muralhas externas do Bastião.</t>
        </is>
      </c>
      <c r="E187" s="241" t="inlineStr">
        <is>
          <t>70 Ouro + 1 item Raro do tier.</t>
        </is>
      </c>
      <c r="F187" s="242" t="n"/>
      <c r="G187" s="242" t="n"/>
      <c r="H187" s="242" t="n"/>
      <c r="I187" s="242" t="inlineStr">
        <is>
          <t>Elite</t>
        </is>
      </c>
      <c r="J187" s="242" t="inlineStr">
        <is>
          <t>Veterano (Honra 50)</t>
        </is>
      </c>
      <c r="K187" s="242" t="inlineStr">
        <is>
          <t>Coronel Justin o Estrategista de Cerco</t>
        </is>
      </c>
      <c r="L187" s="242" t="n"/>
      <c r="M187" s="242" t="n"/>
    </row>
    <row r="188">
      <c r="A188" s="241" t="inlineStr">
        <is>
          <t>Adamantina</t>
        </is>
      </c>
      <c r="B188" s="241" t="inlineStr">
        <is>
          <t>O Herói Caído</t>
        </is>
      </c>
      <c r="C188" s="241" t="inlineStr">
        <is>
          <t>Boss Opcional (Definidora — risco alto)</t>
        </is>
      </c>
      <c r="D188" s="241" t="inlineStr">
        <is>
          <t>Enfrente o herói ressuscitado errado pela Heresia, que não lembra mais por que lutava.</t>
        </is>
      </c>
      <c r="E188" s="241" t="inlineStr">
        <is>
          <t>180 Ouro + 1 item Lendário + a verdadeira história do herói é registrada (afeta o final da campanha).</t>
        </is>
      </c>
      <c r="F188" s="242" t="n"/>
      <c r="G188" s="242" t="n"/>
      <c r="H188" s="242" t="n"/>
      <c r="I188" s="242" t="inlineStr">
        <is>
          <t>Elite</t>
        </is>
      </c>
      <c r="J188" s="242" t="inlineStr">
        <is>
          <t>Lendário (Honra 100)</t>
        </is>
      </c>
      <c r="K188" s="242" t="inlineStr">
        <is>
          <t>Grão-Mestre Roderick o Inquebrável</t>
        </is>
      </c>
      <c r="L188" s="242" t="n"/>
      <c r="M188" s="242" t="n"/>
    </row>
    <row r="189">
      <c r="A189" s="115" t="inlineStr">
        <is>
          <t>Adamantina</t>
        </is>
      </c>
      <c r="B189" s="115" t="inlineStr">
        <is>
          <t>Devoradores no Cerco</t>
        </is>
      </c>
      <c r="C189" s="115" t="inlineStr">
        <is>
          <t>Caça (Modesta)</t>
        </is>
      </c>
      <c r="D189" s="115" t="inlineStr">
        <is>
          <t>Elimine os Devoradores de Cavaleiros Caídos antes que se multipliquem na Forja dos Titãs.</t>
        </is>
      </c>
      <c r="E189" s="115" t="inlineStr">
        <is>
          <t>46 Ouro.</t>
        </is>
      </c>
      <c r="I189" s="115" t="inlineStr">
        <is>
          <t>Combate (Grind)</t>
        </is>
      </c>
      <c r="J189" s="115" t="inlineStr">
        <is>
          <t>Comum (Honra 0)</t>
        </is>
      </c>
      <c r="K189" s="115" t="inlineStr">
        <is>
          <t>Coronel Justin o Estrategista de Cerco</t>
        </is>
      </c>
    </row>
    <row r="190">
      <c r="A190" s="115" t="inlineStr">
        <is>
          <t>Adamantina</t>
        </is>
      </c>
      <c r="B190" s="115" t="inlineStr">
        <is>
          <t>Rachaduras nas Placas</t>
        </is>
      </c>
      <c r="C190" s="115" t="inlineStr">
        <is>
          <t>Caça (Modesta)</t>
        </is>
      </c>
      <c r="D190" s="115" t="inlineStr">
        <is>
          <t>Elimine as Rachaduras Vivas da Placa antes que corroam mais constructos do Bastião.</t>
        </is>
      </c>
      <c r="E190" s="115" t="inlineStr">
        <is>
          <t>48 Ouro.</t>
        </is>
      </c>
      <c r="I190" s="115" t="inlineStr">
        <is>
          <t>Combate (Grind)</t>
        </is>
      </c>
      <c r="J190" s="115" t="inlineStr">
        <is>
          <t>Comum (Honra 0)</t>
        </is>
      </c>
      <c r="K190" s="115" t="inlineStr">
        <is>
          <t>Valtiel o Mestre da Adamantina</t>
        </is>
      </c>
    </row>
    <row r="191">
      <c r="A191" s="115" t="inlineStr">
        <is>
          <t>Adamantina</t>
        </is>
      </c>
      <c r="B191" s="115" t="inlineStr">
        <is>
          <t>Adamantina Pro Valtiel</t>
        </is>
      </c>
      <c r="C191" s="115" t="inlineStr">
        <is>
          <t>Coleta (Preparo)</t>
        </is>
      </c>
      <c r="D191" s="115" t="inlineStr">
        <is>
          <t>Traga 4x Veio Puro de Adamantina pro Valtiel, que forja as armaduras mais pesadas do continente.</t>
        </is>
      </c>
      <c r="E191" s="115" t="inlineStr">
        <is>
          <t>44 Ouro + Valtiel forja de graça 1 Elmo de Adamantina (Comum) pra você.</t>
        </is>
      </c>
      <c r="I191" s="115" t="inlineStr">
        <is>
          <t>Coleta</t>
        </is>
      </c>
      <c r="J191" s="115" t="inlineStr">
        <is>
          <t>Comum (Honra 0)</t>
        </is>
      </c>
      <c r="K191" s="115" t="inlineStr">
        <is>
          <t>Valtiel o Mestre da Adamantina</t>
        </is>
      </c>
    </row>
    <row r="192">
      <c r="A192" s="115" t="inlineStr">
        <is>
          <t>Adamantina</t>
        </is>
      </c>
      <c r="B192" s="115" t="inlineStr">
        <is>
          <t>Carcaças e Presas</t>
        </is>
      </c>
      <c r="C192" s="115" t="inlineStr">
        <is>
          <t>Coleta (Significativa)</t>
        </is>
      </c>
      <c r="D192" s="115" t="inlineStr">
        <is>
          <t>Traga 3x Presa de Devorador de Cavaleiros Caídos pra Elowen, que revende como material de caça.</t>
        </is>
      </c>
      <c r="E192" s="115" t="inlineStr">
        <is>
          <t>46 Ouro.</t>
        </is>
      </c>
      <c r="I192" s="115" t="inlineStr">
        <is>
          <t>Coleta</t>
        </is>
      </c>
      <c r="J192" s="115" t="inlineStr">
        <is>
          <t>Veterano (Honra 50)</t>
        </is>
      </c>
      <c r="K192" s="115" t="inlineStr">
        <is>
          <t>Elowen a Caçadora de Wyrms</t>
        </is>
      </c>
    </row>
    <row r="193">
      <c r="A193" s="115" t="inlineStr">
        <is>
          <t>Adamantina</t>
        </is>
      </c>
      <c r="B193" s="115" t="inlineStr">
        <is>
          <t>Fé Rachada</t>
        </is>
      </c>
      <c r="C193" s="115" t="inlineStr">
        <is>
          <t>Coleta (Significativa)</t>
        </is>
      </c>
      <c r="D193" s="115" t="inlineStr">
        <is>
          <t>Traga 2x Manto do Devoto da Heresia pra Sacerdotisa Selene, que quer entender como a Heresia converte tanta gente desesperada.</t>
        </is>
      </c>
      <c r="E193" s="115" t="inlineStr">
        <is>
          <t>48 Ouro + Selene reduz 10 Pontos de Corrupção do grupo, de graça.</t>
        </is>
      </c>
      <c r="I193" s="115" t="inlineStr">
        <is>
          <t>Coleta</t>
        </is>
      </c>
      <c r="J193" s="115" t="inlineStr">
        <is>
          <t>Veterano (Honra 50)</t>
        </is>
      </c>
      <c r="K193" s="115" t="inlineStr">
        <is>
          <t>Sacerdotisa Selene dos Cem Mártires</t>
        </is>
      </c>
    </row>
    <row r="194">
      <c r="A194" s="115" t="inlineStr">
        <is>
          <t>Adamantina</t>
        </is>
      </c>
      <c r="B194" s="115" t="inlineStr">
        <is>
          <t>O Cofre Que Não É Tesouro</t>
        </is>
      </c>
      <c r="C194" s="115" t="inlineStr">
        <is>
          <t>Exploração (Significativa)</t>
        </is>
      </c>
      <c r="D194" s="115" t="inlineStr">
        <is>
          <t>Investigue os Cofres-Titã Falsos espalhados pela Heresia como armadilha pra caçadores de tesouro.</t>
        </is>
      </c>
      <c r="E194" s="115" t="inlineStr">
        <is>
          <t>45 Ouro + 1 item Raro do tier.</t>
        </is>
      </c>
      <c r="I194" s="115" t="inlineStr">
        <is>
          <t>Exploração</t>
        </is>
      </c>
      <c r="J194" s="115" t="inlineStr">
        <is>
          <t>Comum (Honra 0)</t>
        </is>
      </c>
      <c r="K194" s="115" t="inlineStr">
        <is>
          <t>Elowen a Caçadora de Wyrms</t>
        </is>
      </c>
    </row>
    <row r="195">
      <c r="A195" s="115" t="inlineStr">
        <is>
          <t>Adamantina</t>
        </is>
      </c>
      <c r="B195" s="115" t="inlineStr">
        <is>
          <t>Forjando o Brasão do Cavaleiro</t>
        </is>
      </c>
      <c r="C195" s="115" t="inlineStr">
        <is>
          <t>Crafting</t>
        </is>
      </c>
      <c r="D195" s="115" t="inlineStr">
        <is>
          <t>Colete os materiais e forje 1 Brasão do Cavaleiro com Valtiel.</t>
        </is>
      </c>
      <c r="I195" s="115" t="inlineStr">
        <is>
          <t>Crafting</t>
        </is>
      </c>
      <c r="J195" s="115" t="inlineStr">
        <is>
          <t>Veterano (Honra 50)</t>
        </is>
      </c>
      <c r="K195" s="115" t="inlineStr">
        <is>
          <t>Valtiel o Mestre da Adamantina</t>
        </is>
      </c>
      <c r="M195" s="115" t="inlineStr">
        <is>
          <t>Brasão do Cavaleiro (+10% de resistência a Corrupção)</t>
        </is>
      </c>
    </row>
    <row r="196">
      <c r="A196" s="241" t="inlineStr">
        <is>
          <t>Osso de Dragao</t>
        </is>
      </c>
      <c r="B196" s="241" t="inlineStr">
        <is>
          <t>Ninhos Doentes</t>
        </is>
      </c>
      <c r="C196" s="241" t="inlineStr">
        <is>
          <t>Caça (Modesta)</t>
        </is>
      </c>
      <c r="D196" s="241" t="inlineStr">
        <is>
          <t>Reduza os Wyrmlings e Feras Aladas infectadas pela pestilência antes que ela se espalhe pros vilarejos de caça.</t>
        </is>
      </c>
      <c r="E196" s="241" t="inlineStr">
        <is>
          <t>45 Ouro.</t>
        </is>
      </c>
      <c r="F196" s="242" t="n"/>
      <c r="G196" s="242" t="n"/>
      <c r="H196" s="242" t="n"/>
      <c r="I196" s="242" t="inlineStr">
        <is>
          <t>Combate (Grind)</t>
        </is>
      </c>
      <c r="J196" s="242" t="inlineStr">
        <is>
          <t>Comum (Honra 0)</t>
        </is>
      </c>
      <c r="K196" s="242" t="inlineStr">
        <is>
          <t>Elowen a Caçadora de Wyrms</t>
        </is>
      </c>
      <c r="L196" s="242" t="n"/>
      <c r="M196" s="242" t="n"/>
    </row>
    <row r="197">
      <c r="A197" s="241" t="inlineStr">
        <is>
          <t>Osso de Dragao</t>
        </is>
      </c>
      <c r="B197" s="241" t="inlineStr">
        <is>
          <t>O Olho do Dragão Ancião Cego</t>
        </is>
      </c>
      <c r="C197" s="241" t="inlineStr">
        <is>
          <t>Tesouro (Significativa)</t>
        </is>
      </c>
      <c r="D197" s="241" t="inlineStr">
        <is>
          <t>Recupere o artefato do Pilar de Ossos, guardado pelo Guardião a mando do próprio Dragão Ancião.</t>
        </is>
      </c>
      <c r="E197" s="241" t="inlineStr">
        <is>
          <t>70 Ouro + o artefato "O Olho do Dragão Ancião Cego" (revela pontos vitais de dragões e cósmicos, +20% de dano do grupo).</t>
        </is>
      </c>
      <c r="F197" s="243" t="n"/>
      <c r="G197" s="243" t="n"/>
      <c r="H197" s="242" t="n"/>
      <c r="I197" s="242" t="inlineStr">
        <is>
          <t>Exploração</t>
        </is>
      </c>
      <c r="J197" s="242" t="inlineStr">
        <is>
          <t>Veterano (Honra 50)</t>
        </is>
      </c>
      <c r="K197" s="242" t="inlineStr">
        <is>
          <t>Elowen a Caçadora de Wyrms</t>
        </is>
      </c>
      <c r="L197" s="242" t="n"/>
      <c r="M197" s="242" t="n"/>
    </row>
    <row r="198">
      <c r="A198" s="241" t="inlineStr">
        <is>
          <t>Osso de Dragao</t>
        </is>
      </c>
      <c r="B198" s="241" t="inlineStr">
        <is>
          <t>A Última Prece do Dragão Ancião</t>
        </is>
      </c>
      <c r="C198" s="241" t="inlineStr">
        <is>
          <t>Dilema Moral (Significativa)</t>
        </is>
      </c>
      <c r="D198" s="241" t="inlineStr">
        <is>
          <t>Descubra que o Dragão Ancião não é hostil — apenas protege o Pilar. Negocie em vez de atacar.</t>
        </is>
      </c>
      <c r="E198" s="241" t="inlineStr">
        <is>
          <t>Negociar com sucesso (CAR ou SAB CD 20): ele revela informação valiosa sobre o Dragão da Peste Escarlate de graça. Atacar: combate difícil, mas ainda dá loot normal.</t>
        </is>
      </c>
      <c r="F198" s="241" t="inlineStr">
        <is>
          <t>A Ordem dos Cavaleiros do Dragão Decaído</t>
        </is>
      </c>
      <c r="G198" s="241" t="inlineStr">
        <is>
          <t>+20 negociar com sucesso / -10 atacar direto</t>
        </is>
      </c>
      <c r="H198" s="242" t="n"/>
      <c r="I198" s="242" t="inlineStr">
        <is>
          <t>Social</t>
        </is>
      </c>
      <c r="J198" s="242" t="inlineStr">
        <is>
          <t>Lendário (Honra 100)</t>
        </is>
      </c>
      <c r="K198" s="242" t="inlineStr">
        <is>
          <t>Grão-Mestre Roderick o Inquebrável</t>
        </is>
      </c>
      <c r="L198" s="242" t="n"/>
      <c r="M198" s="242" t="n"/>
    </row>
    <row r="199">
      <c r="A199" s="241" t="inlineStr">
        <is>
          <t>Osso de Dragao</t>
        </is>
      </c>
      <c r="B199" s="241" t="inlineStr">
        <is>
          <t>A Traição do Caçador-Mestre</t>
        </is>
      </c>
      <c r="C199" s="241" t="inlineStr">
        <is>
          <t>Traição (dilema pesado — envolve Elowen)</t>
        </is>
      </c>
      <c r="D199" s="241" t="inlineStr">
        <is>
          <t>Elowen descobre que o próprio mentor virou Caçador-Mestre Corrompido, vendendo informações à Heresia.</t>
        </is>
      </c>
      <c r="E199" s="241" t="inlineStr">
        <is>
          <t>Contar a ela antes: ela luta ao seu lado, mas com raiva (bônus de dano, risco de erro). Deixá-la descobrir na hora: ela hesita 1 turno no combate, mas fica menos abalada depois.</t>
        </is>
      </c>
      <c r="F199" s="161" t="inlineStr">
        <is>
          <t>A Ordem dos Cavaleiros do Dragão Decaído</t>
        </is>
      </c>
      <c r="G199" s="161" t="inlineStr">
        <is>
          <t>+10 contar a Elowen antes</t>
        </is>
      </c>
      <c r="H199" s="242" t="n"/>
      <c r="I199" s="242" t="inlineStr">
        <is>
          <t>Social</t>
        </is>
      </c>
      <c r="J199" s="242" t="inlineStr">
        <is>
          <t>Veterano (Honra 50)</t>
        </is>
      </c>
      <c r="K199" s="242" t="inlineStr">
        <is>
          <t>Elowen a Caçadora de Wyrms</t>
        </is>
      </c>
      <c r="L199" s="242" t="n"/>
      <c r="M199" s="242" t="n"/>
    </row>
    <row r="200">
      <c r="A200" s="241" t="inlineStr">
        <is>
          <t>Osso de Dragao</t>
        </is>
      </c>
      <c r="B200" s="241" t="inlineStr">
        <is>
          <t>Servas da Peste</t>
        </is>
      </c>
      <c r="C200" s="241" t="inlineStr">
        <is>
          <t>Caça de Elite (Significativa)</t>
        </is>
      </c>
      <c r="D200" s="241" t="inlineStr">
        <is>
          <t>Impeça as Servas da Peste Escarlate de contaminar os vilarejos de caça nos picos.</t>
        </is>
      </c>
      <c r="E200" s="241" t="inlineStr">
        <is>
          <t>60 Ouro + 1 item Raro do tier.</t>
        </is>
      </c>
      <c r="F200" s="242" t="n"/>
      <c r="G200" s="242" t="n"/>
      <c r="H200" s="242" t="n"/>
      <c r="I200" s="242" t="inlineStr">
        <is>
          <t>Elite</t>
        </is>
      </c>
      <c r="J200" s="242" t="inlineStr">
        <is>
          <t>Veterano (Honra 50)</t>
        </is>
      </c>
      <c r="K200" s="242" t="inlineStr">
        <is>
          <t>Elowen a Caçadora de Wyrms</t>
        </is>
      </c>
      <c r="L200" s="242" t="n"/>
      <c r="M200" s="242" t="n"/>
    </row>
    <row r="201">
      <c r="A201" s="241" t="inlineStr">
        <is>
          <t>Osso de Dragao</t>
        </is>
      </c>
      <c r="B201" s="241" t="inlineStr">
        <is>
          <t>O Tesouro dos Cem Ciclos</t>
        </is>
      </c>
      <c r="C201" s="241" t="inlineStr">
        <is>
          <t>Tesouro (Segredo — ligado à Cronologia dos Ciclos)</t>
        </is>
      </c>
      <c r="D201" s="241" t="inlineStr">
        <is>
          <t>Encontre o Cofre das Mil Coroas, câmara com relíquias de civilizações destruídas em ciclos anteriores da Infecção.</t>
        </is>
      </c>
      <c r="E201" s="241" t="inlineStr">
        <is>
          <t>90 Ouro + 1 item Raro + uma pista sobre o que realmente é "o ciclo" (Lore do Ato V).</t>
        </is>
      </c>
      <c r="F201" s="242" t="n"/>
      <c r="G201" s="242" t="n"/>
      <c r="H201" s="242" t="n"/>
      <c r="I201" s="242" t="inlineStr">
        <is>
          <t>Exploração</t>
        </is>
      </c>
      <c r="J201" s="242" t="inlineStr">
        <is>
          <t>Lendário (Honra 100)</t>
        </is>
      </c>
      <c r="K201" s="242" t="inlineStr">
        <is>
          <t>Grão-Mestre Roderick o Inquebrável</t>
        </is>
      </c>
      <c r="L201" s="242" t="n"/>
      <c r="M201" s="242" t="n"/>
    </row>
    <row r="202">
      <c r="A202" s="241" t="inlineStr">
        <is>
          <t>Osso de Dragao</t>
        </is>
      </c>
      <c r="B202" s="241" t="inlineStr">
        <is>
          <t>O Dragão da Peste Escarlate</t>
        </is>
      </c>
      <c r="C202" s="241" t="inlineStr">
        <is>
          <t>Boss Opcional (Definidora — fecha o Ato IV)</t>
        </is>
      </c>
      <c r="D202" s="241" t="inlineStr">
        <is>
          <t>Enfrente o dragão cuja carne apodrece viva pela infecção — prova de que nem os anciões escapam da Mão.</t>
        </is>
      </c>
      <c r="E202" s="241" t="inlineStr">
        <is>
          <t>200 Ouro + 1 item Lendário + completa a transição pro Ato V (Pacto Daédrico).</t>
        </is>
      </c>
      <c r="F202" s="242" t="n"/>
      <c r="G202" s="242" t="n"/>
      <c r="H202" s="242" t="n"/>
      <c r="I202" s="242" t="inlineStr">
        <is>
          <t>Elite</t>
        </is>
      </c>
      <c r="J202" s="242" t="inlineStr">
        <is>
          <t>Lendário (Honra 100)</t>
        </is>
      </c>
      <c r="K202" s="242" t="inlineStr">
        <is>
          <t>Grão-Mestre Roderick o Inquebrável</t>
        </is>
      </c>
      <c r="L202" s="242" t="n"/>
      <c r="M202" s="242" t="n"/>
    </row>
    <row r="203">
      <c r="A203" s="115" t="inlineStr">
        <is>
          <t>Osso de Dragao</t>
        </is>
      </c>
      <c r="B203" s="115" t="inlineStr">
        <is>
          <t>Vermes na Carne Podre</t>
        </is>
      </c>
      <c r="C203" s="115" t="inlineStr">
        <is>
          <t>Caça (Modesta)</t>
        </is>
      </c>
      <c r="D203" s="115" t="inlineStr">
        <is>
          <t>Elimine os Vermes da Peste Escarlate antes que infectem mais Feras Aladas dos picos.</t>
        </is>
      </c>
      <c r="E203" s="115" t="inlineStr">
        <is>
          <t>48 Ouro.</t>
        </is>
      </c>
      <c r="I203" s="115" t="inlineStr">
        <is>
          <t>Combate (Grind)</t>
        </is>
      </c>
      <c r="J203" s="115" t="inlineStr">
        <is>
          <t>Comum (Honra 0)</t>
        </is>
      </c>
      <c r="K203" s="115" t="inlineStr">
        <is>
          <t>Elowen a Caçadora de Wyrms</t>
        </is>
      </c>
    </row>
    <row r="204">
      <c r="A204" s="115" t="inlineStr">
        <is>
          <t>Osso de Dragao</t>
        </is>
      </c>
      <c r="B204" s="115" t="inlineStr">
        <is>
          <t>Devoradores do Ossuário</t>
        </is>
      </c>
      <c r="C204" s="115" t="inlineStr">
        <is>
          <t>Caça (Modesta)</t>
        </is>
      </c>
      <c r="D204" s="115" t="inlineStr">
        <is>
          <t>Elimine os Devoradores de Ossos Antigos antes que profanem mais restos do Pilar de Ossos.</t>
        </is>
      </c>
      <c r="E204" s="115" t="inlineStr">
        <is>
          <t>50 Ouro.</t>
        </is>
      </c>
      <c r="I204" s="115" t="inlineStr">
        <is>
          <t>Combate (Grind)</t>
        </is>
      </c>
      <c r="J204" s="115" t="inlineStr">
        <is>
          <t>Comum (Honra 0)</t>
        </is>
      </c>
      <c r="K204" s="115" t="inlineStr">
        <is>
          <t>Elowen a Caçadora de Wyrms</t>
        </is>
      </c>
    </row>
    <row r="205">
      <c r="A205" s="115" t="inlineStr">
        <is>
          <t>Osso de Dragao</t>
        </is>
      </c>
      <c r="B205" s="115" t="inlineStr">
        <is>
          <t>Ossos Pro Bastião</t>
        </is>
      </c>
      <c r="C205" s="115" t="inlineStr">
        <is>
          <t>Coleta (Preparo)</t>
        </is>
      </c>
      <c r="D205" s="115" t="inlineStr">
        <is>
          <t>Traga 4x Coração Incandescente de Dragão pro Bastião, material raro usado em rituais de proteção da Ordem.</t>
        </is>
      </c>
      <c r="E205" s="115" t="inlineStr">
        <is>
          <t>48 Ouro + o Bastião concede 1 item Comum de graça.</t>
        </is>
      </c>
      <c r="I205" s="115" t="inlineStr">
        <is>
          <t>Coleta</t>
        </is>
      </c>
      <c r="J205" s="115" t="inlineStr">
        <is>
          <t>Comum (Honra 0)</t>
        </is>
      </c>
      <c r="K205" s="115" t="inlineStr">
        <is>
          <t>Grão-Mestre Roderick o Inquebrável</t>
        </is>
      </c>
    </row>
    <row r="206">
      <c r="A206" s="115" t="inlineStr">
        <is>
          <t>Osso de Dragao</t>
        </is>
      </c>
      <c r="B206" s="115" t="inlineStr">
        <is>
          <t>Escamas Perdidas</t>
        </is>
      </c>
      <c r="C206" s="115" t="inlineStr">
        <is>
          <t>Coleta (Significativa)</t>
        </is>
      </c>
      <c r="D206" s="115" t="inlineStr">
        <is>
          <t>Traga 3x Escama de Wyrmling Poupável pra Elowen, que quer provar que nem todo wyrmling precisa morrer.</t>
        </is>
      </c>
      <c r="E206" s="115" t="inlineStr">
        <is>
          <t>50 Ouro.</t>
        </is>
      </c>
      <c r="I206" s="115" t="inlineStr">
        <is>
          <t>Coleta</t>
        </is>
      </c>
      <c r="J206" s="115" t="inlineStr">
        <is>
          <t>Veterano (Honra 50)</t>
        </is>
      </c>
      <c r="K206" s="115" t="inlineStr">
        <is>
          <t>Elowen a Caçadora de Wyrms</t>
        </is>
      </c>
    </row>
    <row r="207">
      <c r="A207" s="115" t="inlineStr">
        <is>
          <t>Osso de Dragao</t>
        </is>
      </c>
      <c r="B207" s="115" t="inlineStr">
        <is>
          <t>Frascos da Peste</t>
        </is>
      </c>
      <c r="C207" s="115" t="inlineStr">
        <is>
          <t>Coleta (Significativa)</t>
        </is>
      </c>
      <c r="D207" s="115" t="inlineStr">
        <is>
          <t>Traga 2x Frasco de Peste pra Sacerdotisa Selene, que quer estudar uma possível cura pra Peste Escarlate.</t>
        </is>
      </c>
      <c r="E207" s="115" t="inlineStr">
        <is>
          <t>52 Ouro + Selene reduz 15 Pontos de Corrupção do grupo, de graça.</t>
        </is>
      </c>
      <c r="I207" s="115" t="inlineStr">
        <is>
          <t>Coleta</t>
        </is>
      </c>
      <c r="J207" s="115" t="inlineStr">
        <is>
          <t>Veterano (Honra 50)</t>
        </is>
      </c>
      <c r="K207" s="115" t="inlineStr">
        <is>
          <t>Sacerdotisa Selene dos Cem Mártires</t>
        </is>
      </c>
    </row>
    <row r="208">
      <c r="A208" s="115" t="inlineStr">
        <is>
          <t>Osso de Dragao</t>
        </is>
      </c>
      <c r="B208" s="115" t="inlineStr">
        <is>
          <t>O Ninho Que Ainda Pode Ser Salvo</t>
        </is>
      </c>
      <c r="C208" s="115" t="inlineStr">
        <is>
          <t>Exploração (Significativa)</t>
        </is>
      </c>
      <c r="D208" s="115" t="inlineStr">
        <is>
          <t>Decida o destino do Ovo de Wyrmling Corrompido antes que eclode de vez.</t>
        </is>
      </c>
      <c r="E208" s="115" t="inlineStr">
        <is>
          <t>46 Ouro + 1 item Raro do tier.</t>
        </is>
      </c>
      <c r="I208" s="115" t="inlineStr">
        <is>
          <t>Exploração</t>
        </is>
      </c>
      <c r="J208" s="115" t="inlineStr">
        <is>
          <t>Comum (Honra 0)</t>
        </is>
      </c>
      <c r="K208" s="115" t="inlineStr">
        <is>
          <t>Elowen a Caçadora de Wyrms</t>
        </is>
      </c>
    </row>
    <row r="209">
      <c r="A209" s="115" t="inlineStr">
        <is>
          <t>Osso de Dragao</t>
        </is>
      </c>
      <c r="B209" s="115" t="inlineStr">
        <is>
          <t>Forjando o Amuleto do Wyrmling</t>
        </is>
      </c>
      <c r="C209" s="115" t="inlineStr">
        <is>
          <t>Crafting</t>
        </is>
      </c>
      <c r="D209" s="115" t="inlineStr">
        <is>
          <t>Colete os materiais e forje 1 Amuleto do Wyrmling com Valtiel.</t>
        </is>
      </c>
      <c r="I209" s="115" t="inlineStr">
        <is>
          <t>Crafting</t>
        </is>
      </c>
      <c r="J209" s="115" t="inlineStr">
        <is>
          <t>Veterano (Honra 50)</t>
        </is>
      </c>
      <c r="K209" s="115" t="inlineStr">
        <is>
          <t>Valtiel o Mestre da Adamantina</t>
        </is>
      </c>
      <c r="M209" s="115" t="inlineStr">
        <is>
          <t>Amuleto do Wyrmling (+15% de resistência a Fogo)</t>
        </is>
      </c>
    </row>
    <row r="210">
      <c r="A210" s="241" t="inlineStr">
        <is>
          <t>Pacto Daedrico</t>
        </is>
      </c>
      <c r="B210" s="241" t="inlineStr">
        <is>
          <t>Sussurros no Círculo</t>
        </is>
      </c>
      <c r="C210" s="241" t="inlineStr">
        <is>
          <t>Caça (Modesta)</t>
        </is>
      </c>
      <c r="D210" s="241" t="inlineStr">
        <is>
          <t>Silencie os Horrores Menores Invocados antes que abram ainda mais o caminho pro Portal Estelar.</t>
        </is>
      </c>
      <c r="E210" s="241" t="inlineStr">
        <is>
          <t>50 Ouro.</t>
        </is>
      </c>
      <c r="F210" s="242" t="n"/>
      <c r="G210" s="242" t="n"/>
      <c r="H210" s="242" t="n"/>
      <c r="I210" s="242" t="inlineStr">
        <is>
          <t>Combate (Grind)</t>
        </is>
      </c>
      <c r="J210" s="242" t="inlineStr">
        <is>
          <t>Comum (Honra 0)</t>
        </is>
      </c>
      <c r="K210" s="242" t="inlineStr">
        <is>
          <t>O Penitente dos Dez Dedos</t>
        </is>
      </c>
      <c r="L210" s="242" t="n"/>
      <c r="M210" s="242" t="n"/>
    </row>
    <row r="211">
      <c r="A211" s="241" t="inlineStr">
        <is>
          <t>Pacto Daedrico</t>
        </is>
      </c>
      <c r="B211" s="241" t="inlineStr">
        <is>
          <t>O Pacto dos Dez Dedos Ensanguentados</t>
        </is>
      </c>
      <c r="C211" s="241" t="inlineStr">
        <is>
          <t>Tesouro (Significativa)</t>
        </is>
      </c>
      <c r="D211" s="241" t="inlineStr">
        <is>
          <t>Recupere o tomo proibido guardado pelo Sacerdote do Pacto no Altar Central.</t>
        </is>
      </c>
      <c r="E211" s="241" t="inlineStr">
        <is>
          <t>80 Ouro + o artefato "O Pacto dos Dez Dedos Ensanguentados" (dobra o dano de qualquer magia, queima 1 de Mana Máxima por uso).</t>
        </is>
      </c>
      <c r="F211" s="242" t="n"/>
      <c r="G211" s="242" t="n"/>
      <c r="H211" s="242" t="n"/>
      <c r="I211" s="242" t="inlineStr">
        <is>
          <t>Exploração</t>
        </is>
      </c>
      <c r="J211" s="242" t="inlineStr">
        <is>
          <t>Veterano (Honra 50)</t>
        </is>
      </c>
      <c r="K211" s="242" t="inlineStr">
        <is>
          <t>O Penitente dos Dez Dedos</t>
        </is>
      </c>
      <c r="L211" s="242" t="n"/>
      <c r="M211" s="242" t="n"/>
    </row>
    <row r="212">
      <c r="A212" s="241" t="inlineStr">
        <is>
          <t>Pacto Daedrico</t>
        </is>
      </c>
      <c r="B212" s="241" t="inlineStr">
        <is>
          <t>O Penitente</t>
        </is>
      </c>
      <c r="C212" s="241" t="inlineStr">
        <is>
          <t>Segredo (Significativa)</t>
        </is>
      </c>
      <c r="D212" s="241" t="inlineStr">
        <is>
          <t>Ajude O Penitente dos Dez Dedos — ex-sumo sacerdote arrependido que cortou os próprios dedos pra romper o elo com a Mão.</t>
        </is>
      </c>
      <c r="E212" s="241" t="inlineStr">
        <is>
          <t>45 Ouro + ele revela os pontos cegos do Aspecto da Infecção (vantagem garantida no confronto final da campanha).</t>
        </is>
      </c>
      <c r="F212" s="242" t="n"/>
      <c r="G212" s="242" t="n"/>
      <c r="H212" s="242" t="n"/>
      <c r="I212" s="242" t="inlineStr">
        <is>
          <t>Social</t>
        </is>
      </c>
      <c r="J212" s="242" t="inlineStr">
        <is>
          <t>Veterano (Honra 50)</t>
        </is>
      </c>
      <c r="K212" s="242" t="inlineStr">
        <is>
          <t>O Penitente dos Dez Dedos</t>
        </is>
      </c>
      <c r="L212" s="242" t="n"/>
      <c r="M212" s="242" t="n"/>
    </row>
    <row r="213">
      <c r="A213" s="241" t="inlineStr">
        <is>
          <t>Pacto Daedrico</t>
        </is>
      </c>
      <c r="B213" s="241" t="inlineStr">
        <is>
          <t>Erva da Oferenda Sombria</t>
        </is>
      </c>
      <c r="C213" s="241" t="inlineStr">
        <is>
          <t>Dilema (Traição — custo real)</t>
        </is>
      </c>
      <c r="D213" s="241" t="inlineStr">
        <is>
          <t>Poções proibidas feitas da Erva da Oferenda Sombria curam trocando vida por vida. Usar ou destruir os estoques?</t>
        </is>
      </c>
      <c r="E213" s="241" t="inlineStr">
        <is>
          <t>Usar em emergência: cura total 1x, mas causa 1 Ponto de Corrupção permanente. Destruir os estoques: sem benefício imediato, mas reduz 10 de Corrupção do grupo.</t>
        </is>
      </c>
      <c r="F213" s="242" t="n"/>
      <c r="G213" s="242" t="n"/>
      <c r="H213" s="242" t="n"/>
      <c r="I213" s="242" t="inlineStr">
        <is>
          <t>Social</t>
        </is>
      </c>
      <c r="J213" s="242" t="inlineStr">
        <is>
          <t>Comum (Honra 0)</t>
        </is>
      </c>
      <c r="K213" s="242" t="inlineStr">
        <is>
          <t>Mori a Última Curandeira Pura</t>
        </is>
      </c>
      <c r="L213" s="242" t="n"/>
      <c r="M213" s="242" t="n"/>
    </row>
    <row r="214">
      <c r="A214" s="241" t="inlineStr">
        <is>
          <t>Pacto Daedrico</t>
        </is>
      </c>
      <c r="B214" s="241" t="inlineStr">
        <is>
          <t>A Guardiã dos Altares</t>
        </is>
      </c>
      <c r="C214" s="241" t="inlineStr">
        <is>
          <t>Caça de Elite (Significativa)</t>
        </is>
      </c>
      <c r="D214" s="241" t="inlineStr">
        <is>
          <t>Impeça o próximo sacrifício nos Altares de Sangue do Círculo Daédrico.</t>
        </is>
      </c>
      <c r="E214" s="241" t="inlineStr">
        <is>
          <t>75 Ouro + 1 item Raro do tier.</t>
        </is>
      </c>
      <c r="F214" s="243" t="n"/>
      <c r="G214" s="243" t="n"/>
      <c r="H214" s="242" t="n"/>
      <c r="I214" s="242" t="inlineStr">
        <is>
          <t>Elite</t>
        </is>
      </c>
      <c r="J214" s="242" t="inlineStr">
        <is>
          <t>Veterano (Honra 50)</t>
        </is>
      </c>
      <c r="K214" s="242" t="inlineStr">
        <is>
          <t>O Penitente dos Dez Dedos</t>
        </is>
      </c>
      <c r="L214" s="242" t="n"/>
      <c r="M214" s="242" t="n"/>
    </row>
    <row r="215">
      <c r="A215" s="241" t="inlineStr">
        <is>
          <t>Pacto Daedrico</t>
        </is>
      </c>
      <c r="B215" s="241" t="inlineStr">
        <is>
          <t>O Traidor do Véu</t>
        </is>
      </c>
      <c r="C215" s="241" t="inlineStr">
        <is>
          <t>Traição (grande revelação)</t>
        </is>
      </c>
      <c r="D215" s="241" t="inlineStr">
        <is>
          <t>Descubra e confronte O Arquivista Traidor, infiltrado entre Os Guardiões do Último Véu.</t>
        </is>
      </c>
      <c r="E215" s="241" t="inlineStr">
        <is>
          <t>90 Ouro + reputação total com os Guardiões (essencial pro Ato V) — ignorar essa quest deixa o Ato V mais difícil.</t>
        </is>
      </c>
      <c r="F215" s="161" t="inlineStr">
        <is>
          <t>Os Guardiões do Último Véu</t>
        </is>
      </c>
      <c r="G215" s="161" t="inlineStr">
        <is>
          <t>+30 (resolve a infiltração)</t>
        </is>
      </c>
      <c r="H215" s="242" t="n"/>
      <c r="I215" s="242" t="inlineStr">
        <is>
          <t>Exploração</t>
        </is>
      </c>
      <c r="J215" s="242" t="inlineStr">
        <is>
          <t>Lendário (Honra 100)</t>
        </is>
      </c>
      <c r="K215" s="242" t="inlineStr">
        <is>
          <t>O Arquivista Sem Rosto</t>
        </is>
      </c>
      <c r="L215" s="242" t="n"/>
      <c r="M215" s="242" t="n"/>
    </row>
    <row r="216">
      <c r="A216" s="241" t="inlineStr">
        <is>
          <t>Pacto Daedrico</t>
        </is>
      </c>
      <c r="B216" s="241" t="inlineStr">
        <is>
          <t>O Arauto Daédrico</t>
        </is>
      </c>
      <c r="C216" s="241" t="inlineStr">
        <is>
          <t>Boss Opcional (Definidora — quase fecha o Ato V)</t>
        </is>
      </c>
      <c r="D216" s="241" t="inlineStr">
        <is>
          <t>Enfrente o Arauto que guarda "O Pacto dos Dez Dedos Ensanguentados" e prega dominação mental em nome do Aspecto Supremo.</t>
        </is>
      </c>
      <c r="E216" s="241" t="inlineStr">
        <is>
          <t>220 Ouro + 1 item Lendário.</t>
        </is>
      </c>
      <c r="F216" s="242" t="n"/>
      <c r="G216" s="242" t="n"/>
      <c r="H216" s="242" t="n"/>
      <c r="I216" s="242" t="inlineStr">
        <is>
          <t>Elite</t>
        </is>
      </c>
      <c r="J216" s="242" t="inlineStr">
        <is>
          <t>Lendário (Honra 100)</t>
        </is>
      </c>
      <c r="K216" s="242" t="inlineStr">
        <is>
          <t>O Arquivista Sem Rosto</t>
        </is>
      </c>
      <c r="L216" s="242" t="n"/>
      <c r="M216" s="242" t="n"/>
    </row>
    <row r="217">
      <c r="A217" s="115" t="inlineStr">
        <is>
          <t>Pacto Daedrico</t>
        </is>
      </c>
      <c r="B217" s="115" t="inlineStr">
        <is>
          <t>Devoradores no Círculo</t>
        </is>
      </c>
      <c r="C217" s="115" t="inlineStr">
        <is>
          <t>Caça (Modesta)</t>
        </is>
      </c>
      <c r="D217" s="115" t="inlineStr">
        <is>
          <t>Elimine os Devoradores de Sacrifícios antes que se multipliquem com mais rituais no Círculo.</t>
        </is>
      </c>
      <c r="E217" s="115" t="inlineStr">
        <is>
          <t>52 Ouro.</t>
        </is>
      </c>
      <c r="I217" s="115" t="inlineStr">
        <is>
          <t>Combate (Grind)</t>
        </is>
      </c>
      <c r="J217" s="115" t="inlineStr">
        <is>
          <t>Comum (Honra 0)</t>
        </is>
      </c>
      <c r="K217" s="115" t="inlineStr">
        <is>
          <t>O Penitente dos Dez Dedos</t>
        </is>
      </c>
    </row>
    <row r="218">
      <c r="A218" s="115" t="inlineStr">
        <is>
          <t>Pacto Daedrico</t>
        </is>
      </c>
      <c r="B218" s="115" t="inlineStr">
        <is>
          <t>Sussurros Que Não Calam</t>
        </is>
      </c>
      <c r="C218" s="115" t="inlineStr">
        <is>
          <t>Caça (Modesta)</t>
        </is>
      </c>
      <c r="D218" s="115" t="inlineStr">
        <is>
          <t>Silencie o Segundo e o Terceiro Sussurrante antes que completem o eco do ritual.</t>
        </is>
      </c>
      <c r="E218" s="115" t="inlineStr">
        <is>
          <t>54 Ouro.</t>
        </is>
      </c>
      <c r="I218" s="115" t="inlineStr">
        <is>
          <t>Combate (Grind)</t>
        </is>
      </c>
      <c r="J218" s="115" t="inlineStr">
        <is>
          <t>Comum (Honra 0)</t>
        </is>
      </c>
      <c r="K218" s="115" t="inlineStr">
        <is>
          <t>O Penitente dos Dez Dedos</t>
        </is>
      </c>
    </row>
    <row r="219">
      <c r="A219" s="115" t="inlineStr">
        <is>
          <t>Pacto Daedrico</t>
        </is>
      </c>
      <c r="B219" s="115" t="inlineStr">
        <is>
          <t>Olhos Pro Azrael</t>
        </is>
      </c>
      <c r="C219" s="115" t="inlineStr">
        <is>
          <t>Coleta (Preparo)</t>
        </is>
      </c>
      <c r="D219" s="115" t="inlineStr">
        <is>
          <t>Traga 4x Olho Preservado do Arauto pro Azrael, que estuda a matéria estelar do Vazio.</t>
        </is>
      </c>
      <c r="E219" s="115" t="inlineStr">
        <is>
          <t>52 Ouro + Azrael forja de graça 1 Elmo Daédrico (Comum) pra você.</t>
        </is>
      </c>
      <c r="I219" s="115" t="inlineStr">
        <is>
          <t>Coleta</t>
        </is>
      </c>
      <c r="J219" s="115" t="inlineStr">
        <is>
          <t>Comum (Honra 0)</t>
        </is>
      </c>
      <c r="K219" s="115" t="inlineStr">
        <is>
          <t>Azrael o Artífice do Vazio</t>
        </is>
      </c>
    </row>
    <row r="220">
      <c r="A220" s="115" t="inlineStr">
        <is>
          <t>Pacto Daedrico</t>
        </is>
      </c>
      <c r="B220" s="115" t="inlineStr">
        <is>
          <t>Registros Roubados</t>
        </is>
      </c>
      <c r="C220" s="115" t="inlineStr">
        <is>
          <t>Coleta (Significativa)</t>
        </is>
      </c>
      <c r="D220" s="115" t="inlineStr">
        <is>
          <t>Traga 3x Registro Roubado do Escriba pro Arquivista Sem Rosto, que quer confirmar o que o Arquivista Traidor vazou.</t>
        </is>
      </c>
      <c r="E220" s="115" t="inlineStr">
        <is>
          <t>55 Ouro.</t>
        </is>
      </c>
      <c r="I220" s="115" t="inlineStr">
        <is>
          <t>Coleta</t>
        </is>
      </c>
      <c r="J220" s="115" t="inlineStr">
        <is>
          <t>Veterano (Honra 50)</t>
        </is>
      </c>
      <c r="K220" s="115" t="inlineStr">
        <is>
          <t>O Arquivista Sem Rosto</t>
        </is>
      </c>
    </row>
    <row r="221">
      <c r="A221" s="115" t="inlineStr">
        <is>
          <t>Pacto Daedrico</t>
        </is>
      </c>
      <c r="B221" s="115" t="inlineStr">
        <is>
          <t>Ecos Coletados</t>
        </is>
      </c>
      <c r="C221" s="115" t="inlineStr">
        <is>
          <t>Coleta (Significativa)</t>
        </is>
      </c>
      <c r="D221" s="115" t="inlineStr">
        <is>
          <t>Traga 2x Eco do Sussurrante do Círculo pra Mori, que estuda como o Círculo consome vidas nos altares.</t>
        </is>
      </c>
      <c r="E221" s="115" t="inlineStr">
        <is>
          <t>56 Ouro + Mori restaura totalmente Vida e Mana do grupo, de graça, uma vez.</t>
        </is>
      </c>
      <c r="I221" s="115" t="inlineStr">
        <is>
          <t>Coleta</t>
        </is>
      </c>
      <c r="J221" s="115" t="inlineStr">
        <is>
          <t>Veterano (Honra 50)</t>
        </is>
      </c>
      <c r="K221" s="115" t="inlineStr">
        <is>
          <t>Mori a Última Curandeira Pura</t>
        </is>
      </c>
    </row>
    <row r="222">
      <c r="A222" s="115" t="inlineStr">
        <is>
          <t>Pacto Daedrico</t>
        </is>
      </c>
      <c r="B222" s="115" t="inlineStr">
        <is>
          <t>O Diário de Lucian</t>
        </is>
      </c>
      <c r="C222" s="115" t="inlineStr">
        <is>
          <t>Exploração (Significativa)</t>
        </is>
      </c>
      <c r="D222" s="115" t="inlineStr">
        <is>
          <t>Encontre a Cripta do Juramento que Irmão Lucian investiga, ligada aos símbolos que os cultistas desenham nas portas.</t>
        </is>
      </c>
      <c r="E222" s="115" t="inlineStr">
        <is>
          <t>50 Ouro + 1 item Raro do tier.</t>
        </is>
      </c>
      <c r="I222" s="115" t="inlineStr">
        <is>
          <t>Exploração</t>
        </is>
      </c>
      <c r="J222" s="115" t="inlineStr">
        <is>
          <t>Comum (Honra 0)</t>
        </is>
      </c>
      <c r="K222" s="115" t="inlineStr">
        <is>
          <t>O Penitente dos Dez Dedos</t>
        </is>
      </c>
    </row>
    <row r="223">
      <c r="A223" s="115" t="inlineStr">
        <is>
          <t>Pacto Daedrico</t>
        </is>
      </c>
      <c r="B223" s="115" t="inlineStr">
        <is>
          <t>Forjando o Amuleto do Horror</t>
        </is>
      </c>
      <c r="C223" s="115" t="inlineStr">
        <is>
          <t>Crafting</t>
        </is>
      </c>
      <c r="D223" s="115" t="inlineStr">
        <is>
          <t>Colete os materiais e forje 1 Amuleto do Horror com Azrael.</t>
        </is>
      </c>
      <c r="I223" s="115" t="inlineStr">
        <is>
          <t>Crafting</t>
        </is>
      </c>
      <c r="J223" s="115" t="inlineStr">
        <is>
          <t>Veterano (Honra 50)</t>
        </is>
      </c>
      <c r="K223" s="115" t="inlineStr">
        <is>
          <t>Azrael o Artífice do Vazio</t>
        </is>
      </c>
      <c r="M223" s="115" t="inlineStr">
        <is>
          <t>Amuleto do Horror (+15% de resistência a Medo)</t>
        </is>
      </c>
    </row>
    <row r="224">
      <c r="A224" s="241" t="inlineStr">
        <is>
          <t>Estelar / Cosmico</t>
        </is>
      </c>
      <c r="B224" s="241" t="inlineStr">
        <is>
          <t>Ecos Antes do Fim</t>
        </is>
      </c>
      <c r="C224" s="241" t="inlineStr">
        <is>
          <t>Caça (Modesta)</t>
        </is>
      </c>
      <c r="D224" s="241" t="inlineStr">
        <is>
          <t>Limpe os Fragmentos Estelares e Vigias do Vazio que bloqueiam a aproximação do Portal.</t>
        </is>
      </c>
      <c r="E224" s="241" t="inlineStr">
        <is>
          <t>55 Ouro.</t>
        </is>
      </c>
      <c r="F224" s="242" t="n"/>
      <c r="G224" s="242" t="n"/>
      <c r="H224" s="242" t="n"/>
      <c r="I224" s="242" t="inlineStr">
        <is>
          <t>Combate (Grind)</t>
        </is>
      </c>
      <c r="J224" s="242" t="inlineStr">
        <is>
          <t>Comum (Honra 0)</t>
        </is>
      </c>
      <c r="K224" s="242" t="inlineStr">
        <is>
          <t>Azrael o Artífice do Vazio</t>
        </is>
      </c>
      <c r="L224" s="242" t="n"/>
      <c r="M224" s="242" t="n"/>
    </row>
    <row r="225">
      <c r="A225" s="241" t="inlineStr">
        <is>
          <t>Estelar / Cosmico</t>
        </is>
      </c>
      <c r="B225" s="241" t="inlineStr">
        <is>
          <t>A Lâmina da Fenda Primordial</t>
        </is>
      </c>
      <c r="C225" s="241" t="inlineStr">
        <is>
          <t>Tesouro (Significativa)</t>
        </is>
      </c>
      <c r="D225" s="241" t="inlineStr">
        <is>
          <t>Recupere a arma mais poderosa do continente, no Vazio Cósmico além do Portal.</t>
        </is>
      </c>
      <c r="E225" s="241" t="inlineStr">
        <is>
          <t>100 Ouro + o artefato "A Lâmina da Fenda Primordial" (corta a linha do tempo, impede reação do inimigo no mesmo turno).</t>
        </is>
      </c>
      <c r="F225" s="242" t="n"/>
      <c r="G225" s="242" t="n"/>
      <c r="H225" s="242" t="n"/>
      <c r="I225" s="242" t="inlineStr">
        <is>
          <t>Exploração</t>
        </is>
      </c>
      <c r="J225" s="242" t="inlineStr">
        <is>
          <t>Lendário (Honra 100)</t>
        </is>
      </c>
      <c r="K225" s="242" t="inlineStr">
        <is>
          <t>Azrael o Artífice do Vazio</t>
        </is>
      </c>
      <c r="L225" s="242" t="n"/>
      <c r="M225" s="242" t="n"/>
    </row>
    <row r="226">
      <c r="A226" s="241" t="inlineStr">
        <is>
          <t>Estelar / Cosmico</t>
        </is>
      </c>
      <c r="B226" s="241" t="inlineStr">
        <is>
          <t>A Voz da Estrela Esquecida</t>
        </is>
      </c>
      <c r="C226" s="241" t="inlineStr">
        <is>
          <t>Segredo (Significativa)</t>
        </is>
      </c>
      <c r="D226" s="241" t="inlineStr">
        <is>
          <t>Consulte a entidade de luz pura no centro do santuário proibido pra orientação final antes do confronto.</t>
        </is>
      </c>
      <c r="E226" s="241" t="inlineStr">
        <is>
          <t>60 Ouro + revela a sequência ideal de ataques contra O Aspecto da Infecção (vantagem tática garantida na luta final).</t>
        </is>
      </c>
      <c r="F226" s="243" t="n"/>
      <c r="G226" s="243" t="n"/>
      <c r="H226" s="242" t="n"/>
      <c r="I226" s="242" t="inlineStr">
        <is>
          <t>Exploração</t>
        </is>
      </c>
      <c r="J226" s="242" t="inlineStr">
        <is>
          <t>Veterano (Honra 50)</t>
        </is>
      </c>
      <c r="K226" s="242" t="inlineStr">
        <is>
          <t>O Arquivista Sem Rosto</t>
        </is>
      </c>
      <c r="L226" s="242" t="n"/>
      <c r="M226" s="242" t="n"/>
    </row>
    <row r="227">
      <c r="A227" s="241" t="inlineStr">
        <is>
          <t>Estelar / Cosmico</t>
        </is>
      </c>
      <c r="B227" s="241" t="inlineStr">
        <is>
          <t>O Último Fiel</t>
        </is>
      </c>
      <c r="C227" s="241" t="inlineStr">
        <is>
          <t>Traição/Tragédia (dilema final)</t>
        </is>
      </c>
      <c r="D227" s="241" t="inlineStr">
        <is>
          <t>O Zelote Final do Culto — o último crente de carne e osso — pede pra testemunhar a verdade antes de morrer, em vez de ser morto em combate.</t>
        </is>
      </c>
      <c r="E227" s="241" t="inlineStr">
        <is>
          <t>Deixá-lo ver a verdade: ele quebra a fé e ajuda com uma última informação antes de partir em paz. Matá-lo em combate: XP e loot normais, sem bônus.</t>
        </is>
      </c>
      <c r="F227" s="161" t="inlineStr">
        <is>
          <t>Culto do Aspecto Supremo (facção antagonista)</t>
        </is>
      </c>
      <c r="G227" s="161" t="inlineStr">
        <is>
          <t>+0 pontos — só afeta Corrupção pessoal, não reputação de facção</t>
        </is>
      </c>
      <c r="H227" s="242" t="n"/>
      <c r="I227" s="242" t="inlineStr">
        <is>
          <t>Social</t>
        </is>
      </c>
      <c r="J227" s="242" t="inlineStr">
        <is>
          <t>Veterano (Honra 50)</t>
        </is>
      </c>
      <c r="K227" s="242" t="inlineStr">
        <is>
          <t>O Arquivista Sem Rosto</t>
        </is>
      </c>
      <c r="L227" s="242" t="n"/>
      <c r="M227" s="242" t="n"/>
    </row>
    <row r="228">
      <c r="A228" s="241" t="inlineStr">
        <is>
          <t>Estelar / Cosmico</t>
        </is>
      </c>
      <c r="B228" s="241" t="inlineStr">
        <is>
          <t>A Vanguarda Cósmica</t>
        </is>
      </c>
      <c r="C228" s="241" t="inlineStr">
        <is>
          <t>Caça de Elite (Significativa)</t>
        </is>
      </c>
      <c r="D228" s="241" t="inlineStr">
        <is>
          <t>Impeça a Vanguarda do Vazio Astral de alargar ainda mais a fenda do Portal.</t>
        </is>
      </c>
      <c r="E228" s="241" t="inlineStr">
        <is>
          <t>90 Ouro + 1 item Raro do tier.</t>
        </is>
      </c>
      <c r="F228" s="242" t="n"/>
      <c r="G228" s="242" t="n"/>
      <c r="H228" s="242" t="n"/>
      <c r="I228" s="242" t="inlineStr">
        <is>
          <t>Elite</t>
        </is>
      </c>
      <c r="J228" s="242" t="inlineStr">
        <is>
          <t>Veterano (Honra 50)</t>
        </is>
      </c>
      <c r="K228" s="242" t="inlineStr">
        <is>
          <t>Azrael o Artífice do Vazio</t>
        </is>
      </c>
      <c r="L228" s="242" t="n"/>
      <c r="M228" s="242" t="n"/>
    </row>
    <row r="229">
      <c r="A229" s="241" t="inlineStr">
        <is>
          <t>Estelar / Cosmico</t>
        </is>
      </c>
      <c r="B229" s="241" t="inlineStr">
        <is>
          <t>O Cálice da Erradicação</t>
        </is>
      </c>
      <c r="C229" s="241" t="inlineStr">
        <is>
          <t>Ritual (Definidora — prepara o final)</t>
        </is>
      </c>
      <c r="D229" s="241" t="inlineStr">
        <is>
          <t>Com a ajuda de Azrael e Mori, forje o único recipiente capaz de selar a Centelha do Aspecto da Infecção pra sempre.</t>
        </is>
      </c>
      <c r="E229" s="241" t="inlineStr">
        <is>
          <t>Sem isso, não é possível vencer a campanha de vez — só conter o Aspecto temporariamente.</t>
        </is>
      </c>
      <c r="F229" s="242" t="n"/>
      <c r="G229" s="242" t="n"/>
      <c r="H229" s="242" t="n"/>
      <c r="I229" s="242" t="inlineStr">
        <is>
          <t>Crafting</t>
        </is>
      </c>
      <c r="J229" s="242" t="inlineStr">
        <is>
          <t>Lendário (Honra 100)</t>
        </is>
      </c>
      <c r="K229" s="242" t="inlineStr">
        <is>
          <t>Azrael o Artífice do Vazio / Mori a Última Curandeira Pura</t>
        </is>
      </c>
      <c r="L229" s="242" t="inlineStr">
        <is>
          <t>Ter concluído "O Traidor do Véu" e reunido os Fragmentos principais</t>
        </is>
      </c>
      <c r="M229" s="242" t="inlineStr">
        <is>
          <t>O Cálice da Erradicação (item essencial pro confronto final)</t>
        </is>
      </c>
    </row>
    <row r="230">
      <c r="A230" s="241" t="inlineStr">
        <is>
          <t>Estelar / Cosmico</t>
        </is>
      </c>
      <c r="B230" s="241" t="inlineStr">
        <is>
          <t>O Guardião do Portal Estelar</t>
        </is>
      </c>
      <c r="C230" s="241" t="inlineStr">
        <is>
          <t>Boss (Guarda do Fim)</t>
        </is>
      </c>
      <c r="D230" s="241" t="inlineStr">
        <is>
          <t>Vença a entidade que bloqueia a câmara final antes de enfrentar o Aspecto.</t>
        </is>
      </c>
      <c r="E230" s="241" t="inlineStr">
        <is>
          <t>180 Ouro + 1 item Lendário.</t>
        </is>
      </c>
      <c r="F230" s="242" t="n"/>
      <c r="G230" s="242" t="n"/>
      <c r="H230" s="242" t="n"/>
      <c r="I230" s="242" t="inlineStr">
        <is>
          <t>Elite</t>
        </is>
      </c>
      <c r="J230" s="242" t="inlineStr">
        <is>
          <t>Lendário (Honra 100)</t>
        </is>
      </c>
      <c r="K230" s="242" t="inlineStr">
        <is>
          <t>O Arquivista Sem Rosto</t>
        </is>
      </c>
      <c r="L230" s="242" t="n"/>
      <c r="M230" s="242" t="n"/>
    </row>
    <row r="231">
      <c r="A231" s="241" t="inlineStr">
        <is>
          <t>Estelar / Cosmico</t>
        </is>
      </c>
      <c r="B231" s="241" t="inlineStr">
        <is>
          <t>O Preço do Selamento</t>
        </is>
      </c>
      <c r="C231" s="241" t="inlineStr">
        <is>
          <t>Epílogo (reflete escolhas de toda a campanha)</t>
        </is>
      </c>
      <c r="D231" s="241" t="inlineStr">
        <is>
          <t>Para selar a Mão pra sempre com o Cálice, o herói deve entregar sua memória mais preciosa ou seu vínculo mais forte — a escolha reflete quem ficou vivo, aliado ou perdido ao longo da jornada.</t>
        </is>
      </c>
      <c r="E231" s="241" t="inlineStr">
        <is>
          <t>Sem recompensa em ouro — o final da campanha em si é a recompensa, moldado por todas as decisões feitas desde o Tier 1.</t>
        </is>
      </c>
      <c r="F231" s="242" t="n"/>
      <c r="G231" s="242" t="n"/>
      <c r="H231" s="242" t="n"/>
      <c r="I231" s="242" t="inlineStr">
        <is>
          <t>Social</t>
        </is>
      </c>
      <c r="J231" s="242" t="inlineStr">
        <is>
          <t>Lendário (Honra 100)</t>
        </is>
      </c>
      <c r="K231" s="242" t="inlineStr">
        <is>
          <t>O Arquivista Sem Rosto</t>
        </is>
      </c>
      <c r="L231" s="242" t="inlineStr">
        <is>
          <t>Ter completado "O Guardião do Portal Estelar"</t>
        </is>
      </c>
      <c r="M231" s="242" t="n"/>
    </row>
    <row r="232">
      <c r="A232" s="161" t="inlineStr">
        <is>
          <t>Estelar / Cosmico</t>
        </is>
      </c>
      <c r="B232" s="161" t="inlineStr">
        <is>
          <t>O Aspecto da Infecção</t>
        </is>
      </c>
      <c r="C232" s="241" t="inlineStr">
        <is>
          <t>CONFRONTO FINAL DA CAMPANHA</t>
        </is>
      </c>
      <c r="D232" s="161" t="inlineStr">
        <is>
          <t>Enfrente O Aspecto da Infecção usando o Cálice da Erradicação para selar o ciclo de uma vez por todas.</t>
        </is>
      </c>
      <c r="E232" s="161" t="inlineStr">
        <is>
          <t>Fim de campanha — o resultado depende de quantos Fragmentos, aliados e artefatos foram reunidos ao longo dos 14 tiers.</t>
        </is>
      </c>
      <c r="F232" s="242" t="n"/>
      <c r="G232" s="242" t="n"/>
      <c r="H232" s="242" t="n"/>
      <c r="I232" s="242" t="inlineStr">
        <is>
          <t>Elite</t>
        </is>
      </c>
      <c r="J232" s="242" t="inlineStr">
        <is>
          <t>Lendário (Honra 100)</t>
        </is>
      </c>
      <c r="K232" s="242" t="inlineStr">
        <is>
          <t>O Arquivista Sem Rosto</t>
        </is>
      </c>
      <c r="L232" s="243" t="inlineStr">
        <is>
          <t>Possuir "O Cálice da Erradicação"</t>
        </is>
      </c>
      <c r="M232" s="242" t="n"/>
    </row>
    <row r="233">
      <c r="A233" s="115" t="inlineStr">
        <is>
          <t>Estelar / Cosmico</t>
        </is>
      </c>
      <c r="B233" s="115" t="inlineStr">
        <is>
          <t>Devoradores da Luz Final</t>
        </is>
      </c>
      <c r="C233" s="115" t="inlineStr">
        <is>
          <t>Caça (Modesta)</t>
        </is>
      </c>
      <c r="D233" s="115" t="inlineStr">
        <is>
          <t>Elimine os Devoradores de Luz que se alimentam do que resta de energia após cada confronto na fenda.</t>
        </is>
      </c>
      <c r="E233" s="115" t="inlineStr">
        <is>
          <t>56 Ouro.</t>
        </is>
      </c>
      <c r="I233" s="115" t="inlineStr">
        <is>
          <t>Combate (Grind)</t>
        </is>
      </c>
      <c r="J233" s="115" t="inlineStr">
        <is>
          <t>Comum (Honra 0)</t>
        </is>
      </c>
      <c r="K233" s="115" t="inlineStr">
        <is>
          <t>Azrael o Artífice do Vazio</t>
        </is>
      </c>
    </row>
    <row r="234">
      <c r="A234" s="115" t="inlineStr">
        <is>
          <t>Estelar / Cosmico</t>
        </is>
      </c>
      <c r="B234" s="115" t="inlineStr">
        <is>
          <t>Ecos Que Se Multiplicam</t>
        </is>
      </c>
      <c r="C234" s="115" t="inlineStr">
        <is>
          <t>Caça (Modesta)</t>
        </is>
      </c>
      <c r="D234" s="115" t="inlineStr">
        <is>
          <t>Elimine os Ecos de Segunda e Terceira Ordem antes que distorçam ainda mais a realidade ao redor do Portal.</t>
        </is>
      </c>
      <c r="E234" s="115" t="inlineStr">
        <is>
          <t>58 Ouro.</t>
        </is>
      </c>
      <c r="I234" s="115" t="inlineStr">
        <is>
          <t>Combate (Grind)</t>
        </is>
      </c>
      <c r="J234" s="115" t="inlineStr">
        <is>
          <t>Comum (Honra 0)</t>
        </is>
      </c>
      <c r="K234" s="115" t="inlineStr">
        <is>
          <t>O Arquivista Sem Rosto</t>
        </is>
      </c>
    </row>
    <row r="235">
      <c r="A235" s="115" t="inlineStr">
        <is>
          <t>Estelar / Cosmico</t>
        </is>
      </c>
      <c r="B235" s="115" t="inlineStr">
        <is>
          <t>Centelhas Pro Cálice</t>
        </is>
      </c>
      <c r="C235" s="115" t="inlineStr">
        <is>
          <t>Coleta (Preparo)</t>
        </is>
      </c>
      <c r="D235" s="115" t="inlineStr">
        <is>
          <t>Traga 4x Centelha do Fim Inominável pra Azrael, material essencial pro Cálice da Erradicação.</t>
        </is>
      </c>
      <c r="E235" s="115" t="inlineStr">
        <is>
          <t>60 Ouro + Azrael forja de graça 1 Elmo Cósmico (Comum) pra você.</t>
        </is>
      </c>
      <c r="I235" s="115" t="inlineStr">
        <is>
          <t>Coleta</t>
        </is>
      </c>
      <c r="J235" s="115" t="inlineStr">
        <is>
          <t>Comum (Honra 0)</t>
        </is>
      </c>
      <c r="K235" s="115" t="inlineStr">
        <is>
          <t>Azrael o Artífice do Vazio</t>
        </is>
      </c>
    </row>
    <row r="236">
      <c r="A236" s="115" t="inlineStr">
        <is>
          <t>Estelar / Cosmico</t>
        </is>
      </c>
      <c r="B236" s="115" t="inlineStr">
        <is>
          <t>A Última Palavra da Testemunha</t>
        </is>
      </c>
      <c r="C236" s="115" t="inlineStr">
        <is>
          <t>Coleta (Significativa)</t>
        </is>
      </c>
      <c r="D236" s="115" t="inlineStr">
        <is>
          <t>Traga o Diário Mudo da Testemunha pro Arquivista Sem Rosto, que quer entender o que ela viu no início de tudo.</t>
        </is>
      </c>
      <c r="E236" s="115" t="inlineStr">
        <is>
          <t>60 Ouro + revela uma pista sobre o primeiro ciclo da Infecção.</t>
        </is>
      </c>
      <c r="I236" s="115" t="inlineStr">
        <is>
          <t>Coleta</t>
        </is>
      </c>
      <c r="J236" s="115" t="inlineStr">
        <is>
          <t>Veterano (Honra 50)</t>
        </is>
      </c>
      <c r="K236" s="115" t="inlineStr">
        <is>
          <t>O Arquivista Sem Rosto</t>
        </is>
      </c>
    </row>
    <row r="237">
      <c r="A237" s="115" t="inlineStr">
        <is>
          <t>Estelar / Cosmico</t>
        </is>
      </c>
      <c r="B237" s="115" t="inlineStr">
        <is>
          <t>Lótus do Fim dos Tempos</t>
        </is>
      </c>
      <c r="C237" s="115" t="inlineStr">
        <is>
          <t>Coleta (Significativa)</t>
        </is>
      </c>
      <c r="D237" s="115" t="inlineStr">
        <is>
          <t>Traga 3x Lótus Cósmica do Fim dos Tempos pra Mori, que prepara os últimos elixires antes do confronto final.</t>
        </is>
      </c>
      <c r="E237" s="115" t="inlineStr">
        <is>
          <t>62 Ouro + Mori restaura totalmente Vida e Mana do grupo, de graça, uma vez.</t>
        </is>
      </c>
      <c r="I237" s="115" t="inlineStr">
        <is>
          <t>Coleta</t>
        </is>
      </c>
      <c r="J237" s="115" t="inlineStr">
        <is>
          <t>Veterano (Honra 50)</t>
        </is>
      </c>
      <c r="K237" s="115" t="inlineStr">
        <is>
          <t>Mori a Última Curandeira Pura</t>
        </is>
      </c>
    </row>
    <row r="238">
      <c r="A238" s="257" t="inlineStr">
        <is>
          <t>[REFERENCIA — nao e missao, e o framework de recompensa. Ficou deslocado aqui apos reordenacao. Ver tambem linhas 4-8 no topo da aba.]</t>
        </is>
      </c>
      <c r="B238" s="258" t="n"/>
      <c r="C238" s="243" t="n"/>
      <c r="D238" s="242" t="n"/>
      <c r="E238" s="242" t="n"/>
      <c r="F238" s="242" t="n"/>
      <c r="G238" s="242" t="n"/>
      <c r="H238" s="242" t="n"/>
      <c r="I238" s="242" t="n"/>
      <c r="J238" s="242" t="n"/>
      <c r="K238" s="242" t="n"/>
      <c r="L238" s="242" t="n"/>
      <c r="M238" s="242" t="n"/>
    </row>
    <row r="239">
      <c r="A239" s="259" t="inlineStr">
        <is>
          <t>Modesta</t>
        </is>
      </c>
      <c r="B239" s="259" t="inlineStr">
        <is>
          <t>Só ouro (quantia baixa). Pro trabalho de rotina, sem peso narrativo.</t>
        </is>
      </c>
      <c r="C239" s="243" t="n"/>
      <c r="D239" s="242" t="n"/>
      <c r="E239" s="242" t="n"/>
      <c r="F239" s="242" t="n"/>
      <c r="G239" s="242" t="n"/>
      <c r="H239" s="242" t="n"/>
      <c r="I239" s="242" t="n"/>
      <c r="J239" s="242" t="n"/>
      <c r="K239" s="242" t="n"/>
      <c r="L239" s="243" t="n"/>
      <c r="M239" s="242" t="n"/>
    </row>
    <row r="240">
      <c r="A240" s="259" t="inlineStr">
        <is>
          <t>Gente Humilde</t>
        </is>
      </c>
      <c r="B240" s="259" t="inlineStr">
        <is>
          <t>Ouro baixo + favor social (desconto permanente, receita ensinada, aliado) — reputação, não item.</t>
        </is>
      </c>
      <c r="C240" s="243" t="n"/>
      <c r="D240" s="242" t="n"/>
      <c r="E240" s="242" t="n"/>
      <c r="F240" s="242" t="n"/>
      <c r="G240" s="242" t="n"/>
      <c r="H240" s="242" t="n"/>
      <c r="I240" s="242" t="n"/>
      <c r="J240" s="242" t="n"/>
      <c r="K240" s="242" t="n"/>
      <c r="L240" s="242" t="n"/>
      <c r="M240" s="242" t="n"/>
    </row>
    <row r="241">
      <c r="A241" s="259" t="inlineStr">
        <is>
          <t>Preparo</t>
        </is>
      </c>
      <c r="B241" s="259" t="inlineStr">
        <is>
          <t>Ouro + 1 peça de equipamento Comum ESPECÍFICA (não sorteada) — ex: "1 Peitoral de Bronze".</t>
        </is>
      </c>
      <c r="C241" s="243" t="n"/>
      <c r="D241" s="242" t="n"/>
      <c r="E241" s="242" t="n"/>
      <c r="F241" s="242" t="n"/>
      <c r="G241" s="242" t="n"/>
      <c r="H241" s="242" t="n"/>
      <c r="I241" s="242" t="n"/>
      <c r="J241" s="242" t="n"/>
      <c r="K241" s="242" t="n"/>
      <c r="L241" s="243" t="n"/>
      <c r="M241" s="242" t="n"/>
    </row>
    <row r="242">
      <c r="A242" s="259" t="inlineStr">
        <is>
          <t>Significativa</t>
        </is>
      </c>
      <c r="B242" s="259" t="inlineStr">
        <is>
          <t>Ouro + 1 item Raro.</t>
        </is>
      </c>
      <c r="C242" s="243" t="n"/>
      <c r="D242" s="242" t="n"/>
      <c r="E242" s="242" t="n"/>
      <c r="F242" s="242" t="n"/>
      <c r="G242" s="242" t="n"/>
      <c r="H242" s="242" t="n"/>
      <c r="I242" s="242" t="n"/>
      <c r="J242" s="242" t="n"/>
      <c r="K242" s="242" t="n"/>
      <c r="L242" s="242" t="n"/>
      <c r="M242" s="242" t="n"/>
    </row>
    <row r="243">
      <c r="A243" s="259" t="inlineStr">
        <is>
          <t>Definidora de Tier</t>
        </is>
      </c>
      <c r="B243" s="259" t="inlineStr">
        <is>
          <t>Ouro + 1 item Lendário — reservada SÓ pra missão Principal que fecha o tier.</t>
        </is>
      </c>
      <c r="C243" s="243" t="n"/>
      <c r="D243" s="242" t="n"/>
      <c r="E243" s="242" t="n"/>
      <c r="F243" s="242" t="n"/>
      <c r="G243" s="242" t="n"/>
      <c r="H243" s="242" t="n"/>
      <c r="I243" s="242" t="n"/>
      <c r="J243" s="242" t="n"/>
      <c r="K243" s="242" t="n"/>
      <c r="L243" s="243" t="n"/>
      <c r="M243" s="242" t="n"/>
    </row>
    <row r="244">
      <c r="A244" s="259" t="inlineStr">
        <is>
          <t>Missões Secundárias — Ato I (Tiers 1-3), amostra de variedade real</t>
        </is>
      </c>
      <c r="B244" s="258" t="n"/>
      <c r="C244" s="243" t="n"/>
      <c r="D244" s="242" t="n"/>
      <c r="E244" s="242" t="n"/>
      <c r="F244" s="242" t="n"/>
      <c r="G244" s="242" t="n"/>
      <c r="H244" s="242" t="n"/>
      <c r="I244" s="242" t="n"/>
      <c r="J244" s="242" t="n"/>
      <c r="K244" s="242" t="n"/>
      <c r="L244" s="243" t="n"/>
      <c r="M244" s="242" t="n"/>
    </row>
    <row r="245">
      <c r="A245" s="259" t="inlineStr">
        <is>
          <t>Tier</t>
        </is>
      </c>
      <c r="B245" s="259" t="inlineStr">
        <is>
          <t>Nome da Missão</t>
        </is>
      </c>
      <c r="C245" s="241" t="inlineStr">
        <is>
          <t>Tipo</t>
        </is>
      </c>
      <c r="D245" s="161" t="inlineStr">
        <is>
          <t>Objetivo</t>
        </is>
      </c>
      <c r="E245" s="161" t="inlineStr">
        <is>
          <t>Recompensa</t>
        </is>
      </c>
      <c r="F245" s="242" t="n"/>
      <c r="G245" s="242" t="n"/>
      <c r="H245" s="242" t="n"/>
      <c r="I245" s="161" t="inlineStr">
        <is>
          <t>Categoria</t>
        </is>
      </c>
      <c r="J245" s="161" t="inlineStr">
        <is>
          <t>Requisito de Honra</t>
        </is>
      </c>
      <c r="K245" s="161" t="inlineStr">
        <is>
          <t>NPC/Fonte</t>
        </is>
      </c>
      <c r="L245" s="241" t="inlineStr">
        <is>
          <t>Requisito Especial</t>
        </is>
      </c>
      <c r="M245" s="161" t="inlineStr">
        <is>
          <t>Recompensa (além de Ouro)</t>
        </is>
      </c>
    </row>
    <row r="246">
      <c r="A246" s="242" t="n"/>
      <c r="B246" s="242" t="n"/>
      <c r="C246" s="243" t="n"/>
      <c r="D246" s="242" t="n"/>
      <c r="E246" s="242" t="n"/>
      <c r="F246" s="242" t="n"/>
      <c r="G246" s="242" t="n"/>
      <c r="H246" s="242" t="n"/>
      <c r="I246" s="242" t="n"/>
      <c r="J246" s="242" t="n"/>
      <c r="K246" s="242" t="n"/>
      <c r="L246" s="243" t="n"/>
      <c r="M246" s="242" t="n"/>
    </row>
    <row r="247">
      <c r="A247" s="242" t="n"/>
      <c r="B247" s="242" t="n"/>
      <c r="C247" s="243" t="n"/>
      <c r="D247" s="242" t="n"/>
      <c r="E247" s="242" t="n"/>
      <c r="F247" s="242" t="n"/>
      <c r="G247" s="242" t="n"/>
      <c r="H247" s="242" t="n"/>
      <c r="I247" s="242" t="n"/>
      <c r="J247" s="242" t="n"/>
      <c r="K247" s="242" t="n"/>
      <c r="L247" s="242" t="n"/>
      <c r="M247" s="242" t="n"/>
    </row>
    <row r="248">
      <c r="A248" s="242" t="n"/>
      <c r="B248" s="242" t="n"/>
      <c r="C248" s="242" t="n"/>
      <c r="D248" s="242" t="n"/>
      <c r="E248" s="242" t="n"/>
      <c r="F248" s="242" t="n"/>
      <c r="G248" s="242" t="n"/>
      <c r="H248" s="242" t="n"/>
      <c r="I248" s="242" t="n"/>
      <c r="J248" s="242" t="n"/>
      <c r="K248" s="242" t="n"/>
      <c r="L248" s="242" t="n"/>
      <c r="M248" s="242"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N8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4" customWidth="1" style="115" min="1" max="1"/>
    <col width="30" customWidth="1" style="115" min="2" max="2"/>
    <col width="13" customWidth="1" style="115" min="3" max="4"/>
    <col width="45" customWidth="1" style="115" min="5" max="5"/>
    <col width="18" customWidth="1" style="115" min="6" max="7"/>
  </cols>
  <sheetData>
    <row r="1" ht="17.25" customHeight="1" s="116">
      <c r="A1" s="117" t="inlineStr">
        <is>
          <t>Cidades e NPCs</t>
        </is>
      </c>
    </row>
    <row r="2" ht="15" customHeight="1" s="116">
      <c r="A2" s="123" t="inlineStr">
        <is>
          <t>Lendario NUNCA e vendido em loja - so via loot/missao. Lojas vendem ate o teto de tier da cidade.</t>
        </is>
      </c>
    </row>
    <row r="4" ht="15" customHeight="1" s="116">
      <c r="A4" s="124" t="inlineStr">
        <is>
          <t>Parametro</t>
        </is>
      </c>
      <c r="B4" s="124" t="inlineStr">
        <is>
          <t>Valor</t>
        </is>
      </c>
      <c r="C4" s="124" t="inlineStr">
        <is>
          <t>O que controla</t>
        </is>
      </c>
    </row>
    <row r="5" ht="15" customHeight="1" s="116">
      <c r="A5" s="115" t="inlineStr">
        <is>
          <t>Markup_Compra</t>
        </is>
      </c>
      <c r="B5" s="126" t="n">
        <v>1.5</v>
      </c>
      <c r="C5" s="115" t="inlineStr">
        <is>
          <t>Preco na loja = Preco de Venda (Armas!L/M ou Armaduras!L/M) x este valor -- FORMULA OFICIAL, ver Economia linhas 30-34</t>
        </is>
      </c>
    </row>
    <row r="6" ht="15" customHeight="1" s="116">
      <c r="A6" s="115" t="inlineStr">
        <is>
          <t>Fracao_Venda</t>
        </is>
      </c>
      <c r="B6" s="126" t="n">
        <v>0.4</v>
      </c>
      <c r="C6" s="115" t="inlineStr">
        <is>
          <t>Quando o jogador VENDE, recebe Preco de Compra x este valor (mesma regra da Economia)</t>
        </is>
      </c>
    </row>
    <row r="7" ht="15" customHeight="1" s="116">
      <c r="A7" s="115" t="inlineStr">
        <is>
          <t>Mult_Custo_Descanso</t>
        </is>
      </c>
      <c r="B7" s="126" t="n">
        <v>0.5</v>
      </c>
      <c r="C7" s="123" t="inlineStr">
        <is>
          <t>Custo de descanso na estalagem = Ouro/Monstro Comum (nivel medio da cidade) x este valor</t>
        </is>
      </c>
    </row>
    <row r="9" ht="15" customHeight="1" s="116">
      <c r="A9" s="127" t="inlineStr">
        <is>
          <t>Arquetipos de NPC (use em qualquer cidade)</t>
        </is>
      </c>
    </row>
    <row r="10" ht="15" customHeight="1" s="116">
      <c r="A10" s="124" t="inlineStr">
        <is>
          <t>Papel</t>
        </is>
      </c>
      <c r="B10" s="124" t="inlineStr">
        <is>
          <t>Funcao</t>
        </is>
      </c>
      <c r="C10" s="124" t="inlineStr">
        <is>
          <t>Nota</t>
        </is>
      </c>
    </row>
    <row r="11" ht="15" customHeight="1" s="116">
      <c r="A11" s="156" t="inlineStr">
        <is>
          <t>Ferreiro</t>
        </is>
      </c>
      <c r="B11" s="159" t="inlineStr">
        <is>
          <t>Vende/compra armas e armaduras ate o teto de tier da cidade</t>
        </is>
      </c>
      <c r="C11" s="166" t="inlineStr">
        <is>
          <t>Nunca vende Lendario</t>
        </is>
      </c>
    </row>
    <row r="12" ht="15" customHeight="1" s="116">
      <c r="A12" s="156" t="inlineStr">
        <is>
          <t>Boticario</t>
        </is>
      </c>
      <c r="B12" s="159" t="inlineStr">
        <is>
          <t>Vende consumiveis (pocoes, comida, materiais)</t>
        </is>
      </c>
      <c r="C12" s="166" t="inlineStr">
        <is>
          <t>Sistema detalhado na proxima etapa</t>
        </is>
      </c>
    </row>
    <row r="13" ht="15" customHeight="1" s="116">
      <c r="A13" s="156" t="inlineStr">
        <is>
          <t>Estalajadeiro</t>
        </is>
      </c>
      <c r="B13" s="159" t="inlineStr">
        <is>
          <t>Cobra por descanso/hospedagem entre sessoes</t>
        </is>
      </c>
      <c r="C13" s="166" t="inlineStr">
        <is>
          <t>Ralo de ouro fixo por sessao</t>
        </is>
      </c>
    </row>
    <row r="14" ht="15" customHeight="1" s="116">
      <c r="A14" s="156" t="inlineStr">
        <is>
          <t>Guia de Missao</t>
        </is>
      </c>
      <c r="B14" s="159" t="inlineStr">
        <is>
          <t>Entrega a Missao Principal do tier da cidade</t>
        </is>
      </c>
      <c r="C14" s="166" t="inlineStr">
        <is>
          <t>Ver aba Missoes</t>
        </is>
      </c>
    </row>
    <row r="15" ht="15" customHeight="1" s="116">
      <c r="A15" s="156" t="inlineStr">
        <is>
          <t>Encantador</t>
        </is>
      </c>
      <c r="B15" s="159" t="inlineStr">
        <is>
          <t>Cobra para identificar itens raros ou remover maldicoes</t>
        </is>
      </c>
      <c r="C15" s="166" t="inlineStr">
        <is>
          <t>Ralo de ouro sob demanda</t>
        </is>
      </c>
    </row>
    <row r="18" ht="15" customHeight="1" s="116">
      <c r="A18" s="127" t="inlineStr">
        <is>
          <t>Cidades (7 polos, cada uma cobre 2 tiers)</t>
        </is>
      </c>
    </row>
    <row r="19" ht="15" customHeight="1" s="116">
      <c r="A19" s="124" t="inlineStr">
        <is>
          <t>Cidade</t>
        </is>
      </c>
      <c r="B19" s="124" t="inlineStr">
        <is>
          <t>Tiers Cobertos</t>
        </is>
      </c>
      <c r="C19" s="124" t="inlineStr">
        <is>
          <t>Nivel Min</t>
        </is>
      </c>
      <c r="D19" s="124" t="inlineStr">
        <is>
          <t>Nivel Max</t>
        </is>
      </c>
      <c r="E19" s="124" t="inlineStr">
        <is>
          <t>Descricao</t>
        </is>
      </c>
      <c r="F19" s="124" t="inlineStr">
        <is>
          <t>Teto de Tier (numero)</t>
        </is>
      </c>
      <c r="G19" s="124" t="inlineStr">
        <is>
          <t>Custo Descanso (Ouro)</t>
        </is>
      </c>
      <c r="H19" s="118" t="inlineStr">
        <is>
          <t>Disponibilidade</t>
        </is>
      </c>
      <c r="I19" s="118" t="inlineStr">
        <is>
          <t>Estado Econômico</t>
        </is>
      </c>
      <c r="J19" s="118" t="inlineStr">
        <is>
          <t>Nome Oficial (Apelido Popular)</t>
        </is>
      </c>
      <c r="K19" s="118" t="inlineStr">
        <is>
          <t>Pontos de Interesse (Locais)</t>
        </is>
      </c>
      <c r="L19" s="118" t="inlineStr">
        <is>
          <t>Monstros Associados (destaques)</t>
        </is>
      </c>
      <c r="M19" s="271" t="inlineStr">
        <is>
          <t>Recursos da Região</t>
        </is>
      </c>
      <c r="N19" s="271" t="inlineStr">
        <is>
          <t>Facções Presentes</t>
        </is>
      </c>
    </row>
    <row r="20" ht="15" customHeight="1" s="116">
      <c r="A20" s="167" t="inlineStr">
        <is>
          <t>Vila Inicial</t>
        </is>
      </c>
      <c r="B20" s="168" t="inlineStr">
        <is>
          <t>Sucata Enferrujada + Bronze</t>
        </is>
      </c>
      <c r="C20" s="169" t="n">
        <v>1</v>
      </c>
      <c r="D20" s="169" t="n">
        <v>8</v>
      </c>
      <c r="E20" s="170" t="inlineStr">
        <is>
          <t>Onde tudo comeca. Ferreiro simples, sem luxo.</t>
        </is>
      </c>
      <c r="F20" s="169" t="n">
        <v>2</v>
      </c>
      <c r="G20" s="171">
        <f>ROUND(INDEX('Curva Mestra'!$F$20:$F$94,MATCH(5,'Curva Mestra'!$A$20:$A$94,0))*Economia!$B$5*$B$7,0)</f>
        <v/>
      </c>
      <c r="H20" s="119" t="n">
        <v>1</v>
      </c>
      <c r="I20" s="119" t="n">
        <v>0.9</v>
      </c>
      <c r="J20" s="170" t="inlineStr">
        <is>
          <t>Valória (a "Vila Inicial")</t>
        </is>
      </c>
      <c r="K20" s="170" t="inlineStr">
        <is>
          <t>Estrada dos Bandidos, Bosque Sombrio, Pântano dos Enxames, Acampamento dos Marcados, Veio de Sucata, Covil do Javali Alfa, Santuário do Primeiro Sangue, Recanto Oculto de Valória, Mina de Bronze, Câmara do Barão</t>
        </is>
      </c>
      <c r="L20" s="170" t="inlineStr">
        <is>
          <t>Cão de Caça Sanguíneo, Javali Selvagem Alfa (Boss), O Colhedor do Primeiro Sangue (Boss), Bandido de Estrada Marcado, Aranha da Mina, Barão Aldous Grimm (Boss)</t>
        </is>
      </c>
      <c r="M20" s="272" t="inlineStr">
        <is>
          <t>Sucata Retorcida, Couro Áspero de Javali, Raiz de Sangue-Seco, Minério de Bronze Sulfuroso</t>
        </is>
      </c>
      <c r="N20" s="272" t="inlineStr">
        <is>
          <t>A Milícia dos Desamparados, Culto dos Primeiros Marcados, A Guilda dos Picaretas Negros</t>
        </is>
      </c>
    </row>
    <row r="21" ht="23.25" customHeight="1" s="116">
      <c r="A21" s="167" t="inlineStr">
        <is>
          <t>Posto dos Mineiros</t>
        </is>
      </c>
      <c r="B21" s="168" t="inlineStr">
        <is>
          <t>Ferro + Prata</t>
        </is>
      </c>
      <c r="C21" s="169" t="n">
        <v>8</v>
      </c>
      <c r="D21" s="169" t="n">
        <v>18</v>
      </c>
      <c r="E21" s="170" t="inlineStr">
        <is>
          <t>Cidade de mineracao, cripta proxima infestada de mortos-vivos.</t>
        </is>
      </c>
      <c r="F21" s="169" t="n">
        <v>4</v>
      </c>
      <c r="G21" s="171">
        <f>ROUND(INDEX('Curva Mestra'!$F$20:$F$94,MATCH(13,'Curva Mestra'!$A$20:$A$94,0))*Economia!$B$5*$B$7,0)</f>
        <v/>
      </c>
      <c r="H21" s="119" t="n">
        <v>0.9</v>
      </c>
      <c r="I21" s="119" t="n">
        <v>1.3</v>
      </c>
      <c r="J21" s="170" t="inlineStr">
        <is>
          <t>Cinzenta (o "Posto dos Mineiros")</t>
        </is>
      </c>
      <c r="K21" s="170" t="inlineStr">
        <is>
          <t>Ruínas da Antiga Forja, Coração da Antiga Forja, Veio Raro Oculto, Criptas de Prata, Câmara do Sino Silencioso, Atalho da Cripta</t>
        </is>
      </c>
      <c r="L21" s="170" t="inlineStr">
        <is>
          <t>Esqueleto Enferrujado, Zelote de Ferro, Golem de Sucata (Boss), O Primeiro Marcado (Boss), Zumbi da Cripta, O Ceifador do Silêncio (Boss), Guardião do Sino (Boss)</t>
        </is>
      </c>
      <c r="M21" s="272" t="inlineStr">
        <is>
          <t>Minério de Ferro, Flor do Sudário, Pó de Ectoplasma Cristalizado</t>
        </is>
      </c>
      <c r="N21" s="272" t="inlineStr">
        <is>
          <t>Culto do Ferro, Fraternidade dos Sem-Voz</t>
        </is>
      </c>
    </row>
    <row r="22" ht="15" customHeight="1" s="116">
      <c r="A22" s="167" t="inlineStr">
        <is>
          <t>Entreposto Elfico</t>
        </is>
      </c>
      <c r="B22" s="168" t="inlineStr">
        <is>
          <t>Aco Elfico + Mecanismo Anao</t>
        </is>
      </c>
      <c r="C22" s="169" t="n">
        <v>18</v>
      </c>
      <c r="D22" s="169" t="n">
        <v>28</v>
      </c>
      <c r="E22" s="170" t="inlineStr">
        <is>
          <t>Comercio entre elfos e anoes, ruinas e dungeons ao redor.</t>
        </is>
      </c>
      <c r="F22" s="169" t="n">
        <v>6</v>
      </c>
      <c r="G22" s="171">
        <f>ROUND(INDEX('Curva Mestra'!$F$20:$F$94,MATCH(23,'Curva Mestra'!$A$20:$A$94,0))*Economia!$B$5*$B$7,0)</f>
        <v/>
      </c>
      <c r="H22" s="119" t="n">
        <v>1.1</v>
      </c>
      <c r="I22" s="119" t="n">
        <v>1.1</v>
      </c>
      <c r="J22" s="170" t="inlineStr">
        <is>
          <t>Ecoril (o "Entreposto Élfico")</t>
        </is>
      </c>
      <c r="K22" s="170" t="inlineStr">
        <is>
          <t>Ruínas Élficas, Bosques Pétreos, Coração das Ruínas Élficas, Câmara Mecânica Anã, Núcleo da Câmara Mecânica</t>
        </is>
      </c>
      <c r="L22" s="170" t="inlineStr">
        <is>
          <t>Sentinela Adormecida, Aranha-Seiva, Espirito da Ultima Elfa (Boss), O Núcleo Desgovernado (Boss), Autômato de Vigia, O Colosso a Vapor Desgovernado (Boss), Nucleo Mecanico Ancestral (Boss)</t>
        </is>
      </c>
      <c r="M22" s="272" t="inlineStr">
        <is>
          <t>Metal Estriado Élfico, Sabugueiro Ancestral, Latão de Fornalha Subterrânea</t>
        </is>
      </c>
      <c r="N22" s="272" t="inlineStr">
        <is>
          <t>Vigília das Folhas de Prata, Clã Martelo de Vapor</t>
        </is>
      </c>
    </row>
    <row r="23" ht="23.25" customHeight="1" s="116">
      <c r="A23" s="167" t="inlineStr">
        <is>
          <t>Cidadela dos Forjadores</t>
        </is>
      </c>
      <c r="B23" s="168" t="inlineStr">
        <is>
          <t>Vidro Vulcanico + Ferro Orquico</t>
        </is>
      </c>
      <c r="C23" s="169" t="n">
        <v>28</v>
      </c>
      <c r="D23" s="169" t="n">
        <v>38</v>
      </c>
      <c r="E23" s="170" t="inlineStr">
        <is>
          <t>Proxima da fenda vulcanica ativa, territorio orc nas redondezas.</t>
        </is>
      </c>
      <c r="F23" s="169" t="n">
        <v>8</v>
      </c>
      <c r="G23" s="171">
        <f>ROUND(INDEX('Curva Mestra'!$F$20:$F$94,MATCH(33,'Curva Mestra'!$A$20:$A$94,0))*Economia!$B$5*$B$7,0)</f>
        <v/>
      </c>
      <c r="H23" s="119" t="n">
        <v>1</v>
      </c>
      <c r="I23" s="119" t="n">
        <v>1</v>
      </c>
      <c r="J23" s="170" t="inlineStr">
        <is>
          <t>Rocha Alta (a "Cidadela dos Forjadores")</t>
        </is>
      </c>
      <c r="K23" s="170" t="inlineStr">
        <is>
          <t>Fenda Vulcânica Ativa, Trono da Coroação Vazia, Refúgio do Observador, Acampamento de Guerra Orc, Trilha de Caça do Bando, Tenda de Guerra do Chefe, Trilha Esquecida dos Batedores</t>
        </is>
      </c>
      <c r="L23" s="170" t="inlineStr">
        <is>
          <t>Salamandra de Vidro, Zelote da Coroação Vazia, Guardiao da Fenda Ativa (Boss), O Arauto da Coroação Vazia (Boss), Orc Guerreiro, Lobo de Guerra Corrompido, Chefe do Bando Orc (Boss), O Guardião do Estandarte (Boss)</t>
        </is>
      </c>
      <c r="M23" s="272" t="inlineStr">
        <is>
          <t>Obsidiana Incandescente, Lingote de Ferro Órquico Refinado</t>
        </is>
      </c>
      <c r="N23" s="272" t="inlineStr">
        <is>
          <t>Conselho dos Mestres de Forja, Culto da Coroação Vazia, Bando Orc</t>
        </is>
      </c>
    </row>
    <row r="24" ht="23.25" customHeight="1" s="116">
      <c r="A24" s="167" t="inlineStr">
        <is>
          <t>Porto das Profundezas</t>
        </is>
      </c>
      <c r="B24" s="168" t="inlineStr">
        <is>
          <t>Mithril + Ebano</t>
        </is>
      </c>
      <c r="C24" s="169" t="n">
        <v>38</v>
      </c>
      <c r="D24" s="169" t="n">
        <v>48</v>
      </c>
      <c r="E24" s="170" t="inlineStr">
        <is>
          <t>Entrada para as cavernas profundas e a fenda vulcanica morta.</t>
        </is>
      </c>
      <c r="F24" s="169" t="n">
        <v>10</v>
      </c>
      <c r="G24" s="171">
        <f>ROUND(INDEX('Curva Mestra'!$F$20:$F$94,MATCH(43,'Curva Mestra'!$A$20:$A$94,0))*Economia!$B$5*$B$7,0)</f>
        <v/>
      </c>
      <c r="H24" s="119" t="n">
        <v>0.7</v>
      </c>
      <c r="I24" s="119" t="n">
        <v>1.2</v>
      </c>
      <c r="J24" s="170" t="inlineStr">
        <is>
          <t>Abismar (o "Porto das Profundezas")</t>
        </is>
      </c>
      <c r="K24" s="170" t="inlineStr">
        <is>
          <t>Lago Sem Sol, Profundezas de Mithril, Veio Profundo de Mithril, Abismo Guardado, Fenda Extinta, Câmara da Fusão, Núcleo do Amálgama</t>
        </is>
      </c>
      <c r="L24" s="170" t="inlineStr">
        <is>
          <t>Peixe-Abissal Corrompido, Marinheiro Assimilado, Elemental Guardiao das Profundezas (Boss), O Devorador de Mithril (Boss), Sombra Vulcanica, Aberracao dos Corpos Fundidos, Guardiao da Fenda Morta (Boss), O Amálgama Original (Boss)</t>
        </is>
      </c>
      <c r="M24" s="272" t="inlineStr">
        <is>
          <t>Núcleo de Cristal Elemental, Rocha Negra de Ébano</t>
        </is>
      </c>
      <c r="N24" s="272" t="inlineStr">
        <is>
          <t>Culto da Assimilação, Navegadores do Abismo</t>
        </is>
      </c>
    </row>
    <row r="25" ht="15" customHeight="1" s="116">
      <c r="A25" s="167" t="inlineStr">
        <is>
          <t>Bastiao Adamantino</t>
        </is>
      </c>
      <c r="B25" s="168" t="inlineStr">
        <is>
          <t>Adamantina + Osso de Dragao</t>
        </is>
      </c>
      <c r="C25" s="169" t="n">
        <v>48</v>
      </c>
      <c r="D25" s="169" t="n">
        <v>58</v>
      </c>
      <c r="E25" s="170" t="inlineStr">
        <is>
          <t>Fortaleza de elite, caçadores de dragao se reunem aqui.</t>
        </is>
      </c>
      <c r="F25" s="169" t="n">
        <v>12</v>
      </c>
      <c r="G25" s="171">
        <f>ROUND(INDEX('Curva Mestra'!$F$20:$F$94,MATCH(53,'Curva Mestra'!$A$20:$A$94,0))*Economia!$B$5*$B$7,0)</f>
        <v/>
      </c>
      <c r="H25" s="119" t="n">
        <v>0.8</v>
      </c>
      <c r="I25" s="119" t="n">
        <v>1.3</v>
      </c>
      <c r="J25" s="170" t="inlineStr">
        <is>
          <t>Alto Bastião (o "Bastião Adamantino")</t>
        </is>
      </c>
      <c r="K25" s="170" t="inlineStr">
        <is>
          <t>Forja dos Titãs, Templo da Heresia, Salão do Titã Caído, Ossuário Draconiano, Pântano da Peste, Trilha dos Caçadores, Ninho do Dragão Ancião</t>
        </is>
      </c>
      <c r="L25" s="170" t="inlineStr">
        <is>
          <t>Golem de Guerra, Devoto da Heresia, Tita de Adamantina (Boss), O Herói Caído (Boss), Wyrmling Selvagem, Serva da Peste Escarlate, Dragao Anciao (Boss), O Dragão da Peste Escarlate (Boss)</t>
        </is>
      </c>
      <c r="M25" s="272" t="inlineStr">
        <is>
          <t>Osso de Dragao Fragmentado, Veio Puro de Adamantina</t>
        </is>
      </c>
      <c r="N25" s="272" t="inlineStr">
        <is>
          <t>Ordem dos Cavaleiros do Dragão Decaído, Heresia do Titã Negro</t>
        </is>
      </c>
    </row>
    <row r="26" ht="15" customHeight="1" s="116">
      <c r="A26" s="167" t="inlineStr">
        <is>
          <t>Santuario Proibido</t>
        </is>
      </c>
      <c r="B26" s="168" t="inlineStr">
        <is>
          <t>Pacto Daedrico + Estelar/Cosmico</t>
        </is>
      </c>
      <c r="C26" s="169" t="n">
        <v>58</v>
      </c>
      <c r="D26" s="169" t="n">
        <v>75</v>
      </c>
      <c r="E26" s="170" t="inlineStr">
        <is>
          <t>Ultimo posto antes do desconhecido. Poucos retornam.</t>
        </is>
      </c>
      <c r="F26" s="169" t="n">
        <v>14</v>
      </c>
      <c r="G26" s="171">
        <f>ROUND(INDEX('Curva Mestra'!$F$20:$F$94,MATCH(65,'Curva Mestra'!$A$20:$A$94,0))*Economia!$B$5*$B$7,0)</f>
        <v/>
      </c>
      <c r="H26" s="119" t="n">
        <v>0.5</v>
      </c>
      <c r="I26" s="119" t="n">
        <v>1.5</v>
      </c>
      <c r="J26" s="170" t="inlineStr">
        <is>
          <t>O Limiar (o "Santuário Proibido")</t>
        </is>
      </c>
      <c r="K26" s="170" t="inlineStr">
        <is>
          <t>Círculo do Pacto, Altar do Pacto Selado, Fenda Estelar, O Coração da Fenda Estelar, Memória da Última Testemunha</t>
        </is>
      </c>
      <c r="L26" s="170" t="inlineStr">
        <is>
          <t>Cultista Daedrico, Horror Menor Invocado, Arauto Daedrico (Boss), O Arquivista Traidor (Boss), Fragmento Estelar Consciente, Vigia do Vazio, O Guardião do Portal Estelar (Boss), O Aspecto da Infecção (Entidade Cósmica final)</t>
        </is>
      </c>
      <c r="M26" s="272" t="inlineStr">
        <is>
          <t>Minério Estelar, Poeira de Quasar</t>
        </is>
      </c>
      <c r="N26" s="272" t="inlineStr">
        <is>
          <t>O Culto do Aspecto Supremo, Guardiões do Último Véu</t>
        </is>
      </c>
    </row>
    <row r="28" ht="15" customHeight="1" s="116">
      <c r="A28" s="115" t="inlineStr">
        <is>
          <t>Fórmula do Imposto Regional: Preço na cidade = Preço de Compra (Armas/Armaduras) x Disponibilidade x Estado Econômico. Ex: Santuário Proibido = Preço x 0,5 x 1,5 = Preço x 0,75 (mais caro que a média por escassez, apesar do fator de disponibilidade baixo puxar pra baixo). As colunas Multiplicador Final e Preço Ajustado (exemplo), à direita, mostram esse cálculo já pronto — usando o Preço de Compra (Comum) do tier-teto de cada cidade — como referência rápida do preço final praticado ali; para outros tiers e raridades, repita a mesma multiplicação com o preço correspondente.</t>
        </is>
      </c>
    </row>
    <row r="29" ht="15" customHeight="1" s="116">
      <c r="A29" s="172" t="inlineStr">
        <is>
          <t>Precos de Loja por Tier (Lendario nao vendido)</t>
        </is>
      </c>
    </row>
    <row r="30" ht="15" customHeight="1" s="116">
      <c r="A30" s="124" t="inlineStr">
        <is>
          <t>Tier</t>
        </is>
      </c>
      <c r="B30" s="124" t="inlineStr">
        <is>
          <t>Preco Compra (Comum)</t>
        </is>
      </c>
      <c r="C30" s="124" t="inlineStr">
        <is>
          <t>Preco Venda (Comum)</t>
        </is>
      </c>
      <c r="D30" s="124" t="inlineStr">
        <is>
          <t>Preco Compra (Raro)</t>
        </is>
      </c>
      <c r="E30" s="124" t="inlineStr">
        <is>
          <t>Preco Venda (Raro)</t>
        </is>
      </c>
    </row>
    <row r="31" ht="15" customHeight="1" s="116">
      <c r="A31" s="128" t="inlineStr">
        <is>
          <t>Sucata Enferrujada</t>
        </is>
      </c>
      <c r="B31" s="135">
        <f>ROUND(Economia!F14*$B$5,0)</f>
        <v/>
      </c>
      <c r="C31" s="135">
        <f>ROUND(Economia!F14*$B$6,0)</f>
        <v/>
      </c>
      <c r="D31" s="135">
        <f>ROUND(Economia!G14*$B$5,0)</f>
        <v/>
      </c>
      <c r="E31" s="135">
        <f>ROUND(Economia!G14*$B$6,0)</f>
        <v/>
      </c>
    </row>
    <row r="32" ht="15" customHeight="1" s="116">
      <c r="A32" s="128" t="inlineStr">
        <is>
          <t>Bronze</t>
        </is>
      </c>
      <c r="B32" s="135">
        <f>ROUND(Economia!F15*$B$5,0)</f>
        <v/>
      </c>
      <c r="C32" s="135">
        <f>ROUND(Economia!F15*$B$6,0)</f>
        <v/>
      </c>
      <c r="D32" s="135">
        <f>ROUND(Economia!G15*$B$5,0)</f>
        <v/>
      </c>
      <c r="E32" s="135">
        <f>ROUND(Economia!G15*$B$6,0)</f>
        <v/>
      </c>
    </row>
    <row r="33" ht="15" customHeight="1" s="116">
      <c r="A33" s="128" t="inlineStr">
        <is>
          <t>Ferro</t>
        </is>
      </c>
      <c r="B33" s="135">
        <f>ROUND(Economia!F16*$B$5,0)</f>
        <v/>
      </c>
      <c r="C33" s="135">
        <f>ROUND(Economia!F16*$B$6,0)</f>
        <v/>
      </c>
      <c r="D33" s="135">
        <f>ROUND(Economia!G16*$B$5,0)</f>
        <v/>
      </c>
      <c r="E33" s="135">
        <f>ROUND(Economia!G16*$B$6,0)</f>
        <v/>
      </c>
    </row>
    <row r="34" ht="15" customHeight="1" s="116">
      <c r="A34" s="128" t="inlineStr">
        <is>
          <t>Prata</t>
        </is>
      </c>
      <c r="B34" s="135">
        <f>ROUND(Economia!F17*$B$5,0)</f>
        <v/>
      </c>
      <c r="C34" s="135">
        <f>ROUND(Economia!F17*$B$6,0)</f>
        <v/>
      </c>
      <c r="D34" s="135">
        <f>ROUND(Economia!G17*$B$5,0)</f>
        <v/>
      </c>
      <c r="E34" s="135">
        <f>ROUND(Economia!G17*$B$6,0)</f>
        <v/>
      </c>
    </row>
    <row r="35" ht="15" customHeight="1" s="116">
      <c r="A35" s="128" t="inlineStr">
        <is>
          <t>Aco Elfico</t>
        </is>
      </c>
      <c r="B35" s="135">
        <f>ROUND(Economia!F18*$B$5,0)</f>
        <v/>
      </c>
      <c r="C35" s="135">
        <f>ROUND(Economia!F18*$B$6,0)</f>
        <v/>
      </c>
      <c r="D35" s="135">
        <f>ROUND(Economia!G18*$B$5,0)</f>
        <v/>
      </c>
      <c r="E35" s="135">
        <f>ROUND(Economia!G18*$B$6,0)</f>
        <v/>
      </c>
    </row>
    <row r="36" ht="15" customHeight="1" s="116">
      <c r="A36" s="128" t="inlineStr">
        <is>
          <t>Mecanismo Anao</t>
        </is>
      </c>
      <c r="B36" s="135">
        <f>ROUND(Economia!F19*$B$5,0)</f>
        <v/>
      </c>
      <c r="C36" s="135">
        <f>ROUND(Economia!F19*$B$6,0)</f>
        <v/>
      </c>
      <c r="D36" s="135">
        <f>ROUND(Economia!G19*$B$5,0)</f>
        <v/>
      </c>
      <c r="E36" s="135">
        <f>ROUND(Economia!G19*$B$6,0)</f>
        <v/>
      </c>
    </row>
    <row r="37" ht="15" customHeight="1" s="116">
      <c r="A37" s="128" t="inlineStr">
        <is>
          <t>Vidro Vulcanico</t>
        </is>
      </c>
      <c r="B37" s="135">
        <f>ROUND(Economia!F20*$B$5,0)</f>
        <v/>
      </c>
      <c r="C37" s="135">
        <f>ROUND(Economia!F20*$B$6,0)</f>
        <v/>
      </c>
      <c r="D37" s="135">
        <f>ROUND(Economia!G20*$B$5,0)</f>
        <v/>
      </c>
      <c r="E37" s="135">
        <f>ROUND(Economia!G20*$B$6,0)</f>
        <v/>
      </c>
    </row>
    <row r="38" ht="15" customHeight="1" s="116">
      <c r="A38" s="128" t="inlineStr">
        <is>
          <t>Ferro Orquico</t>
        </is>
      </c>
      <c r="B38" s="135">
        <f>ROUND(Economia!F21*$B$5,0)</f>
        <v/>
      </c>
      <c r="C38" s="135">
        <f>ROUND(Economia!F21*$B$6,0)</f>
        <v/>
      </c>
      <c r="D38" s="135">
        <f>ROUND(Economia!G21*$B$5,0)</f>
        <v/>
      </c>
      <c r="E38" s="135">
        <f>ROUND(Economia!G21*$B$6,0)</f>
        <v/>
      </c>
    </row>
    <row r="39" ht="15" customHeight="1" s="116">
      <c r="A39" s="128" t="inlineStr">
        <is>
          <t>Mithril</t>
        </is>
      </c>
      <c r="B39" s="135">
        <f>ROUND(Economia!F22*$B$5,0)</f>
        <v/>
      </c>
      <c r="C39" s="135">
        <f>ROUND(Economia!F22*$B$6,0)</f>
        <v/>
      </c>
      <c r="D39" s="135">
        <f>ROUND(Economia!G22*$B$5,0)</f>
        <v/>
      </c>
      <c r="E39" s="135">
        <f>ROUND(Economia!G22*$B$6,0)</f>
        <v/>
      </c>
    </row>
    <row r="40" ht="15" customHeight="1" s="116">
      <c r="A40" s="128" t="inlineStr">
        <is>
          <t>Ebano</t>
        </is>
      </c>
      <c r="B40" s="135">
        <f>ROUND(Economia!F23*$B$5,0)</f>
        <v/>
      </c>
      <c r="C40" s="135">
        <f>ROUND(Economia!F23*$B$6,0)</f>
        <v/>
      </c>
      <c r="D40" s="135">
        <f>ROUND(Economia!G23*$B$5,0)</f>
        <v/>
      </c>
      <c r="E40" s="135">
        <f>ROUND(Economia!G23*$B$6,0)</f>
        <v/>
      </c>
    </row>
    <row r="41" ht="15" customHeight="1" s="116">
      <c r="A41" s="128" t="inlineStr">
        <is>
          <t>Adamantina</t>
        </is>
      </c>
      <c r="B41" s="135">
        <f>ROUND(Economia!F24*$B$5,0)</f>
        <v/>
      </c>
      <c r="C41" s="135">
        <f>ROUND(Economia!F24*$B$6,0)</f>
        <v/>
      </c>
      <c r="D41" s="135">
        <f>ROUND(Economia!G24*$B$5,0)</f>
        <v/>
      </c>
      <c r="E41" s="135">
        <f>ROUND(Economia!G24*$B$6,0)</f>
        <v/>
      </c>
    </row>
    <row r="42" ht="15" customHeight="1" s="116">
      <c r="A42" s="128" t="inlineStr">
        <is>
          <t>Osso de Dragao</t>
        </is>
      </c>
      <c r="B42" s="135">
        <f>ROUND(Economia!F25*$B$5,0)</f>
        <v/>
      </c>
      <c r="C42" s="135">
        <f>ROUND(Economia!F25*$B$6,0)</f>
        <v/>
      </c>
      <c r="D42" s="135">
        <f>ROUND(Economia!G25*$B$5,0)</f>
        <v/>
      </c>
      <c r="E42" s="135">
        <f>ROUND(Economia!G25*$B$6,0)</f>
        <v/>
      </c>
    </row>
    <row r="43" ht="15" customHeight="1" s="116">
      <c r="A43" s="128" t="inlineStr">
        <is>
          <t>Pacto Daedrico</t>
        </is>
      </c>
      <c r="B43" s="135">
        <f>ROUND(Economia!F26*$B$5,0)</f>
        <v/>
      </c>
      <c r="C43" s="135">
        <f>ROUND(Economia!F26*$B$6,0)</f>
        <v/>
      </c>
      <c r="D43" s="135">
        <f>ROUND(Economia!G26*$B$5,0)</f>
        <v/>
      </c>
      <c r="E43" s="135">
        <f>ROUND(Economia!G26*$B$6,0)</f>
        <v/>
      </c>
    </row>
    <row r="44" ht="15" customHeight="1" s="116">
      <c r="A44" s="128" t="inlineStr">
        <is>
          <t>Estelar / Cosmico</t>
        </is>
      </c>
      <c r="B44" s="135">
        <f>ROUND(Economia!F27*$B$5,0)</f>
        <v/>
      </c>
      <c r="C44" s="135">
        <f>ROUND(Economia!F27*$B$6,0)</f>
        <v/>
      </c>
      <c r="D44" s="135">
        <f>ROUND(Economia!G27*$B$5,0)</f>
        <v/>
      </c>
      <c r="E44" s="135">
        <f>ROUND(Economia!G27*$B$6,0)</f>
        <v/>
      </c>
    </row>
    <row r="46" ht="15" customHeight="1" s="116">
      <c r="A46" s="119" t="inlineStr">
        <is>
          <t>NPCs Nomeados (missão, diálogo, segredo)</t>
        </is>
      </c>
    </row>
    <row r="47" ht="15" customHeight="1" s="116">
      <c r="A47" s="165" t="inlineStr">
        <is>
          <t>ID</t>
        </is>
      </c>
      <c r="B47" s="165" t="inlineStr">
        <is>
          <t>Nome</t>
        </is>
      </c>
      <c r="C47" s="165" t="inlineStr">
        <is>
          <t>Título/Ocupação</t>
        </is>
      </c>
      <c r="D47" s="165" t="inlineStr">
        <is>
          <t>Cidade</t>
        </is>
      </c>
      <c r="E47" s="165" t="inlineStr">
        <is>
          <t>Facção</t>
        </is>
      </c>
      <c r="F47" s="165" t="inlineStr">
        <is>
          <t>Serviços Oferecidos</t>
        </is>
      </c>
      <c r="G47" s="165" t="inlineStr">
        <is>
          <t>Missão &amp; Recompensa</t>
        </is>
      </c>
      <c r="H47" s="165" t="inlineStr">
        <is>
          <t>Segredo</t>
        </is>
      </c>
      <c r="I47" s="165" t="inlineStr">
        <is>
          <t>Citação</t>
        </is>
      </c>
    </row>
    <row r="48" ht="15" customHeight="1" s="116">
      <c r="A48" s="119" t="n">
        <v>1</v>
      </c>
      <c r="B48" s="119" t="inlineStr">
        <is>
          <t>Capitão Vane</t>
        </is>
      </c>
      <c r="C48" s="119" t="inlineStr">
        <is>
          <t>Líder da Milícia &amp; Ex-Guarda Real</t>
        </is>
      </c>
      <c r="D48" s="119" t="inlineStr">
        <is>
          <t>Vila Inicial</t>
        </is>
      </c>
      <c r="E48" s="119" t="inlineStr">
        <is>
          <t>A Milícia dos Desamparados</t>
        </is>
      </c>
      <c r="F48" s="119" t="inlineStr">
        <is>
          <t>Contratação de patrulhas e batedores; autorização de passagem segura</t>
        </is>
      </c>
      <c r="G48" s="119" t="inlineStr">
        <is>
          <t>Missão Principal: A Estrada Insegura. Também entrega: Latidos na Neblina, Caça II/III, O Desafio do Fanático, Dois Marcados, O Perdão do Recruta (e mais 9 secundárias).</t>
        </is>
      </c>
      <c r="H48" s="119" t="inlineStr">
        <is>
          <t>Desertou da guarda real após ver o massacre inicial causado pela Mão Carmesim na capital antiga</t>
        </is>
      </c>
      <c r="I48" s="119" t="inlineStr">
        <is>
          <t>"Se você tem dois braços firmes e ainda não ouviu as paredes sussurrarem, pegue uma espada e fique na estrada."</t>
        </is>
      </c>
    </row>
    <row r="49" ht="15" customHeight="1" s="116">
      <c r="A49" s="119" t="n">
        <v>2</v>
      </c>
      <c r="B49" s="119" t="inlineStr">
        <is>
          <t>Velha Martha</t>
        </is>
      </c>
      <c r="C49" s="119" t="inlineStr">
        <is>
          <t>Boticária &amp; Herbalista Rústica</t>
        </is>
      </c>
      <c r="D49" s="119" t="inlineStr">
        <is>
          <t>Vila Inicial</t>
        </is>
      </c>
      <c r="E49" s="119" t="inlineStr">
        <is>
          <t>Camponeses Locais</t>
        </is>
      </c>
      <c r="F49" s="119" t="inlineStr">
        <is>
          <t>Venda de poções básicas de cura, antídotos e pós de raízes secas</t>
        </is>
      </c>
      <c r="G49" s="119" t="inlineStr">
        <is>
          <t>Missão: O Chá da Velha Martha (escolta até a Estrada dos Bandidos).</t>
        </is>
      </c>
      <c r="H49" s="119" t="inlineStr">
        <is>
          <t>Seu filho desapareceu após seguir uma trilha de pegadas ensanguentadas até a floresta</t>
        </is>
      </c>
      <c r="I49" s="119" t="inlineStr">
        <is>
          <t>"O chá é amargo e queima a garganta, mas fecha o rasgo antes que você sangre até virar comida de bicho."</t>
        </is>
      </c>
    </row>
    <row r="50" ht="15" customHeight="1" s="116">
      <c r="A50" s="119" t="n">
        <v>3</v>
      </c>
      <c r="B50" s="119" t="inlineStr">
        <is>
          <t>Gorim o Caolho</t>
        </is>
      </c>
      <c r="C50" s="119" t="inlineStr">
        <is>
          <t>Ferreiro de Sucata e Bronze</t>
        </is>
      </c>
      <c r="D50" s="119" t="inlineStr">
        <is>
          <t>Vila Inicial</t>
        </is>
      </c>
      <c r="E50" s="119" t="inlineStr">
        <is>
          <t>Ferreiros Independentes</t>
        </is>
      </c>
      <c r="F50" s="119" t="inlineStr">
        <is>
          <t>Forja e reparo de armas de sucata; compra de metais velhos</t>
        </is>
      </c>
      <c r="G50" s="119" t="inlineStr">
        <is>
          <t>Missão: A Colheita de Sucata I/II/III, Forjando o Amuleto do Uivo, Ferro Pros Ferreiros.</t>
        </is>
      </c>
      <c r="H50" s="119" t="inlineStr">
        <is>
          <t>Perdeu o olho esquerdo quando uma bigorna estilhaçou durante o primeiro tremor da fenda</t>
        </is>
      </c>
      <c r="I50" s="119" t="inlineStr">
        <is>
          <t>"Não me venha com frescura de lâmina brilhante. Aqui o ferro é velho, mas quebra crânio igual."</t>
        </is>
      </c>
    </row>
    <row r="51" ht="15" customHeight="1" s="116">
      <c r="A51" s="119" t="n">
        <v>4</v>
      </c>
      <c r="B51" s="119" t="inlineStr">
        <is>
          <t>Irmão Lucian</t>
        </is>
      </c>
      <c r="C51" s="119" t="inlineStr">
        <is>
          <t>Monge Penitente &amp; Curandeiro</t>
        </is>
      </c>
      <c r="D51" s="119" t="inlineStr">
        <is>
          <t>Vila Inicial</t>
        </is>
      </c>
      <c r="E51" s="119" t="inlineStr">
        <is>
          <t>Ordem da Prata Velha</t>
        </is>
      </c>
      <c r="F51" s="119" t="inlineStr">
        <is>
          <t>Tratamento de ferimentos necróticos e bênçãos menores de proteção</t>
        </is>
      </c>
      <c r="G51" s="119" t="inlineStr">
        <is>
          <t>Missão: As Portas Marcadas (investigar o culto).</t>
        </is>
      </c>
      <c r="H51" s="119" t="inlineStr">
        <is>
          <t>Mantém um diário secreto onde copia os símbolos que os cultistas desenham nas portas</t>
        </is>
      </c>
      <c r="I51" s="119" t="inlineStr">
        <is>
          <t>"A oração não fecha ferida aberta, viajante. Mas dá coragem pra não gritar enquanto eu queimo a infecção."</t>
        </is>
      </c>
    </row>
    <row r="52" ht="15" customHeight="1" s="116">
      <c r="A52" s="119" t="n">
        <v>5</v>
      </c>
      <c r="B52" s="119" t="inlineStr">
        <is>
          <t>Jarek o Carroceiro</t>
        </is>
      </c>
      <c r="C52" s="119" t="inlineStr">
        <is>
          <t>Transportador &amp; Guia de Viagem</t>
        </is>
      </c>
      <c r="D52" s="119" t="inlineStr">
        <is>
          <t>Vila Inicial</t>
        </is>
      </c>
      <c r="E52" s="119" t="inlineStr">
        <is>
          <t>Guilda dos Mercadores</t>
        </is>
      </c>
      <c r="F52" s="119" t="inlineStr">
        <is>
          <t>Transporte de cargas pesadas e passagens rápidas entre vilas</t>
        </is>
      </c>
      <c r="G52" s="119" t="inlineStr">
        <is>
          <t>Missão: O Baú do Salteador Afogado (recuperar carga perdida no rio).</t>
        </is>
      </c>
      <c r="H52" s="119" t="inlineStr">
        <is>
          <t>Já transportou passageiros que se transformaram em aberrações no meio da viagem</t>
        </is>
      </c>
      <c r="I52" s="119" t="inlineStr">
        <is>
          <t>"Se a noite cair antes de passarmos pelo vale, não olhe para os lados e mantenha a tocha acesa."</t>
        </is>
      </c>
    </row>
    <row r="53" ht="15" customHeight="1" s="116">
      <c r="A53" s="119" t="n">
        <v>6</v>
      </c>
      <c r="B53" s="119" t="inlineStr">
        <is>
          <t>Barão Aldous Grimm</t>
        </is>
      </c>
      <c r="C53" s="119" t="inlineStr">
        <is>
          <t>Nobre Minerador &amp; Senhor de Terras</t>
        </is>
      </c>
      <c r="D53" s="119" t="inlineStr">
        <is>
          <t>Posto dos Mineiros</t>
        </is>
      </c>
      <c r="E53" s="119" t="inlineStr">
        <is>
          <t>A Guilda dos Picaretas Negros</t>
        </is>
      </c>
      <c r="F53" s="119" t="inlineStr">
        <is>
          <t>Contratação de mercenários para exploração de galerias profundas</t>
        </is>
      </c>
      <c r="G53" s="119" t="inlineStr">
        <is>
          <t>Antagonista da Missão Principal "A Mina Sufocada" (Tier 2) — ele é o Boss corrompido a ser derrotado, não dá missão.</t>
        </is>
      </c>
      <c r="H53" s="119" t="inlineStr">
        <is>
          <t>Sabe que as minas profundas tocam a entrada das criptas, mas esconde dos mineiros por lucro</t>
        </is>
      </c>
      <c r="I53" s="119" t="inlineStr">
        <is>
          <t>"Cada dia que as picaretas ficam paradas é ouro que o solo me rouba. Limpem os monstros e voltem a cavar."</t>
        </is>
      </c>
    </row>
    <row r="54" ht="15" customHeight="1" s="116">
      <c r="A54" s="119" t="n">
        <v>7</v>
      </c>
      <c r="B54" s="119" t="inlineStr">
        <is>
          <t>Mestre Bran</t>
        </is>
      </c>
      <c r="C54" s="119" t="inlineStr">
        <is>
          <t>Ferreiro de Ferro Negro &amp; Armeiro</t>
        </is>
      </c>
      <c r="D54" s="119" t="inlineStr">
        <is>
          <t>Posto dos Mineiros</t>
        </is>
      </c>
      <c r="E54" s="119" t="inlineStr">
        <is>
          <t>Guilda dos Picaretas Negros</t>
        </is>
      </c>
      <c r="F54" s="119" t="inlineStr">
        <is>
          <t>Forja de armas de ferro negro e armaduras de placas laminadas</t>
        </is>
      </c>
      <c r="G54" s="119" t="inlineStr">
        <is>
          <t>Entrega a Missão Principal "O Golem da Forja" (Tier 3). Também: O Segredo do Executor, Zelotes na Ruína, Ossos na Muralha, Ferro Pra Bran (e mais 2).</t>
        </is>
      </c>
      <c r="H54" s="119" t="inlineStr">
        <is>
          <t>Forjou a armadura do antigo capitão que hoje assombra as ruínas da forja</t>
        </is>
      </c>
      <c r="I54" s="119" t="inlineStr">
        <is>
          <t>"O ferro deste vale é pesado como chumbo. Se você não tem ombro para segurar o peitoral, nem tente."</t>
        </is>
      </c>
    </row>
    <row r="55" ht="15" customHeight="1" s="116">
      <c r="A55" s="119" t="n">
        <v>8</v>
      </c>
      <c r="B55" s="119" t="inlineStr">
        <is>
          <t>Irmã Valéria dos Sem-Voz</t>
        </is>
      </c>
      <c r="C55" s="119" t="inlineStr">
        <is>
          <t>Sacerdotisa de Prata &amp; Cirurgiã</t>
        </is>
      </c>
      <c r="D55" s="119" t="inlineStr">
        <is>
          <t>Posto dos Mineiros</t>
        </is>
      </c>
      <c r="E55" s="119" t="inlineStr">
        <is>
          <t>Fraternidade da Prata Pura</t>
        </is>
      </c>
      <c r="F55" s="119" t="inlineStr">
        <is>
          <t>Execução do Banho de Prata Sagrada (reduz 15 de Corrupção); venda de poções de cura maior</t>
        </is>
      </c>
      <c r="G55" s="119" t="inlineStr">
        <is>
          <t>Entrega a Missão Principal "O Expurgo da Cripta" (Tier 4). Também: As Vozes Que Não Calam, O Voto de Valéria, A Irmã Traidora (e mais 6).</t>
        </is>
      </c>
      <c r="H55" s="119" t="inlineStr">
        <is>
          <t>Cortou a própria voz em voto solene para resistir ao sussurro do Ceifador</t>
        </is>
      </c>
      <c r="I55" s="119" t="inlineStr">
        <is>
          <t>"O gesto de suas mãos fala de misericórdia, mas seus olhos revelam o terror do que viu nas criptas."</t>
        </is>
      </c>
    </row>
    <row r="56" ht="15" customHeight="1" s="116">
      <c r="A56" s="119" t="n">
        <v>9</v>
      </c>
      <c r="B56" s="119" t="inlineStr">
        <is>
          <t>Kaelen o Rastejador</t>
        </is>
      </c>
      <c r="C56" s="119" t="inlineStr">
        <is>
          <t>Batedor de Túneis &amp; Ex-Mineiro</t>
        </is>
      </c>
      <c r="D56" s="119" t="inlineStr">
        <is>
          <t>Posto dos Mineiros</t>
        </is>
      </c>
      <c r="E56" s="119" t="inlineStr">
        <is>
          <t>Independentes</t>
        </is>
      </c>
      <c r="F56" s="119" t="inlineStr">
        <is>
          <t>Venda de mapas subterrâneos de criptas e atalhos de fuga</t>
        </is>
      </c>
      <c r="G56" s="119" t="inlineStr">
        <is>
          <t>Missão: O Cofre do Capitão, A Ferrugem Que Come Ferro, O Espírito Preso no Veio (e mais 3).</t>
        </is>
      </c>
      <c r="H56" s="119" t="inlineStr">
        <is>
          <t>Sobreviveu 3 semanas preso nas criptas alimentando-se apenas de musgo e fungos bioluminescentes</t>
        </is>
      </c>
      <c r="I56" s="119" t="inlineStr">
        <is>
          <t>"Se você ouvir passos que não têm som de bota, não acenda a tocha. Apenas reze para que não seja ele."</t>
        </is>
      </c>
    </row>
    <row r="57" ht="15" customHeight="1" s="116">
      <c r="A57" s="119" t="n">
        <v>10</v>
      </c>
      <c r="B57" s="119" t="inlineStr">
        <is>
          <t>Doran o Mascate de Penhores</t>
        </is>
      </c>
      <c r="C57" s="119" t="inlineStr">
        <is>
          <t>Comerciante do Mercado Negro</t>
        </is>
      </c>
      <c r="D57" s="119" t="inlineStr">
        <is>
          <t>Posto dos Mineiros</t>
        </is>
      </c>
      <c r="E57" s="119" t="inlineStr">
        <is>
          <t>Contrabandistas do Abismo</t>
        </is>
      </c>
      <c r="F57" s="119" t="inlineStr">
        <is>
          <t>Compra de relíquias roubadas de tumbas e venda de artefatos de procedência duvidosa</t>
        </is>
      </c>
      <c r="G57" s="119" t="inlineStr">
        <is>
          <t>Missão: Relíquias Sem Dono, O Relicário Perdido, Sudários Intactos.</t>
        </is>
      </c>
      <c r="H57" s="119" t="inlineStr">
        <is>
          <t>Tem acordos secretos com bandidos de estrada para revender saques de viajantes mortos</t>
        </is>
      </c>
      <c r="I57" s="119" t="inlineStr">
        <is>
          <t>"Tudo neste mundo tem um preço, amigo. Até aquilo que os mortos juraram levar para a cova."</t>
        </is>
      </c>
    </row>
    <row r="58" ht="15" customHeight="1" s="116">
      <c r="A58" s="119" t="n">
        <v>11</v>
      </c>
      <c r="B58" s="119" t="inlineStr">
        <is>
          <t>Grã-Senhora Elysea</t>
        </is>
      </c>
      <c r="C58" s="119" t="inlineStr">
        <is>
          <t>Regente Élfica da Vigília</t>
        </is>
      </c>
      <c r="D58" s="119" t="inlineStr">
        <is>
          <t>Entreposto Élfico</t>
        </is>
      </c>
      <c r="E58" s="119" t="inlineStr">
        <is>
          <t>A Vigília das Folhas de Prata</t>
        </is>
      </c>
      <c r="F58" s="119" t="inlineStr">
        <is>
          <t>Autorização para cruzar os bosques sagrados; bênçãos de agilidade</t>
        </is>
      </c>
      <c r="G58" s="119" t="inlineStr">
        <is>
          <t>Entrega a Missão Principal "Ecos da Última Elfa" (Tier 5). Também: Sentinelas Erradas, Aço Pra Elysea, A Última do Clã (e mais 3).</t>
        </is>
      </c>
      <c r="H58" s="119" t="inlineStr">
        <is>
          <t>É a última herdeira viva da linhagem que governava o continente antes da Grande Ruptura</t>
        </is>
      </c>
      <c r="I58" s="119" t="inlineStr">
        <is>
          <t>"O tempo para nós corre como rio manso; mas até nossos carvalhos mais velhos estão morrendo de medo."</t>
        </is>
      </c>
    </row>
    <row r="59" ht="15" customHeight="1" s="116">
      <c r="A59" s="119" t="n">
        <v>12</v>
      </c>
      <c r="B59" s="119" t="inlineStr">
        <is>
          <t>Thrum o Engenheiro Renegado</t>
        </is>
      </c>
      <c r="C59" s="119" t="inlineStr">
        <is>
          <t>Mestre Forjador Anão &amp; Inventor</t>
        </is>
      </c>
      <c r="D59" s="119" t="inlineStr">
        <is>
          <t>Entreposto Élfico</t>
        </is>
      </c>
      <c r="E59" s="119" t="inlineStr">
        <is>
          <t>Clã Martelo de Vapor</t>
        </is>
      </c>
      <c r="F59" s="119" t="inlineStr">
        <is>
          <t>Forja de armas de mecanismo anão, reparo de autômatos e venda de armadilhas</t>
        </is>
      </c>
      <c r="G59" s="119" t="inlineStr">
        <is>
          <t>Entrega a Missão Principal "O Núcleo Silencioso" (Tier 6). Também dá 13 outras secundárias — o NPC mais ativo da região.</t>
        </is>
      </c>
      <c r="H59" s="119" t="inlineStr">
        <is>
          <t>Foi banido de sua fortaleza subterrânea por insistir em construir armas usando carne e engrenagens</t>
        </is>
      </c>
      <c r="I59" s="119" t="inlineStr">
        <is>
          <t>"Os elfos choram pelas árvores; eu choro pelas máquinas que construímos e que esqueceram como parar."</t>
        </is>
      </c>
    </row>
    <row r="60" ht="15" customHeight="1" s="116">
      <c r="A60" s="119" t="n">
        <v>13</v>
      </c>
      <c r="B60" s="119" t="inlineStr">
        <is>
          <t>Lyra das Folhas Cantantes</t>
        </is>
      </c>
      <c r="C60" s="119" t="inlineStr">
        <is>
          <t>Alquimista Nobre &amp; Botânica</t>
        </is>
      </c>
      <c r="D60" s="119" t="inlineStr">
        <is>
          <t>Entreposto Élfico</t>
        </is>
      </c>
      <c r="E60" s="119" t="inlineStr">
        <is>
          <t>A Vigília das Folhas de Prata</t>
        </is>
      </c>
      <c r="F60" s="119" t="inlineStr">
        <is>
          <t>Venda de elixires de regeneração de mana e pós de invisibilidade</t>
        </is>
      </c>
      <c r="G60" s="119" t="inlineStr">
        <is>
          <t>Missão: As Sementes da Árvore-Mãe, O Caçador de Conjuradores, A Seiva Que Se Espalha (e mais 1).</t>
        </is>
      </c>
      <c r="H60" s="119" t="inlineStr">
        <is>
          <t>Perdeu a habilidade de conjurar magias após ser emboscada por um Inquisidor do Silêncio</t>
        </is>
      </c>
      <c r="I60" s="119" t="inlineStr">
        <is>
          <t>"Se você colher a folha com brutalidade, ela sangra cinza. Trate a floresta com respeito e ela curará sua carne."</t>
        </is>
      </c>
    </row>
    <row r="61" ht="15" customHeight="1" s="116">
      <c r="A61" s="119" t="n">
        <v>14</v>
      </c>
      <c r="B61" s="119" t="inlineStr">
        <is>
          <t>Silas o Rastreador Noturno</t>
        </is>
      </c>
      <c r="C61" s="119" t="inlineStr">
        <is>
          <t>Caçador de Cultistas &amp; Batedor</t>
        </is>
      </c>
      <c r="D61" s="119" t="inlineStr">
        <is>
          <t>Entreposto Élfico</t>
        </is>
      </c>
      <c r="E61" s="119" t="inlineStr">
        <is>
          <t>Independentes</t>
        </is>
      </c>
      <c r="F61" s="119" t="inlineStr">
        <is>
          <t>Guiamento por dungeons anãs e detecção de passagens secretas</t>
        </is>
      </c>
      <c r="G61" s="119" t="inlineStr">
        <is>
          <t>Missão: O Luto de Silas.</t>
        </is>
      </c>
      <c r="H61" s="119" t="inlineStr">
        <is>
          <t>Teve seus familiares assassinados por cultistas da Fraternidade dos Sem-Voz</t>
        </is>
      </c>
      <c r="I61" s="119" t="inlineStr">
        <is>
          <t>"Eles atacam sem fazer barulho. O segredo é atingi-los antes que eles percebam que você tem batimentos cardíacos."</t>
        </is>
      </c>
    </row>
    <row r="62" ht="15" customHeight="1" s="116">
      <c r="A62" s="119" t="n">
        <v>15</v>
      </c>
      <c r="B62" s="119" t="inlineStr">
        <is>
          <t>Mestre Oron o Arquivista</t>
        </is>
      </c>
      <c r="C62" s="119" t="inlineStr">
        <is>
          <t>Encantador &amp; Decifrador de Runas</t>
        </is>
      </c>
      <c r="D62" s="119" t="inlineStr">
        <is>
          <t>Entreposto Élfico</t>
        </is>
      </c>
      <c r="E62" s="119" t="inlineStr">
        <is>
          <t>Academia dos Ecos</t>
        </is>
      </c>
      <c r="F62" s="119" t="inlineStr">
        <is>
          <t>Identificação de itens raros e desativação de maldições menores em armas</t>
        </is>
      </c>
      <c r="G62" s="119" t="inlineStr">
        <is>
          <t>Missão: As Runas do Guardião, Ecos Que Atacam, A Última Canção Perdida.</t>
        </is>
      </c>
      <c r="H62" s="119" t="inlineStr">
        <is>
          <t>Sabe que a Infecção não é um monstro, mas um ciclo que ocorre a cada mil anos</t>
        </is>
      </c>
      <c r="I62" s="119" t="inlineStr">
        <is>
          <t>"As pedras não mentem, viajante. Elas apenas guardam o que a memória dos homens foi covarde demais para lembrar."</t>
        </is>
      </c>
    </row>
    <row r="63" ht="15" customHeight="1" s="116">
      <c r="A63" s="119" t="n">
        <v>16</v>
      </c>
      <c r="B63" s="119" t="inlineStr">
        <is>
          <t>Alto Forjador Kaelen</t>
        </is>
      </c>
      <c r="C63" s="119" t="inlineStr">
        <is>
          <t>Grão-Mestre da Forja Vulcânica</t>
        </is>
      </c>
      <c r="D63" s="119" t="inlineStr">
        <is>
          <t>Cidadela dos Forjadores</t>
        </is>
      </c>
      <c r="E63" s="119" t="inlineStr">
        <is>
          <t>O Conselho dos Mestres de Forja</t>
        </is>
      </c>
      <c r="F63" s="119" t="inlineStr">
        <is>
          <t>Forja de armas de vidro vulcânico e tempera de ligas em magma puro</t>
        </is>
      </c>
      <c r="G63" s="119" t="inlineStr">
        <is>
          <t>Entrega a Missão Principal "O Guardião da Fenda Ativa" (Tier 7). Ainda sem secundária própria — só a Principal por enquanto.</t>
        </is>
      </c>
      <c r="H63" s="119" t="inlineStr">
        <is>
          <t>Teve os braços queimados em magma para provar sua resistência antes de assumir o Conselho</t>
        </is>
      </c>
      <c r="I63" s="119" t="inlineStr">
        <is>
          <t>"O fogo não perdoa impureza. Se a sua lâmina quebrar na primeira batalha, a culpa foi do ferreiro frouxo."</t>
        </is>
      </c>
    </row>
    <row r="64" ht="15" customHeight="1" s="116">
      <c r="A64" s="119" t="n">
        <v>17</v>
      </c>
      <c r="B64" s="119" t="inlineStr">
        <is>
          <t>Malkor o Renegado Orc</t>
        </is>
      </c>
      <c r="C64" s="119" t="inlineStr">
        <is>
          <t>Mestre de Armas &amp; Ex-Campeão do Bando</t>
        </is>
      </c>
      <c r="D64" s="119" t="inlineStr">
        <is>
          <t>Cidadela dos Forjadores</t>
        </is>
      </c>
      <c r="E64" s="119" t="inlineStr">
        <is>
          <t>Bando Rebelde de Ferro</t>
        </is>
      </c>
      <c r="F64" s="119" t="inlineStr">
        <is>
          <t>Treinamento de combate pesado com machados de duas mãos e manoplas</t>
        </is>
      </c>
      <c r="G64" s="119" t="inlineStr">
        <is>
          <t>Entrega a Missão Principal "A Guerra do Bando Orc" (Tier 8). Também: O Voto de Malkor, O Recruta Marcado, Trégua ou Extermínio (e mais 5).</t>
        </is>
      </c>
      <c r="H64" s="119" t="inlineStr">
        <is>
          <t>Desertou do bando após o chefe aceitar o sangue da Mão Carmesim para ganhar força artificial</t>
        </is>
      </c>
      <c r="I64" s="119" t="inlineStr">
        <is>
          <t>"Orc luta por terra e carne. Quem vende o bando para demônio sem corpo não merece morrer com espada na mão."</t>
        </is>
      </c>
    </row>
    <row r="65" ht="15" customHeight="1" s="116">
      <c r="A65" s="119" t="n">
        <v>18</v>
      </c>
      <c r="B65" s="119" t="inlineStr">
        <is>
          <t>Zafira dos Alambiques Ardentes</t>
        </is>
      </c>
      <c r="C65" s="119" t="inlineStr">
        <is>
          <t>Alquimista Magmática &amp; Piromante</t>
        </is>
      </c>
      <c r="D65" s="119" t="inlineStr">
        <is>
          <t>Cidadela dos Forjadores</t>
        </is>
      </c>
      <c r="E65" s="119" t="inlineStr">
        <is>
          <t>Mestres de Forja</t>
        </is>
      </c>
      <c r="F65" s="119" t="inlineStr">
        <is>
          <t>Venda de poções de fúria berserker, óleos flamejantes e tônicos de resistência a fogo</t>
        </is>
      </c>
      <c r="G65" s="119" t="inlineStr">
        <is>
          <t>Missão: Salamandras na Forja, Vidro Pra Forja, Larvas na Lava, Obsidiana Pra Zafira (e mais 3).</t>
        </is>
      </c>
      <c r="H65" s="119" t="inlineStr">
        <is>
          <t>Mantém um elemental de cinzas aprisionado em sua fornalha para alimentar seus caldeirões</t>
        </is>
      </c>
      <c r="I65" s="119" t="inlineStr">
        <is>
          <t>"Minhas poções ardem mais que ferro quente no estômago, mas duplicam a força do seu braço por três turnos."</t>
        </is>
      </c>
    </row>
    <row r="66" ht="15" customHeight="1" s="116">
      <c r="A66" s="119" t="n">
        <v>19</v>
      </c>
      <c r="B66" s="119" t="inlineStr">
        <is>
          <t>Inquisidor Tobias do Olho Ardente</t>
        </is>
      </c>
      <c r="C66" s="119" t="inlineStr">
        <is>
          <t>Caçador de Hereges &amp; Comandante</t>
        </is>
      </c>
      <c r="D66" s="119" t="inlineStr">
        <is>
          <t>Cidadela dos Forjadores</t>
        </is>
      </c>
      <c r="E66" s="119" t="inlineStr">
        <is>
          <t>Ordem do Sol Ardente</t>
        </is>
      </c>
      <c r="F66" s="119" t="inlineStr">
        <is>
          <t>Contratação de incursões contra templos do culto da Mão</t>
        </is>
      </c>
      <c r="G66" s="119" t="inlineStr">
        <is>
          <t>Missão: A Espada de Obsidiana Queimada, O Sacrifício de Tobias, A Coroação sem Rei (e mais 4).</t>
        </is>
      </c>
      <c r="H66" s="119" t="inlineStr">
        <is>
          <t>Perdeu a família em um sacrifício público conduzido pelos Zelotes da Mão Escarlate</t>
        </is>
      </c>
      <c r="I66" s="119" t="inlineStr">
        <is>
          <t>"Eles querem coroar um rei sem corpo. Eu vou garantir que todos eles fiquem sem cabeça antes da cerimônia."</t>
        </is>
      </c>
    </row>
    <row r="67" ht="15" customHeight="1" s="116">
      <c r="A67" s="119" t="n">
        <v>20</v>
      </c>
      <c r="B67" s="119" t="inlineStr">
        <is>
          <t>Grom o Intendente de Guerra</t>
        </is>
      </c>
      <c r="C67" s="119" t="inlineStr">
        <is>
          <t>Comerciante de Suprimentos &amp; Mercenário</t>
        </is>
      </c>
      <c r="D67" s="119" t="inlineStr">
        <is>
          <t>Cidadela dos Forjadores</t>
        </is>
      </c>
      <c r="E67" s="119" t="inlineStr">
        <is>
          <t>Mercenários da Fenda</t>
        </is>
      </c>
      <c r="F67" s="119" t="inlineStr">
        <is>
          <t>Venda de picaretas térmicas, cordas reforçadas e rações desidratadas de combate</t>
        </is>
      </c>
      <c r="G67" s="119" t="inlineStr">
        <is>
          <t>Missão: Lobos na Neblina, Ferro Pra Grom, O Estandarte Despedaçado (e mais 3).</t>
        </is>
      </c>
      <c r="H67" s="119" t="inlineStr">
        <is>
          <t>Enche os bolsos cobrando taxas abusivas de aventureiros desesperados por água pura na fenda</t>
        </is>
      </c>
      <c r="I67" s="119" t="inlineStr">
        <is>
          <t>"Se quiser sobreviver lá fora, pague o preço do cantil reforçado. No meio da lava, ouro não mata a sede de ninguém."</t>
        </is>
      </c>
    </row>
    <row r="68" ht="15" customHeight="1" s="116">
      <c r="A68" s="119" t="n">
        <v>21</v>
      </c>
      <c r="B68" s="119" t="inlineStr">
        <is>
          <t>Almirante Cego Malakor</t>
        </is>
      </c>
      <c r="C68" s="119" t="inlineStr">
        <is>
          <t>Líder dos Navegadores do Abismo</t>
        </is>
      </c>
      <c r="D68" s="119" t="inlineStr">
        <is>
          <t>Porto das Profundezas</t>
        </is>
      </c>
      <c r="E68" s="119" t="inlineStr">
        <is>
          <t>Os Navegadores do Abismo</t>
        </is>
      </c>
      <c r="F68" s="119" t="inlineStr">
        <is>
          <t>Passagens fluviais através de rios subterrâneos e cavernas profundas</t>
        </is>
      </c>
      <c r="G68" s="119" t="inlineStr">
        <is>
          <t>Entrega a Missão Principal "Nas Profundezas de Mithril" (Tier 9). Também: Ecos no Escuro, O Devorador de Mithril, Cardumes Corrompidos (e mais 3).</t>
        </is>
      </c>
      <c r="H68" s="119" t="inlineStr">
        <is>
          <t>Arrancou os próprios olhos para não enlouquecer ao fitar as criaturas que habitam o fundo do mar sem sol</t>
        </is>
      </c>
      <c r="I68" s="119" t="inlineStr">
        <is>
          <t>"A água deste abismo não faz barulho de onda; ela respira como pulmão gigante esperando a gente cair."</t>
        </is>
      </c>
    </row>
    <row r="69" ht="15" customHeight="1" s="116">
      <c r="A69" s="119" t="n">
        <v>22</v>
      </c>
      <c r="B69" s="119" t="inlineStr">
        <is>
          <t>Mestra Vespera da Forja Negra</t>
        </is>
      </c>
      <c r="C69" s="119" t="inlineStr">
        <is>
          <t>Forjadora de Ébano &amp; Armeira Noturna</t>
        </is>
      </c>
      <c r="D69" s="119" t="inlineStr">
        <is>
          <t>Porto das Profundezas</t>
        </is>
      </c>
      <c r="E69" s="119" t="inlineStr">
        <is>
          <t>Navegadores do Abismo</t>
        </is>
      </c>
      <c r="F69" s="119" t="inlineStr">
        <is>
          <t>Forja de armas de mithril e armaduras de placas de ébano puro</t>
        </is>
      </c>
      <c r="G69" s="119" t="inlineStr">
        <is>
          <t>Entrega a Missão Principal "O Guardião da Fenda Morta" (Tier 10). Também dá 10 outras secundárias — a NPC mais ativa da região.</t>
        </is>
      </c>
      <c r="H69" s="119" t="inlineStr">
        <is>
          <t>Utiliza poeira de sombra para temperar o metal garantindo lâminas que não refletem luz</t>
        </is>
      </c>
      <c r="I69" s="119" t="inlineStr">
        <is>
          <t>"A luz é o erro dos tolos. Uma boa armadura deve se fundir à escuridão até que seja tarde demais para o inimigo."</t>
        </is>
      </c>
    </row>
    <row r="70" ht="15" customHeight="1" s="116">
      <c r="A70" s="119" t="n">
        <v>23</v>
      </c>
      <c r="B70" s="119" t="inlineStr">
        <is>
          <t>Dr. Corvus o Cirurgião da Fenda</t>
        </is>
      </c>
      <c r="C70" s="119" t="inlineStr">
        <is>
          <t>Alquimista &amp; Anatomista de Monstros</t>
        </is>
      </c>
      <c r="D70" s="119" t="inlineStr">
        <is>
          <t>Porto das Profundezas</t>
        </is>
      </c>
      <c r="E70" s="119" t="inlineStr">
        <is>
          <t>Eruditos do Abismo</t>
        </is>
      </c>
      <c r="F70" s="119" t="inlineStr">
        <is>
          <t>Extração de órgãos de aberrações; cirurgias de remoção de corrupção da carne</t>
        </is>
      </c>
      <c r="G70" s="119" t="inlineStr">
        <is>
          <t>Missão: As Amostras do Dr. Corvus, O Legado de Corvus, Esporos da Cinza, Carne Pra Pesquisa.</t>
        </is>
      </c>
      <c r="H70" s="119" t="inlineStr">
        <is>
          <t>Mantém partes vivas de monstros em potes de formol tentando entender como a Infecção assimila tecidos</t>
        </is>
      </c>
      <c r="I70" s="119" t="inlineStr">
        <is>
          <t>"A carne é maleável demais, meu caro. A Mão sabe disso; ela apenas molda o que nós fomos fracos para proteger."</t>
        </is>
      </c>
    </row>
    <row r="71" ht="15" customHeight="1" s="116">
      <c r="A71" s="119" t="n">
        <v>24</v>
      </c>
      <c r="B71" s="119" t="inlineStr">
        <is>
          <t>Nadia das Marés Negras</t>
        </is>
      </c>
      <c r="C71" s="119" t="inlineStr">
        <is>
          <t>Mergulhadora de Cavernas &amp; Batedora</t>
        </is>
      </c>
      <c r="D71" s="119" t="inlineStr">
        <is>
          <t>Porto das Profundezas</t>
        </is>
      </c>
      <c r="E71" s="119" t="inlineStr">
        <is>
          <t>Independentes</t>
        </is>
      </c>
      <c r="F71" s="119" t="inlineStr">
        <is>
          <t>Guiamento por lagos sem sol e coleta de ingredientes aquáticos raros</t>
        </is>
      </c>
      <c r="G71" s="119" t="inlineStr">
        <is>
          <t>Missão: A Flor do Abismo Profundo, O Coração de Mithril Resfriado, Golens à Deriva (e mais 3).</t>
        </is>
      </c>
      <c r="H71" s="119" t="inlineStr">
        <is>
          <t>Teve a perna direita substituída por uma prótese de mithril após ataque de morcego gigante</t>
        </is>
      </c>
      <c r="I71" s="119" t="inlineStr">
        <is>
          <t>"O fundo do lago é calmo até você acender a luz. Não aponte a lanterna para baixo se não quiser companhia."</t>
        </is>
      </c>
    </row>
    <row r="72" ht="15" customHeight="1" s="116">
      <c r="A72" s="119" t="n">
        <v>25</v>
      </c>
      <c r="B72" s="119" t="inlineStr">
        <is>
          <t>O Prisioneiro do Farol de Cristal</t>
        </is>
      </c>
      <c r="C72" s="119" t="inlineStr">
        <is>
          <t>Oráculo Acorrentado &amp; Entidade Antiga</t>
        </is>
      </c>
      <c r="D72" s="119" t="inlineStr">
        <is>
          <t>Porto das Profundezas</t>
        </is>
      </c>
      <c r="E72" s="119" t="inlineStr">
        <is>
          <t>Guardiões Ancestrais</t>
        </is>
      </c>
      <c r="F72" s="119" t="inlineStr">
        <is>
          <t>Revelação de fraquezas de chefes cósmicos e profecias da campanha</t>
        </is>
      </c>
      <c r="G72" s="119" t="inlineStr">
        <is>
          <t>Missão: O Farol Preso.</t>
        </is>
      </c>
      <c r="H72" s="119" t="inlineStr">
        <is>
          <t>Está preso há 500 anos canalizando a luz do farol para impedir que o abismo engula o porto</t>
        </is>
      </c>
      <c r="I72" s="119" t="inlineStr">
        <is>
          <t>"Vocês vieram buscar armas de mithril enquanto a terra abaixo dos seus pés já começou a digerir a sua cidade."</t>
        </is>
      </c>
    </row>
    <row r="73" ht="15" customHeight="1" s="116">
      <c r="A73" s="119" t="n">
        <v>26</v>
      </c>
      <c r="B73" s="119" t="inlineStr">
        <is>
          <t>Grão-Mestre Roderick o Inquebrável</t>
        </is>
      </c>
      <c r="C73" s="119" t="inlineStr">
        <is>
          <t>Comandante dos Cavaleiros do Dragão</t>
        </is>
      </c>
      <c r="D73" s="119" t="inlineStr">
        <is>
          <t>Bastião Adamantino</t>
        </is>
      </c>
      <c r="E73" s="119" t="inlineStr">
        <is>
          <t>A Ordem dos Cavaleiros do Dragão Decaído</t>
        </is>
      </c>
      <c r="F73" s="119" t="inlineStr">
        <is>
          <t>Recrutamento de cavaleiros de elite e autorização para caçadas maiores</t>
        </is>
      </c>
      <c r="G73" s="119" t="inlineStr">
        <is>
          <t>Entrega a Missão Principal "A Queda do Titã" (Tier 11). Também: O Nome Apagado, A Heresia Silenciosa, O Herói Caído (e mais 4).</t>
        </is>
      </c>
      <c r="H73" s="119" t="inlineStr">
        <is>
          <t>Já abateu dois dragões anciãos sozinho durante a Grande Cruzada do Norte</t>
        </is>
      </c>
      <c r="I73" s="119" t="inlineStr">
        <is>
          <t>"Nenhum homem sob meu comando recua. Se a carcaça do titã avançar, nós quebraremos a nossa couraça contra a dele."</t>
        </is>
      </c>
    </row>
    <row r="74" ht="15" customHeight="1" s="116">
      <c r="A74" s="119" t="n">
        <v>27</v>
      </c>
      <c r="B74" s="119" t="inlineStr">
        <is>
          <t>Valtiel o Mestre da Adamantina</t>
        </is>
      </c>
      <c r="C74" s="119" t="inlineStr">
        <is>
          <t>Supremo Forjador do Império</t>
        </is>
      </c>
      <c r="D74" s="119" t="inlineStr">
        <is>
          <t>Bastião Adamantino</t>
        </is>
      </c>
      <c r="E74" s="119" t="inlineStr">
        <is>
          <t>Mestres do Bastião</t>
        </is>
      </c>
      <c r="F74" s="119" t="inlineStr">
        <is>
          <t>Forja das armaduras mais pesadas e impenetráveis do continente</t>
        </is>
      </c>
      <c r="G74" s="119" t="inlineStr">
        <is>
          <t>Missão: A Lança do Matador de Titãs, Rachaduras nas Placas, Adamantina Pro Valtiel (e mais 2).</t>
        </is>
      </c>
      <c r="H74" s="119" t="inlineStr">
        <is>
          <t>Forjou a lança que está cravada no crânio do titã adormecido nas montanhas</t>
        </is>
      </c>
      <c r="I74" s="119" t="inlineStr">
        <is>
          <t>"O ferro quebra, o bronze amassa e a prata mancha. Só a adamantina permanece de pé quando o mundo desaba."</t>
        </is>
      </c>
    </row>
    <row r="75" ht="15" customHeight="1" s="116">
      <c r="A75" s="119" t="n">
        <v>28</v>
      </c>
      <c r="B75" s="119" t="inlineStr">
        <is>
          <t>Elowen a Caçadora de Wyrms</t>
        </is>
      </c>
      <c r="C75" s="119" t="inlineStr">
        <is>
          <t>Batedora dos Picos &amp; Rastreadora Dracônica</t>
        </is>
      </c>
      <c r="D75" s="119" t="inlineStr">
        <is>
          <t>Bastião Adamantino</t>
        </is>
      </c>
      <c r="E75" s="119" t="inlineStr">
        <is>
          <t>Caçadores Independentes</t>
        </is>
      </c>
      <c r="F75" s="119" t="inlineStr">
        <is>
          <t>Venda de carcaças, dentes de dragão e escamas para armaduras</t>
        </is>
      </c>
      <c r="G75" s="119" t="inlineStr">
        <is>
          <t>Entrega a Missão Principal "A Caça ao Dragão Ancião" (Tier 12). Também dá 10 outras secundárias — a NPC mais ativa da região.</t>
        </is>
      </c>
      <c r="H75" s="119" t="inlineStr">
        <is>
          <t>Vive em acampamentos a 3.000 metros de altitude acompanhada por falcões caçadores</t>
        </is>
      </c>
      <c r="I75" s="119" t="inlineStr">
        <is>
          <t>"O dragão não ataca por maldade; ele queima tudo porque percebeu que a terra está doente antes de nós."</t>
        </is>
      </c>
    </row>
    <row r="76" ht="15" customHeight="1" s="116">
      <c r="A76" s="119" t="n">
        <v>29</v>
      </c>
      <c r="B76" s="119" t="inlineStr">
        <is>
          <t>Sacerdotisa Selene dos Cem Mártires</t>
        </is>
      </c>
      <c r="C76" s="119" t="inlineStr">
        <is>
          <t>Suprema Curandeira de Guerra</t>
        </is>
      </c>
      <c r="D76" s="119" t="inlineStr">
        <is>
          <t>Bastião Adamantino</t>
        </is>
      </c>
      <c r="E76" s="119" t="inlineStr">
        <is>
          <t>Templo de Adamantina</t>
        </is>
      </c>
      <c r="F76" s="119" t="inlineStr">
        <is>
          <t>Realização do ritual de Penitência de Adamantina (reduz 40 de Corrupção); cura total de tropas</t>
        </is>
      </c>
      <c r="G76" s="119" t="inlineStr">
        <is>
          <t>Missão: A Penitência de Selene, Fé Rachada, Frascos da Peste.</t>
        </is>
      </c>
      <c r="H76" s="119" t="inlineStr">
        <is>
          <t>Carrega as cinzas de cem guerreiros purificados em um relicário que usa como escudo</t>
        </is>
      </c>
      <c r="I76" s="119" t="inlineStr">
        <is>
          <t>"A dor da purificação é terrível, cavaleiro. Mas é infinitamente menor do que a vergonha de virar uma aberração."</t>
        </is>
      </c>
    </row>
    <row r="77" ht="15" customHeight="1" s="116">
      <c r="A77" s="119" t="n">
        <v>30</v>
      </c>
      <c r="B77" s="119" t="inlineStr">
        <is>
          <t>Coronel Justin o Estrategista de Cerco</t>
        </is>
      </c>
      <c r="C77" s="119" t="inlineStr">
        <is>
          <t>Chefe de Logística Militar</t>
        </is>
      </c>
      <c r="D77" s="119" t="inlineStr">
        <is>
          <t>Bastião Adamantino</t>
        </is>
      </c>
      <c r="E77" s="119" t="inlineStr">
        <is>
          <t>Ordem do Dragão</t>
        </is>
      </c>
      <c r="F77" s="119" t="inlineStr">
        <is>
          <t>Venda de virotes perfurantes, máquinas de assalto e salvo-condutos militares</t>
        </is>
      </c>
      <c r="G77" s="119" t="inlineStr">
        <is>
          <t>Missão: Golens à Solta, O Constructo Corrompido, Devoradores no Cerco.</t>
        </is>
      </c>
      <c r="H77" s="119" t="inlineStr">
        <is>
          <t>Administra as defesas das muralhas com cálculo frio de perdas humanas aceitáveis</t>
        </is>
      </c>
      <c r="I77" s="119" t="inlineStr">
        <is>
          <t>"A matemática da guerra é simples: cada palmo de terra que a gente cede hoje custará cem vidas amanhã."</t>
        </is>
      </c>
    </row>
    <row r="78" ht="15" customHeight="1" s="116">
      <c r="A78" s="119" t="n">
        <v>31</v>
      </c>
      <c r="B78" s="119" t="inlineStr">
        <is>
          <t>O Arquivista Sem Rosto</t>
        </is>
      </c>
      <c r="C78" s="119" t="inlineStr">
        <is>
          <t>Guardião Imortal do Véu Cósmico</t>
        </is>
      </c>
      <c r="D78" s="119" t="inlineStr">
        <is>
          <t>Santuário Proibido</t>
        </is>
      </c>
      <c r="E78" s="119" t="inlineStr">
        <is>
          <t>Os Guardiões do Último Véu</t>
        </is>
      </c>
      <c r="F78" s="119" t="inlineStr">
        <is>
          <t>Entrega dos rituais de selamento final e instruções para o Cálice da Erradicação</t>
        </is>
      </c>
      <c r="G78" s="119" t="inlineStr">
        <is>
          <t>Entrega a Missão Principal "O Último Portal" (Tier 14). Também dá 10 outras secundárias, incluindo "A Voz da Estrela Esquecida" (investigação sobre a Sacerdotisa). NPC mais ativo do jogo.</t>
        </is>
      </c>
      <c r="H78" s="119" t="inlineStr">
        <is>
          <t>Não possui face humana sob o capuz; é uma projeção viva criada pelos sobreviventes do primeiro ciclo</t>
        </is>
      </c>
      <c r="I78" s="119" t="inlineStr">
        <is>
          <t>"Vocês reuniram os fragmentos e forjaram as lâminas. Agora descubram se têm coragem de pagar o preço de fechar o portal."</t>
        </is>
      </c>
    </row>
    <row r="79" ht="15" customHeight="1" s="116">
      <c r="A79" s="119" t="n">
        <v>32</v>
      </c>
      <c r="B79" s="119" t="inlineStr">
        <is>
          <t>Azrael o Artífice do Vazio</t>
        </is>
      </c>
      <c r="C79" s="119" t="inlineStr">
        <is>
          <t>Forjador Cósmico Dimensional</t>
        </is>
      </c>
      <c r="D79" s="119" t="inlineStr">
        <is>
          <t>Santuário Proibido</t>
        </is>
      </c>
      <c r="E79" s="119" t="inlineStr">
        <is>
          <t>Guardiões do Véu</t>
        </is>
      </c>
      <c r="F79" s="119" t="inlineStr">
        <is>
          <t>Forja de armas de matéria estelar e armaduras de dobra dimensional</t>
        </is>
      </c>
      <c r="G79" s="119" t="inlineStr">
        <is>
          <t>Entrega a Missão Principal "O Ritual Proibido" (Tier 13). Também: Olhos Pro Azrael, Forjando o Amuleto do Horror, A Lâmina da Fenda Primordial (e mais 4).</t>
        </is>
      </c>
      <c r="H79" s="119" t="inlineStr">
        <is>
          <t>Não usa martelo nem bigorna; molda o metal através de cantos harmônicos e foco mental puro</t>
        </is>
      </c>
      <c r="I79" s="119" t="inlineStr">
        <is>
          <t>"O ferro deste lugar não veio das montanhas; caiu das estrelas antes que houvesse reis para dar nome a elas."</t>
        </is>
      </c>
    </row>
    <row r="80" ht="15" customHeight="1" s="116">
      <c r="A80" s="119" t="n">
        <v>33</v>
      </c>
      <c r="B80" s="119" t="inlineStr">
        <is>
          <t>Mori a Última Curandeira Pura</t>
        </is>
      </c>
      <c r="C80" s="119" t="inlineStr">
        <is>
          <t>Alquimista Cósmica &amp; Guardiã das Sementes</t>
        </is>
      </c>
      <c r="D80" s="119" t="inlineStr">
        <is>
          <t>Santuário Proibido</t>
        </is>
      </c>
      <c r="E80" s="119" t="inlineStr">
        <is>
          <t>Guardiões do Véu</t>
        </is>
      </c>
      <c r="F80" s="119" t="inlineStr">
        <is>
          <t>Venda de elixires do vazio infinito e restauração plena de Vida e Mana</t>
        </is>
      </c>
      <c r="G80" s="119" t="inlineStr">
        <is>
          <t>Missão: Erva da Oferenda Sombria, Ecos Coletados, Lótus do Fim dos Tempos. Também dá "O Cálice da Erradicação" junto com Azrael.</t>
        </is>
      </c>
      <c r="H80" s="119" t="inlineStr">
        <is>
          <t>É a única pessoa em todo o continente que nunca sofreu um ponto de contaminação da Infecção</t>
        </is>
      </c>
      <c r="I80" s="119" t="inlineStr">
        <is>
          <t>"Eu guardei as sementes puras por mil anos. Não deixem que a Mão feche os dedos sobre o último jardim deste mundo."</t>
        </is>
      </c>
    </row>
    <row r="81" ht="15" customHeight="1" s="116">
      <c r="A81" s="119" t="n">
        <v>34</v>
      </c>
      <c r="B81" s="119" t="inlineStr">
        <is>
          <t>O Penitente dos Dez Dedos</t>
        </is>
      </c>
      <c r="C81" s="119" t="inlineStr">
        <is>
          <t>Ex-Sumo Sacerdote do Culto Daédrico</t>
        </is>
      </c>
      <c r="D81" s="119" t="inlineStr">
        <is>
          <t>Santuário Proibido</t>
        </is>
      </c>
      <c r="E81" s="119" t="inlineStr">
        <is>
          <t>Arrependidos do Abismo</t>
        </is>
      </c>
      <c r="F81" s="119" t="inlineStr">
        <is>
          <t>Revelação das fraquezas cósmicas e pontos cegos do Aspecto da Infecção</t>
        </is>
      </c>
      <c r="G81" s="119" t="inlineStr">
        <is>
          <t>Missão: Sussurros no Círculo, O Pacto dos Dez Dedos Ensanguentados, O Penitente (e mais 4).</t>
        </is>
      </c>
      <c r="H81" s="119" t="inlineStr">
        <is>
          <t>Cortou os próprios dez dedos para romper o elo psíquico que o prendia à vontade da Mão Carmesim</t>
        </is>
      </c>
      <c r="I81" s="119" t="inlineStr">
        <is>
          <t>"Eu apertei a Mão quando ela era apenas um sussurro. Acreditem em mim: ela não veio governar; veio encerrar tudo."</t>
        </is>
      </c>
    </row>
    <row r="82" ht="15" customHeight="1" s="116">
      <c r="A82" s="119" t="n">
        <v>35</v>
      </c>
      <c r="B82" s="119" t="inlineStr">
        <is>
          <t>A Voz da Estrela Esquecida</t>
        </is>
      </c>
      <c r="C82" s="119" t="inlineStr">
        <is>
          <t>Oráculo Dimensional &amp; Entidade de Pura Luz</t>
        </is>
      </c>
      <c r="D82" s="119" t="inlineStr">
        <is>
          <t>Santuário Proibido</t>
        </is>
      </c>
      <c r="E82" s="119" t="inlineStr">
        <is>
          <t>Luz Primordial</t>
        </is>
      </c>
      <c r="F82" s="119" t="inlineStr">
        <is>
          <t>Sintonização dos 5 Fragmentos do Aspecto no Cálice da Erradicação</t>
        </is>
      </c>
      <c r="G82" s="119" t="inlineStr">
        <is>
          <t>Não dá missão própria — é o alvo/assunto da missão "A Voz da Estrela Esquecida", dada pelo Arquivista. Figura central da narrativa final, não quest-giver ativa.</t>
        </is>
      </c>
      <c r="H82" s="119" t="inlineStr">
        <is>
          <t>Manifesta-se como uma coluna de luz dourada que pulsa no centro do santuário proibido</t>
        </is>
      </c>
      <c r="I82" s="119" t="inlineStr">
        <is>
          <t>"Por um breve instante, o destino de todos os ciclos descansa sobre a lâmina que você carrega nas mãos."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L5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8" customWidth="1" style="115" min="1" max="1"/>
    <col width="20" customWidth="1" style="115" min="2" max="3"/>
    <col width="13" customWidth="1" style="115" min="4" max="4"/>
    <col width="32" customWidth="1" style="115" min="5" max="5"/>
    <col width="40" customWidth="1" style="115" min="6" max="6"/>
    <col width="16" customWidth="1" style="115" min="7" max="7"/>
    <col width="14" customWidth="1" style="115" min="8" max="8"/>
    <col width="12" customWidth="1" style="115" min="9" max="9"/>
    <col width="16" customWidth="1" style="115" min="10" max="10"/>
    <col width="30" customWidth="1" style="115" min="11" max="11"/>
  </cols>
  <sheetData>
    <row r="1" ht="17.25" customHeight="1" s="116">
      <c r="A1" s="117" t="inlineStr">
        <is>
          <t>Mundo - Locais</t>
        </is>
      </c>
      <c r="H1" s="123" t="inlineStr">
        <is>
          <t>Mult_Severidade_Armadilha (Leve/Media/Grave)</t>
        </is>
      </c>
    </row>
    <row r="2" ht="15" customHeight="1" s="116">
      <c r="A2" s="129" t="inlineStr">
        <is>
          <t>Todos os locais fixos do mapa. O mapa ilustrado (visual) vem depois, gerado por IA em cima desta lista.</t>
        </is>
      </c>
      <c r="H2" s="173" t="inlineStr">
        <is>
          <t>Leve</t>
        </is>
      </c>
      <c r="I2" s="174" t="n">
        <v>0.6</v>
      </c>
    </row>
    <row r="3" ht="15" customHeight="1" s="116">
      <c r="H3" s="173" t="inlineStr">
        <is>
          <t>Media</t>
        </is>
      </c>
      <c r="I3" s="174" t="n">
        <v>1</v>
      </c>
    </row>
    <row r="4" ht="15" customHeight="1" s="116">
      <c r="A4" s="124" t="inlineStr">
        <is>
          <t>Nome do Local</t>
        </is>
      </c>
      <c r="B4" s="124" t="inlineStr">
        <is>
          <t>Tipo</t>
        </is>
      </c>
      <c r="C4" s="124" t="inlineStr">
        <is>
          <t>Cidade Mais Proxima</t>
        </is>
      </c>
      <c r="D4" s="124" t="inlineStr">
        <is>
          <t>Nivel de Perigo</t>
        </is>
      </c>
      <c r="E4" s="124" t="inlineStr">
        <is>
          <t>O Que Se Encontra Ali</t>
        </is>
      </c>
      <c r="F4" s="124" t="inlineStr">
        <is>
          <t>Descricao</t>
        </is>
      </c>
      <c r="G4" s="124" t="inlineStr">
        <is>
          <t>Nivel de Ref. (numero)</t>
        </is>
      </c>
      <c r="H4" s="124" t="inlineStr">
        <is>
          <t>CD de Armadilha</t>
        </is>
      </c>
      <c r="I4" s="124" t="inlineStr">
        <is>
          <t>Severidade</t>
        </is>
      </c>
      <c r="J4" s="124" t="inlineStr">
        <is>
          <t>Dano de Armadilha</t>
        </is>
      </c>
      <c r="K4" s="132" t="inlineStr">
        <is>
          <t>Regiao (Ato) - livre dentro, portao entre</t>
        </is>
      </c>
      <c r="L4" s="118" t="inlineStr">
        <is>
          <t>Perigo (1-5)</t>
        </is>
      </c>
    </row>
    <row r="5" ht="15" customHeight="1" s="116">
      <c r="A5" s="248" t="inlineStr">
        <is>
          <t>Vila Inicial</t>
        </is>
      </c>
      <c r="B5" s="247" t="inlineStr">
        <is>
          <t>Cidade</t>
        </is>
      </c>
      <c r="C5" s="247" t="inlineStr">
        <is>
          <t>Vila Inicial</t>
        </is>
      </c>
      <c r="D5" s="247" t="inlineStr">
        <is>
          <t>1-5</t>
        </is>
      </c>
      <c r="E5" s="250" t="inlineStr">
        <is>
          <t>Ferreiro (Gorim), Boticaria (Velha Martha)</t>
        </is>
      </c>
      <c r="F5" s="250" t="inlineStr">
        <is>
          <t>Onde tudo comeca.</t>
        </is>
      </c>
      <c r="G5" s="264" t="n">
        <v>3</v>
      </c>
      <c r="H5" s="265" t="n"/>
      <c r="I5" s="266" t="n"/>
      <c r="J5" s="265" t="n"/>
      <c r="K5" s="267" t="n"/>
      <c r="L5" s="241" t="n">
        <v>1</v>
      </c>
    </row>
    <row r="6" ht="15" customHeight="1" s="116">
      <c r="A6" s="248" t="inlineStr">
        <is>
          <t>Estrada dos Bandidos</t>
        </is>
      </c>
      <c r="B6" s="247" t="inlineStr">
        <is>
          <t>Estrada Perigosa</t>
        </is>
      </c>
      <c r="C6" s="247" t="inlineStr">
        <is>
          <t>Vila Inicial</t>
        </is>
      </c>
      <c r="D6" s="247" t="inlineStr">
        <is>
          <t>1-4</t>
        </is>
      </c>
      <c r="E6" s="250" t="inlineStr">
        <is>
          <t>Bandidos, Peregrinos Marcados</t>
        </is>
      </c>
      <c r="F6" s="250" t="inlineStr">
        <is>
          <t>Rota entre a vila e o resto da regiao, infestada por saqueadores.</t>
        </is>
      </c>
      <c r="G6" s="264" t="n">
        <v>2</v>
      </c>
      <c r="H6" s="265" t="n"/>
      <c r="I6" s="266" t="n"/>
      <c r="J6" s="265" t="n"/>
      <c r="K6" s="267" t="n"/>
      <c r="L6" s="241" t="n">
        <v>2</v>
      </c>
    </row>
    <row r="7" ht="15" customHeight="1" s="116">
      <c r="A7" s="248" t="inlineStr">
        <is>
          <t>Bosque Sombrio</t>
        </is>
      </c>
      <c r="B7" s="247" t="inlineStr">
        <is>
          <t>Floresta Perigosa</t>
        </is>
      </c>
      <c r="C7" s="247" t="inlineStr">
        <is>
          <t>Vila Inicial</t>
        </is>
      </c>
      <c r="D7" s="247" t="inlineStr">
        <is>
          <t>1-5</t>
        </is>
      </c>
      <c r="E7" s="250" t="inlineStr">
        <is>
          <t>Cao de Caca Sanguineo, Javali Selvagem Alfa</t>
        </is>
      </c>
      <c r="F7" s="250" t="inlineStr">
        <is>
          <t>Mata fechada onde o Javali Alfa e sua ninhada rondam.</t>
        </is>
      </c>
      <c r="G7" s="264" t="n">
        <v>3</v>
      </c>
      <c r="H7" s="265" t="n"/>
      <c r="I7" s="266" t="n"/>
      <c r="J7" s="265" t="n"/>
      <c r="K7" s="267" t="n"/>
      <c r="L7" s="241" t="n">
        <v>2</v>
      </c>
    </row>
    <row r="8" ht="15" customHeight="1" s="116">
      <c r="A8" s="248" t="inlineStr">
        <is>
          <t>Pântano dos Enxames</t>
        </is>
      </c>
      <c r="B8" s="247" t="inlineStr">
        <is>
          <t>Pantano</t>
        </is>
      </c>
      <c r="C8" s="247" t="inlineStr">
        <is>
          <t>Vila Inicial</t>
        </is>
      </c>
      <c r="D8" s="247" t="inlineStr">
        <is>
          <t>1-4</t>
        </is>
      </c>
      <c r="E8" s="250" t="inlineStr">
        <is>
          <t>Enxame de Moscas-Sangue, Vermes Palidos</t>
        </is>
      </c>
      <c r="F8" s="250" t="inlineStr">
        <is>
          <t>Terreno alagado, infestado por enxames corrompidos.</t>
        </is>
      </c>
      <c r="G8" s="264" t="n">
        <v>2</v>
      </c>
      <c r="H8" s="265" t="n"/>
      <c r="I8" s="266" t="n"/>
      <c r="J8" s="265" t="n"/>
      <c r="K8" s="267" t="n"/>
      <c r="L8" s="241" t="n">
        <v>2</v>
      </c>
    </row>
    <row r="9" ht="15" customHeight="1" s="116">
      <c r="A9" s="248" t="inlineStr">
        <is>
          <t>Acampamento dos Marcados</t>
        </is>
      </c>
      <c r="B9" s="247" t="inlineStr">
        <is>
          <t>Campo de Batalha</t>
        </is>
      </c>
      <c r="C9" s="247" t="inlineStr">
        <is>
          <t>Vila Inicial</t>
        </is>
      </c>
      <c r="D9" s="247" t="inlineStr">
        <is>
          <t>2-6</t>
        </is>
      </c>
      <c r="E9" s="250" t="inlineStr">
        <is>
          <t>Culto dos Primeiros Marcados, O Colhedor do Primeiro Sangue</t>
        </is>
      </c>
      <c r="F9" s="250" t="inlineStr">
        <is>
          <t>Acampamento onde o culto realiza seus rituais.</t>
        </is>
      </c>
      <c r="G9" s="264" t="n">
        <v>4</v>
      </c>
      <c r="H9" s="265" t="n"/>
      <c r="I9" s="266" t="n"/>
      <c r="J9" s="265" t="n"/>
      <c r="K9" s="267" t="n"/>
      <c r="L9" s="241" t="n">
        <v>3</v>
      </c>
    </row>
    <row r="10" ht="15" customHeight="1" s="116">
      <c r="A10" s="248" t="inlineStr">
        <is>
          <t>Veio de Sucata</t>
        </is>
      </c>
      <c r="B10" s="247" t="inlineStr">
        <is>
          <t>Mina</t>
        </is>
      </c>
      <c r="C10" s="247" t="inlineStr">
        <is>
          <t>Vila Inicial</t>
        </is>
      </c>
      <c r="D10" s="247" t="inlineStr">
        <is>
          <t>1-4</t>
        </is>
      </c>
      <c r="E10" s="250" t="inlineStr">
        <is>
          <t>Sucata Retorcida, Vermes Palidos</t>
        </is>
      </c>
      <c r="F10" s="250" t="inlineStr">
        <is>
          <t>Ponto de coleta de metal enferrujado.</t>
        </is>
      </c>
      <c r="G10" s="264" t="n">
        <v>2</v>
      </c>
      <c r="H10" s="265" t="n"/>
      <c r="I10" s="266" t="n"/>
      <c r="J10" s="265" t="n"/>
      <c r="K10" s="267" t="n"/>
      <c r="L10" s="241" t="n">
        <v>1</v>
      </c>
    </row>
    <row r="11" ht="15" customHeight="1" s="116">
      <c r="A11" s="248" t="inlineStr">
        <is>
          <t>Covil do Javali Alfa</t>
        </is>
      </c>
      <c r="B11" s="247" t="inlineStr">
        <is>
          <t>Covil de Boss</t>
        </is>
      </c>
      <c r="C11" s="247" t="inlineStr">
        <is>
          <t>Valória</t>
        </is>
      </c>
      <c r="D11" s="247" t="inlineStr">
        <is>
          <t>2-6</t>
        </is>
      </c>
      <c r="E11" s="250" t="inlineStr">
        <is>
          <t>Javali Selvagem Alfa (exclusivo), Leitão Marcado</t>
        </is>
      </c>
      <c r="F11" s="250" t="inlineStr">
        <is>
          <t>Toca funda no Bosque Sombrio onde o Javali Alfa e sua ninhada se escondem.</t>
        </is>
      </c>
      <c r="G11" s="264" t="n">
        <v>4</v>
      </c>
      <c r="H11" s="175" t="n"/>
      <c r="I11" s="174" t="n"/>
      <c r="J11" s="175" t="n"/>
      <c r="K11" s="162" t="n"/>
      <c r="L11" s="241" t="n">
        <v>3</v>
      </c>
    </row>
    <row r="12" ht="15" customHeight="1" s="116">
      <c r="A12" s="248" t="inlineStr">
        <is>
          <t>Santuário do Primeiro Sangue</t>
        </is>
      </c>
      <c r="B12" s="247" t="inlineStr">
        <is>
          <t>Covil de Boss</t>
        </is>
      </c>
      <c r="C12" s="247" t="inlineStr">
        <is>
          <t>Valória</t>
        </is>
      </c>
      <c r="D12" s="247" t="inlineStr">
        <is>
          <t>3-7</t>
        </is>
      </c>
      <c r="E12" s="250" t="inlineStr">
        <is>
          <t>O Colhedor do Primeiro Sangue (exclusivo)</t>
        </is>
      </c>
      <c r="F12" s="250" t="inlineStr">
        <is>
          <t>Onde o culto realizou o primeiro ritual de sangue da região.</t>
        </is>
      </c>
      <c r="G12" s="264" t="n">
        <v>5</v>
      </c>
      <c r="H12" s="175" t="n"/>
      <c r="I12" s="174" t="n"/>
      <c r="J12" s="175" t="n"/>
      <c r="K12" s="162" t="n"/>
      <c r="L12" s="241" t="n">
        <v>3</v>
      </c>
    </row>
    <row r="13" ht="15" customHeight="1" s="116">
      <c r="A13" s="248" t="inlineStr">
        <is>
          <t>Recanto Oculto de Valória</t>
        </is>
      </c>
      <c r="B13" s="247" t="inlineStr">
        <is>
          <t>Local Secreto</t>
        </is>
      </c>
      <c r="C13" s="247" t="inlineStr">
        <is>
          <t>Valória</t>
        </is>
      </c>
      <c r="D13" s="247" t="inlineStr">
        <is>
          <t>1-5</t>
        </is>
      </c>
      <c r="E13" s="250" t="inlineStr">
        <is>
          <t>Nenhum monstro — recompensa de exploração</t>
        </is>
      </c>
      <c r="F13" s="250" t="inlineStr">
        <is>
          <t>Só revelado se a Criança Marcada ou o Batedor Ferido em Fuga forem poupados.</t>
        </is>
      </c>
      <c r="G13" s="264" t="n">
        <v>3</v>
      </c>
      <c r="H13" s="175" t="n"/>
      <c r="I13" s="174" t="n"/>
      <c r="J13" s="175" t="n"/>
      <c r="K13" s="162" t="n"/>
      <c r="L13" s="241" t="n">
        <v>1</v>
      </c>
    </row>
    <row r="14" ht="15" customHeight="1" s="116">
      <c r="A14" s="248" t="inlineStr">
        <is>
          <t>Mina de Bronze</t>
        </is>
      </c>
      <c r="B14" s="247" t="inlineStr">
        <is>
          <t>Mina</t>
        </is>
      </c>
      <c r="C14" s="247" t="inlineStr">
        <is>
          <t>Vila Inicial</t>
        </is>
      </c>
      <c r="D14" s="247" t="inlineStr">
        <is>
          <t>4-8</t>
        </is>
      </c>
      <c r="E14" s="250" t="inlineStr">
        <is>
          <t>Minerio de Bronze, Aranhas da Mina, Barao Aldous Grimm</t>
        </is>
      </c>
      <c r="F14" s="250" t="inlineStr">
        <is>
          <t>Mina controlada pela Guilda dos Picaretas Negros.</t>
        </is>
      </c>
      <c r="G14" s="264" t="n">
        <v>6</v>
      </c>
      <c r="H14" s="265" t="n"/>
      <c r="I14" s="266" t="n"/>
      <c r="J14" s="265" t="n"/>
      <c r="K14" s="267" t="n"/>
      <c r="L14" s="241" t="n">
        <v>2</v>
      </c>
    </row>
    <row r="15" ht="23.25" customHeight="1" s="116">
      <c r="A15" s="248" t="inlineStr">
        <is>
          <t>Câmara do Barão</t>
        </is>
      </c>
      <c r="B15" s="247" t="inlineStr">
        <is>
          <t>Covil de Boss</t>
        </is>
      </c>
      <c r="C15" s="247" t="inlineStr">
        <is>
          <t>Valória</t>
        </is>
      </c>
      <c r="D15" s="247" t="inlineStr">
        <is>
          <t>4-8</t>
        </is>
      </c>
      <c r="E15" s="250" t="inlineStr">
        <is>
          <t>Barão Aldous Grimm (Corrompido, exclusivo)</t>
        </is>
      </c>
      <c r="F15" s="250" t="inlineStr">
        <is>
          <t>Escritorio pessoal do Barao, no fundo da Mina de Bronze.</t>
        </is>
      </c>
      <c r="G15" s="264" t="n">
        <v>6</v>
      </c>
      <c r="H15" s="175" t="n"/>
      <c r="I15" s="174" t="n"/>
      <c r="J15" s="175" t="n"/>
      <c r="K15" s="162" t="n"/>
      <c r="L15" s="241" t="n">
        <v>3</v>
      </c>
    </row>
    <row r="16" ht="15" customHeight="1" s="116">
      <c r="A16" s="248" t="inlineStr">
        <is>
          <t>Posto dos Mineiros</t>
        </is>
      </c>
      <c r="B16" s="247" t="inlineStr">
        <is>
          <t>Cidade</t>
        </is>
      </c>
      <c r="C16" s="247" t="inlineStr">
        <is>
          <t>Mina de Bronze</t>
        </is>
      </c>
      <c r="D16" s="247" t="inlineStr">
        <is>
          <t>10-14</t>
        </is>
      </c>
      <c r="E16" s="250" t="inlineStr">
        <is>
          <t>Ferreiro intermediario</t>
        </is>
      </c>
      <c r="F16" s="250" t="inlineStr">
        <is>
          <t>Pequeno posto comercial perto da mina.</t>
        </is>
      </c>
      <c r="G16" s="264" t="n">
        <v>12</v>
      </c>
      <c r="H16" s="265" t="n"/>
      <c r="I16" s="266" t="n"/>
      <c r="J16" s="265" t="n"/>
      <c r="K16" s="267" t="n"/>
      <c r="L16" s="241" t="n">
        <v>1</v>
      </c>
    </row>
    <row r="17" ht="15" customHeight="1" s="116">
      <c r="A17" s="248" t="inlineStr">
        <is>
          <t>Ruínas da Antiga Forja</t>
        </is>
      </c>
      <c r="B17" s="247" t="inlineStr">
        <is>
          <t>Ruina</t>
        </is>
      </c>
      <c r="C17" s="247" t="inlineStr">
        <is>
          <t>Posto dos Mineiros</t>
        </is>
      </c>
      <c r="D17" s="247" t="inlineStr">
        <is>
          <t>10-14</t>
        </is>
      </c>
      <c r="E17" s="250" t="inlineStr">
        <is>
          <t>Esqueletos, Zelotes de Ferro, O Executor da Forja Velha</t>
        </is>
      </c>
      <c r="F17" s="250" t="inlineStr">
        <is>
          <t>Forja abandonada, tomada pelo Culto do Ferro.</t>
        </is>
      </c>
      <c r="G17" s="264" t="n">
        <v>12</v>
      </c>
      <c r="H17" s="265" t="n"/>
      <c r="I17" s="266" t="n"/>
      <c r="J17" s="265" t="n"/>
      <c r="K17" s="267" t="n"/>
      <c r="L17" s="241" t="n">
        <v>3</v>
      </c>
    </row>
    <row r="18" ht="15" customHeight="1" s="116">
      <c r="A18" s="248" t="inlineStr">
        <is>
          <t>Coração da Antiga Forja</t>
        </is>
      </c>
      <c r="B18" s="247" t="inlineStr">
        <is>
          <t>Covil de Boss</t>
        </is>
      </c>
      <c r="C18" s="247" t="inlineStr">
        <is>
          <t>Cinzenta</t>
        </is>
      </c>
      <c r="D18" s="247" t="inlineStr">
        <is>
          <t>11-15</t>
        </is>
      </c>
      <c r="E18" s="250" t="inlineStr">
        <is>
          <t>Golem de Sucata, O Primeiro Marcado (exclusivos)</t>
        </is>
      </c>
      <c r="F18" s="250" t="inlineStr">
        <is>
          <t>Camara mais funda da forja, onde o primeiro ritual do culto do Ferro aconteceu.</t>
        </is>
      </c>
      <c r="G18" s="264" t="n">
        <v>13</v>
      </c>
      <c r="H18" s="175" t="n"/>
      <c r="I18" s="174" t="n"/>
      <c r="J18" s="175" t="n"/>
      <c r="K18" s="162" t="n"/>
      <c r="L18" s="241" t="n">
        <v>3</v>
      </c>
    </row>
    <row r="19" ht="15" customHeight="1" s="116">
      <c r="A19" s="248" t="inlineStr">
        <is>
          <t>Veio Raro Oculto</t>
        </is>
      </c>
      <c r="B19" s="247" t="inlineStr">
        <is>
          <t>Local Secreto</t>
        </is>
      </c>
      <c r="C19" s="247" t="inlineStr">
        <is>
          <t>Cinzenta</t>
        </is>
      </c>
      <c r="D19" s="247" t="inlineStr">
        <is>
          <t>8-12</t>
        </is>
      </c>
      <c r="E19" s="250" t="inlineStr">
        <is>
          <t>Nenhum monstro — recompensa de exploracao</t>
        </is>
      </c>
      <c r="F19" s="250" t="inlineStr">
        <is>
          <t>So revelado se o Espirito do Ferreiro Original for poupado.</t>
        </is>
      </c>
      <c r="G19" s="264" t="n">
        <v>10</v>
      </c>
      <c r="H19" s="175" t="n"/>
      <c r="I19" s="174" t="n"/>
      <c r="J19" s="175" t="n"/>
      <c r="K19" s="162" t="n"/>
      <c r="L19" s="241" t="n">
        <v>2</v>
      </c>
    </row>
    <row r="20" ht="15" customHeight="1" s="116">
      <c r="A20" s="248" t="inlineStr">
        <is>
          <t>Criptas de Prata</t>
        </is>
      </c>
      <c r="B20" s="247" t="inlineStr">
        <is>
          <t>Ruina</t>
        </is>
      </c>
      <c r="C20" s="247" t="inlineStr">
        <is>
          <t>Posto dos Mineiros</t>
        </is>
      </c>
      <c r="D20" s="247" t="inlineStr">
        <is>
          <t>16-20</t>
        </is>
      </c>
      <c r="E20" s="250" t="inlineStr">
        <is>
          <t>Zumbis, Fraternidade dos Sem-Voz, O Primeiro Marcado</t>
        </is>
      </c>
      <c r="F20" s="250" t="inlineStr">
        <is>
          <t>Criptas silenciosas, dominadas por mortos-vivos.</t>
        </is>
      </c>
      <c r="G20" s="264" t="n">
        <v>18</v>
      </c>
      <c r="H20" s="265" t="n"/>
      <c r="I20" s="266" t="n"/>
      <c r="J20" s="265" t="n"/>
      <c r="K20" s="267" t="n"/>
      <c r="L20" s="241" t="n">
        <v>3</v>
      </c>
    </row>
    <row r="21" ht="15" customHeight="1" s="116">
      <c r="A21" s="248" t="inlineStr">
        <is>
          <t>Câmara do Sino Silencioso</t>
        </is>
      </c>
      <c r="B21" s="247" t="inlineStr">
        <is>
          <t>Covil de Boss</t>
        </is>
      </c>
      <c r="C21" s="247" t="inlineStr">
        <is>
          <t>Cinzenta</t>
        </is>
      </c>
      <c r="D21" s="247" t="inlineStr">
        <is>
          <t>17-21</t>
        </is>
      </c>
      <c r="E21" s="250" t="inlineStr">
        <is>
          <t>O Ceifador do Silêncio, Guardião do Sino (exclusivos)</t>
        </is>
      </c>
      <c r="F21" s="250" t="inlineStr">
        <is>
          <t>Camara central das criptas, onde o Sino de aviso nunca mais tocou.</t>
        </is>
      </c>
      <c r="G21" s="264" t="n">
        <v>19</v>
      </c>
      <c r="H21" s="175" t="n"/>
      <c r="I21" s="174" t="n"/>
      <c r="J21" s="175" t="n"/>
      <c r="K21" s="162" t="n"/>
      <c r="L21" s="241" t="n">
        <v>3</v>
      </c>
    </row>
    <row r="22" ht="15" customHeight="1" s="116">
      <c r="A22" s="248" t="inlineStr">
        <is>
          <t>Atalho da Cripta</t>
        </is>
      </c>
      <c r="B22" s="247" t="inlineStr">
        <is>
          <t>Local Secreto</t>
        </is>
      </c>
      <c r="C22" s="247" t="inlineStr">
        <is>
          <t>Cinzenta</t>
        </is>
      </c>
      <c r="D22" s="247" t="inlineStr">
        <is>
          <t>14-18</t>
        </is>
      </c>
      <c r="E22" s="250" t="inlineStr">
        <is>
          <t>Nenhum monstro — recompensa de exploracao</t>
        </is>
      </c>
      <c r="F22" s="250" t="inlineStr">
        <is>
          <t>So revelado se a Freira Perdida for poupada.</t>
        </is>
      </c>
      <c r="G22" s="264" t="n">
        <v>16</v>
      </c>
      <c r="H22" s="175" t="n"/>
      <c r="I22" s="174" t="n"/>
      <c r="J22" s="175" t="n"/>
      <c r="K22" s="162" t="n"/>
      <c r="L22" s="241" t="n">
        <v>2</v>
      </c>
    </row>
    <row r="23" ht="15" customHeight="1" s="116">
      <c r="A23" s="248" t="inlineStr">
        <is>
          <t>Entreposto Élfico</t>
        </is>
      </c>
      <c r="B23" s="247" t="inlineStr">
        <is>
          <t>Cidade</t>
        </is>
      </c>
      <c r="C23" s="247" t="inlineStr">
        <is>
          <t>Criptas de Prata</t>
        </is>
      </c>
      <c r="D23" s="247" t="inlineStr">
        <is>
          <t>23-27</t>
        </is>
      </c>
      <c r="E23" s="250" t="inlineStr">
        <is>
          <t>Vigília das Folhas de Prata</t>
        </is>
      </c>
      <c r="F23" s="250" t="inlineStr">
        <is>
          <t>Posto avancado da Vigilia elfica.</t>
        </is>
      </c>
      <c r="G23" s="264" t="n">
        <v>25</v>
      </c>
      <c r="H23" s="265" t="n"/>
      <c r="I23" s="266" t="n"/>
      <c r="J23" s="265" t="n"/>
      <c r="K23" s="267" t="n"/>
      <c r="L23" s="241" t="n">
        <v>1</v>
      </c>
    </row>
    <row r="24" ht="15" customHeight="1" s="116">
      <c r="A24" s="248" t="inlineStr">
        <is>
          <t>Ruínas Élficas</t>
        </is>
      </c>
      <c r="B24" s="247" t="inlineStr">
        <is>
          <t>Ruina</t>
        </is>
      </c>
      <c r="C24" s="247" t="inlineStr">
        <is>
          <t>Entreposto Élfico</t>
        </is>
      </c>
      <c r="D24" s="247" t="inlineStr">
        <is>
          <t>20-24</t>
        </is>
      </c>
      <c r="E24" s="250" t="inlineStr">
        <is>
          <t>Sentinelas, Guardioes de Pedra</t>
        </is>
      </c>
      <c r="F24" s="250" t="inlineStr">
        <is>
          <t>Ruinas de um templo elfico esquecido.</t>
        </is>
      </c>
      <c r="G24" s="264" t="n">
        <v>22</v>
      </c>
      <c r="H24" s="265" t="n"/>
      <c r="I24" s="266" t="n"/>
      <c r="J24" s="265" t="n"/>
      <c r="K24" s="267" t="n"/>
      <c r="L24" s="241" t="n">
        <v>3</v>
      </c>
    </row>
    <row r="25" ht="15" customHeight="1" s="116">
      <c r="A25" s="248" t="inlineStr">
        <is>
          <t>Bosques Pétreos</t>
        </is>
      </c>
      <c r="B25" s="247" t="inlineStr">
        <is>
          <t>Floresta Perigosa</t>
        </is>
      </c>
      <c r="C25" s="247" t="inlineStr">
        <is>
          <t>Entreposto Élfico</t>
        </is>
      </c>
      <c r="D25" s="247" t="inlineStr">
        <is>
          <t>20-24</t>
        </is>
      </c>
      <c r="E25" s="250" t="inlineStr">
        <is>
          <t>Ents Corrompidos, Raposas da Nevoa</t>
        </is>
      </c>
      <c r="F25" s="250" t="inlineStr">
        <is>
          <t>Floresta petrificada ao redor das ruinas elficas.</t>
        </is>
      </c>
      <c r="G25" s="264" t="n">
        <v>22</v>
      </c>
      <c r="H25" s="265" t="n"/>
      <c r="I25" s="266" t="n"/>
      <c r="J25" s="265" t="n"/>
      <c r="K25" s="267" t="n"/>
      <c r="L25" s="241" t="n">
        <v>3</v>
      </c>
    </row>
    <row r="26" ht="15" customHeight="1" s="116">
      <c r="A26" s="248" t="inlineStr">
        <is>
          <t>Coração das Ruínas Élficas</t>
        </is>
      </c>
      <c r="B26" s="247" t="inlineStr">
        <is>
          <t>Covil de Boss</t>
        </is>
      </c>
      <c r="C26" s="247" t="inlineStr">
        <is>
          <t>Ecoril</t>
        </is>
      </c>
      <c r="D26" s="247" t="inlineStr">
        <is>
          <t>22-27</t>
        </is>
      </c>
      <c r="E26" s="250" t="inlineStr">
        <is>
          <t>Espírito da Última Elfa, O Núcleo Desgovernado (exclusivos)</t>
        </is>
      </c>
      <c r="F26" s="250" t="inlineStr">
        <is>
          <t>Camara mais profunda das ruinas, onde elfo e ana se fundiram em tragedia.</t>
        </is>
      </c>
      <c r="G26" s="264" t="n">
        <v>25</v>
      </c>
      <c r="H26" s="175" t="n"/>
      <c r="I26" s="174" t="n"/>
      <c r="J26" s="175" t="n"/>
      <c r="K26" s="162" t="n"/>
      <c r="L26" s="241" t="n">
        <v>4</v>
      </c>
    </row>
    <row r="27" ht="15" customHeight="1" s="116">
      <c r="A27" s="248" t="inlineStr">
        <is>
          <t>Cidadela dos Forjadores</t>
        </is>
      </c>
      <c r="B27" s="247" t="inlineStr">
        <is>
          <t>Cidade</t>
        </is>
      </c>
      <c r="C27" s="247" t="inlineStr">
        <is>
          <t>Entreposto Élfico</t>
        </is>
      </c>
      <c r="D27" s="247" t="inlineStr">
        <is>
          <t>28-32</t>
        </is>
      </c>
      <c r="E27" s="250" t="inlineStr">
        <is>
          <t>Cla Martelo de Vapor</t>
        </is>
      </c>
      <c r="F27" s="250" t="inlineStr">
        <is>
          <t>Cidadela ana movida a vapor.</t>
        </is>
      </c>
      <c r="G27" s="264" t="n">
        <v>30</v>
      </c>
      <c r="H27" s="265" t="n"/>
      <c r="I27" s="266" t="n"/>
      <c r="J27" s="265" t="n"/>
      <c r="K27" s="267" t="n"/>
      <c r="L27" s="241" t="n">
        <v>1</v>
      </c>
    </row>
    <row r="28" ht="23.25" customHeight="1" s="116">
      <c r="A28" s="248" t="inlineStr">
        <is>
          <t>Câmara Mecânica Anã</t>
        </is>
      </c>
      <c r="B28" s="247" t="inlineStr">
        <is>
          <t>Dungeon</t>
        </is>
      </c>
      <c r="C28" s="247" t="inlineStr">
        <is>
          <t>Cidadela dos Forjadores</t>
        </is>
      </c>
      <c r="D28" s="247" t="inlineStr">
        <is>
          <t>24-28</t>
        </is>
      </c>
      <c r="E28" s="250" t="inlineStr">
        <is>
          <t>Automatos, Engenheiros Renegados, Grondar</t>
        </is>
      </c>
      <c r="F28" s="250" t="inlineStr">
        <is>
          <t>Complexo mecanico subterraneo, desgovernado.</t>
        </is>
      </c>
      <c r="G28" s="264" t="n">
        <v>26</v>
      </c>
      <c r="H28" s="265" t="n"/>
      <c r="I28" s="266" t="n"/>
      <c r="J28" s="265" t="n"/>
      <c r="K28" s="267" t="n"/>
      <c r="L28" s="241" t="n">
        <v>3</v>
      </c>
    </row>
    <row r="29" ht="23.25" customHeight="1" s="116">
      <c r="A29" s="248" t="inlineStr">
        <is>
          <t>Núcleo da Câmara Mecânica</t>
        </is>
      </c>
      <c r="B29" s="247" t="inlineStr">
        <is>
          <t>Covil de Boss</t>
        </is>
      </c>
      <c r="C29" s="247" t="inlineStr">
        <is>
          <t>Ecoril</t>
        </is>
      </c>
      <c r="D29" s="247" t="inlineStr">
        <is>
          <t>24-30</t>
        </is>
      </c>
      <c r="E29" s="250" t="inlineStr">
        <is>
          <t>O Colosso a Vapor Desgovernado, Núcleo Mecânico Ancestral (exclusivos)</t>
        </is>
      </c>
      <c r="F29" s="250" t="inlineStr">
        <is>
          <t>O nucleo original que desgovernou toda a camara mecanica.</t>
        </is>
      </c>
      <c r="G29" s="264" t="n">
        <v>28</v>
      </c>
      <c r="H29" s="175" t="n"/>
      <c r="I29" s="174" t="n"/>
      <c r="J29" s="175" t="n"/>
      <c r="K29" s="162" t="n"/>
      <c r="L29" s="241" t="n">
        <v>4</v>
      </c>
    </row>
    <row r="30" ht="23.25" customHeight="1" s="116">
      <c r="A30" s="248" t="inlineStr">
        <is>
          <t>Fenda Vulcânica Ativa</t>
        </is>
      </c>
      <c r="B30" s="247" t="inlineStr">
        <is>
          <t>Fenda</t>
        </is>
      </c>
      <c r="C30" s="247" t="inlineStr">
        <is>
          <t>Cidadela dos Forjadores</t>
        </is>
      </c>
      <c r="D30" s="247" t="inlineStr">
        <is>
          <t>28-32</t>
        </is>
      </c>
      <c r="E30" s="250" t="inlineStr">
        <is>
          <t>Salamandras, Culto da Coroacao Vazia</t>
        </is>
      </c>
      <c r="F30" s="250" t="inlineStr">
        <is>
          <t>Fenda vulcanica ainda ativa, lar do culto do Rei Vazio.</t>
        </is>
      </c>
      <c r="G30" s="264" t="n">
        <v>30</v>
      </c>
      <c r="H30" s="265" t="n"/>
      <c r="I30" s="266" t="n"/>
      <c r="J30" s="265" t="n"/>
      <c r="K30" s="267" t="n"/>
      <c r="L30" s="241" t="n">
        <v>4</v>
      </c>
    </row>
    <row r="31">
      <c r="A31" s="248" t="inlineStr">
        <is>
          <t>Trono da Coroação Vazia</t>
        </is>
      </c>
      <c r="B31" s="247" t="inlineStr">
        <is>
          <t>Covil de Boss</t>
        </is>
      </c>
      <c r="C31" s="247" t="inlineStr">
        <is>
          <t>Rocha Alta</t>
        </is>
      </c>
      <c r="D31" s="247" t="inlineStr">
        <is>
          <t>31-35</t>
        </is>
      </c>
      <c r="E31" s="250" t="inlineStr">
        <is>
          <t>Guardiao da Fenda Ativa, O Arauto da Coroação Vazia (exclusivos)</t>
        </is>
      </c>
      <c r="F31" s="250" t="inlineStr">
        <is>
          <t>Trono vazio no coracao da fenda, onde o Rei que nunca existiu seria coroado.</t>
        </is>
      </c>
      <c r="G31" s="264" t="n">
        <v>33</v>
      </c>
      <c r="H31" s="175" t="n"/>
      <c r="I31" s="174" t="n"/>
      <c r="J31" s="175" t="n"/>
      <c r="K31" s="162" t="n"/>
      <c r="L31" s="241" t="n">
        <v>4</v>
      </c>
    </row>
    <row r="32" ht="15" customHeight="1" s="116">
      <c r="A32" s="248" t="inlineStr">
        <is>
          <t>Refúgio do Observador</t>
        </is>
      </c>
      <c r="B32" s="247" t="inlineStr">
        <is>
          <t>Local Secreto</t>
        </is>
      </c>
      <c r="C32" s="247" t="inlineStr">
        <is>
          <t>Rocha Alta</t>
        </is>
      </c>
      <c r="D32" s="247" t="inlineStr">
        <is>
          <t>26-30</t>
        </is>
      </c>
      <c r="E32" s="250" t="inlineStr">
        <is>
          <t>Nenhum monstro — recompensa de exploracao</t>
        </is>
      </c>
      <c r="F32" s="250" t="inlineStr">
        <is>
          <t>So revelado se o Peregrino da Fenda for poupado.</t>
        </is>
      </c>
      <c r="G32" s="264" t="n">
        <v>28</v>
      </c>
      <c r="H32" s="175" t="n"/>
      <c r="I32" s="174" t="n"/>
      <c r="J32" s="175" t="n"/>
      <c r="K32" s="162" t="n"/>
      <c r="L32" s="241" t="n">
        <v>3</v>
      </c>
    </row>
    <row r="33">
      <c r="A33" s="248" t="inlineStr">
        <is>
          <t>Acampamento de Guerra Orc</t>
        </is>
      </c>
      <c r="B33" s="247" t="inlineStr">
        <is>
          <t>Campo de Batalha</t>
        </is>
      </c>
      <c r="C33" s="247" t="inlineStr">
        <is>
          <t>Cidadela dos Forjadores</t>
        </is>
      </c>
      <c r="D33" s="247" t="inlineStr">
        <is>
          <t>34-38</t>
        </is>
      </c>
      <c r="E33" s="250" t="inlineStr">
        <is>
          <t>Bando Orc, Xama do Sangue Negro</t>
        </is>
      </c>
      <c r="F33" s="250" t="inlineStr">
        <is>
          <t>Acampamento de guerra do bando orc corrompido.</t>
        </is>
      </c>
      <c r="G33" s="264" t="n">
        <v>36</v>
      </c>
      <c r="H33" s="265" t="n"/>
      <c r="I33" s="266" t="n"/>
      <c r="J33" s="265" t="n"/>
      <c r="K33" s="267" t="n"/>
      <c r="L33" s="241" t="n">
        <v>4</v>
      </c>
    </row>
    <row r="34">
      <c r="A34" s="248" t="inlineStr">
        <is>
          <t>Trilha de Caça do Bando</t>
        </is>
      </c>
      <c r="B34" s="247" t="inlineStr">
        <is>
          <t>Estrada Perigosa</t>
        </is>
      </c>
      <c r="C34" s="247" t="inlineStr">
        <is>
          <t>Acampamento de Guerra Orc</t>
        </is>
      </c>
      <c r="D34" s="247" t="inlineStr">
        <is>
          <t>34-38</t>
        </is>
      </c>
      <c r="E34" s="250" t="inlineStr">
        <is>
          <t>Lobos de Guerra, Batedores Orcs</t>
        </is>
      </c>
      <c r="F34" s="250" t="inlineStr">
        <is>
          <t>Trilha usada pelo bando pra cacar.</t>
        </is>
      </c>
      <c r="G34" s="264" t="n">
        <v>36</v>
      </c>
      <c r="H34" s="265" t="n"/>
      <c r="I34" s="266" t="n"/>
      <c r="J34" s="265" t="n"/>
      <c r="K34" s="267" t="n"/>
      <c r="L34" s="241" t="n">
        <v>3</v>
      </c>
    </row>
    <row r="35">
      <c r="A35" s="248" t="inlineStr">
        <is>
          <t>Tenda de Guerra do Chefe</t>
        </is>
      </c>
      <c r="B35" s="247" t="inlineStr">
        <is>
          <t>Covil de Boss</t>
        </is>
      </c>
      <c r="C35" s="247" t="inlineStr">
        <is>
          <t>Rocha Alta</t>
        </is>
      </c>
      <c r="D35" s="247" t="inlineStr">
        <is>
          <t>36-40</t>
        </is>
      </c>
      <c r="E35" s="250" t="inlineStr">
        <is>
          <t>Chefe do Bando Orc, O Guardião do Estandarte (exclusivos)</t>
        </is>
      </c>
      <c r="F35" s="250" t="inlineStr">
        <is>
          <t>Tenda central do acampamento, onde o Chefe comanda o bando corrompido.</t>
        </is>
      </c>
      <c r="G35" s="264" t="n">
        <v>38</v>
      </c>
      <c r="H35" s="175" t="n"/>
      <c r="I35" s="174" t="n"/>
      <c r="J35" s="175" t="n"/>
      <c r="K35" s="162" t="n"/>
      <c r="L35" s="241" t="n">
        <v>4</v>
      </c>
    </row>
    <row r="36">
      <c r="A36" s="248" t="inlineStr">
        <is>
          <t>Trilha Esquecida dos Batedores</t>
        </is>
      </c>
      <c r="B36" s="247" t="inlineStr">
        <is>
          <t>Local Secreto</t>
        </is>
      </c>
      <c r="C36" s="247" t="inlineStr">
        <is>
          <t>Rocha Alta</t>
        </is>
      </c>
      <c r="D36" s="247" t="inlineStr">
        <is>
          <t>32-36</t>
        </is>
      </c>
      <c r="E36" s="250" t="inlineStr">
        <is>
          <t>Nenhum monstro — recompensa de exploracao</t>
        </is>
      </c>
      <c r="F36" s="250" t="inlineStr">
        <is>
          <t>So revelado se o Batedor Ferido em Fuga for poupado.</t>
        </is>
      </c>
      <c r="G36" s="264" t="n">
        <v>34</v>
      </c>
      <c r="H36" s="175" t="n"/>
      <c r="I36" s="174" t="n"/>
      <c r="J36" s="175" t="n"/>
      <c r="K36" s="162" t="n"/>
      <c r="L36" s="241" t="n">
        <v>3</v>
      </c>
    </row>
    <row r="37">
      <c r="A37" s="248" t="inlineStr">
        <is>
          <t>Porto das Profundezas</t>
        </is>
      </c>
      <c r="B37" s="247" t="inlineStr">
        <is>
          <t>Cidade</t>
        </is>
      </c>
      <c r="C37" s="247" t="inlineStr">
        <is>
          <t>Acampamento de Guerra Orc</t>
        </is>
      </c>
      <c r="D37" s="247" t="inlineStr">
        <is>
          <t>38-42</t>
        </is>
      </c>
      <c r="E37" s="250" t="inlineStr">
        <is>
          <t>Culto da Assimilação (fachada)</t>
        </is>
      </c>
      <c r="F37" s="250" t="inlineStr">
        <is>
          <t>Porto abandonado nas margens do Lago Sem Sol.</t>
        </is>
      </c>
      <c r="G37" s="264" t="n">
        <v>40</v>
      </c>
      <c r="H37" s="265" t="n"/>
      <c r="I37" s="266" t="n"/>
      <c r="J37" s="265" t="n"/>
      <c r="K37" s="267" t="n"/>
      <c r="L37" s="241" t="n">
        <v>1</v>
      </c>
    </row>
    <row r="38">
      <c r="A38" s="248" t="inlineStr">
        <is>
          <t>Lago Sem Sol</t>
        </is>
      </c>
      <c r="B38" s="247" t="inlineStr">
        <is>
          <t>Pantano</t>
        </is>
      </c>
      <c r="C38" s="247" t="inlineStr">
        <is>
          <t>Porto das Profundezas</t>
        </is>
      </c>
      <c r="D38" s="247" t="inlineStr">
        <is>
          <t>39-43</t>
        </is>
      </c>
      <c r="E38" s="250" t="inlineStr">
        <is>
          <t>Marinheiros Assimilados, Peixes Abissais</t>
        </is>
      </c>
      <c r="F38" s="250" t="inlineStr">
        <is>
          <t>Lago subterraneo sem luz, onde naufragos foram assimilados.</t>
        </is>
      </c>
      <c r="G38" s="264" t="n">
        <v>41</v>
      </c>
      <c r="H38" s="265" t="n"/>
      <c r="I38" s="266" t="n"/>
      <c r="J38" s="265" t="n"/>
      <c r="K38" s="267" t="n"/>
      <c r="L38" s="241" t="n">
        <v>3</v>
      </c>
    </row>
    <row r="39">
      <c r="A39" s="248" t="inlineStr">
        <is>
          <t>Profundezas de Mithril</t>
        </is>
      </c>
      <c r="B39" s="247" t="inlineStr">
        <is>
          <t>Dungeon</t>
        </is>
      </c>
      <c r="C39" s="247" t="inlineStr">
        <is>
          <t>Porto das Profundezas</t>
        </is>
      </c>
      <c r="D39" s="247" t="inlineStr">
        <is>
          <t>39-43</t>
        </is>
      </c>
      <c r="E39" s="250" t="inlineStr">
        <is>
          <t>Morcegos, Acolitos da Fusao</t>
        </is>
      </c>
      <c r="F39" s="250" t="inlineStr">
        <is>
          <t>Cavernas profundas abaixo do lago.</t>
        </is>
      </c>
      <c r="G39" s="264" t="n">
        <v>41</v>
      </c>
      <c r="H39" s="265" t="n"/>
      <c r="I39" s="266" t="n"/>
      <c r="J39" s="265" t="n"/>
      <c r="K39" s="267" t="n"/>
      <c r="L39" s="241" t="n">
        <v>3</v>
      </c>
    </row>
    <row r="40">
      <c r="A40" s="248" t="inlineStr">
        <is>
          <t>Veio Profundo de Mithril</t>
        </is>
      </c>
      <c r="B40" s="247" t="inlineStr">
        <is>
          <t>Mina</t>
        </is>
      </c>
      <c r="C40" s="247" t="inlineStr">
        <is>
          <t>Porto das Profundezas</t>
        </is>
      </c>
      <c r="D40" s="247" t="inlineStr">
        <is>
          <t>39-43</t>
        </is>
      </c>
      <c r="E40" s="250" t="inlineStr">
        <is>
          <t>Cristais Vivos, Golems de Mithril</t>
        </is>
      </c>
      <c r="F40" s="250" t="inlineStr">
        <is>
          <t>Veio de mithril nas profundezas.</t>
        </is>
      </c>
      <c r="G40" s="264" t="n">
        <v>41</v>
      </c>
      <c r="H40" s="265" t="n"/>
      <c r="I40" s="266" t="n"/>
      <c r="J40" s="265" t="n"/>
      <c r="K40" s="267" t="n"/>
      <c r="L40" s="241" t="n">
        <v>3</v>
      </c>
    </row>
    <row r="41">
      <c r="A41" s="248" t="inlineStr">
        <is>
          <t>Abismo Guardado</t>
        </is>
      </c>
      <c r="B41" s="247" t="inlineStr">
        <is>
          <t>Covil de Boss</t>
        </is>
      </c>
      <c r="C41" s="247" t="inlineStr">
        <is>
          <t>Abismar</t>
        </is>
      </c>
      <c r="D41" s="247" t="inlineStr">
        <is>
          <t>39-45</t>
        </is>
      </c>
      <c r="E41" s="250" t="inlineStr">
        <is>
          <t>Elemental Guardião das Profundezas, O Devorador de Mithril (exclusivos)</t>
        </is>
      </c>
      <c r="F41" s="250" t="inlineStr">
        <is>
          <t>Ponto mais fundo do Lago Sem Sol, onde o elemental guarda o veio puro.</t>
        </is>
      </c>
      <c r="G41" s="264" t="n">
        <v>42</v>
      </c>
      <c r="H41" s="175" t="n"/>
      <c r="I41" s="174" t="n"/>
      <c r="J41" s="175" t="n"/>
      <c r="K41" s="162" t="n"/>
      <c r="L41" s="241" t="n">
        <v>4</v>
      </c>
    </row>
    <row r="42">
      <c r="A42" s="248" t="inlineStr">
        <is>
          <t>Fenda Extinta</t>
        </is>
      </c>
      <c r="B42" s="247" t="inlineStr">
        <is>
          <t>Fenda</t>
        </is>
      </c>
      <c r="C42" s="247" t="inlineStr">
        <is>
          <t>Porto das Profundezas</t>
        </is>
      </c>
      <c r="D42" s="247" t="inlineStr">
        <is>
          <t>44-48</t>
        </is>
      </c>
      <c r="E42" s="250" t="inlineStr">
        <is>
          <t>Sombras Vulcanicas, Zelotes da Fusao</t>
        </is>
      </c>
      <c r="F42" s="250" t="inlineStr">
        <is>
          <t>Fenda vulcanica morta, cinzas ainda amaldicoadas.</t>
        </is>
      </c>
      <c r="G42" s="264" t="n">
        <v>46</v>
      </c>
      <c r="H42" s="265" t="n"/>
      <c r="I42" s="266" t="n"/>
      <c r="J42" s="265" t="n"/>
      <c r="K42" s="267" t="n"/>
      <c r="L42" s="241" t="n">
        <v>4</v>
      </c>
    </row>
    <row r="43">
      <c r="A43" s="248" t="inlineStr">
        <is>
          <t>Câmara da Fusão</t>
        </is>
      </c>
      <c r="B43" s="247" t="inlineStr">
        <is>
          <t>Dungeon</t>
        </is>
      </c>
      <c r="C43" s="247" t="inlineStr">
        <is>
          <t>Fenda Extinta</t>
        </is>
      </c>
      <c r="D43" s="247" t="inlineStr">
        <is>
          <t>44-48</t>
        </is>
      </c>
      <c r="E43" s="250" t="inlineStr">
        <is>
          <t>Aberracoes, Ceifadores, Irma Vashti</t>
        </is>
      </c>
      <c r="F43" s="250" t="inlineStr">
        <is>
          <t>Camara ritualistica onde o Amalgama Original se forma.</t>
        </is>
      </c>
      <c r="G43" s="264" t="n">
        <v>46</v>
      </c>
      <c r="H43" s="265" t="n"/>
      <c r="I43" s="266" t="n"/>
      <c r="J43" s="265" t="n"/>
      <c r="K43" s="267" t="n"/>
      <c r="L43" s="241" t="n">
        <v>4</v>
      </c>
    </row>
    <row r="44">
      <c r="A44" s="248" t="inlineStr">
        <is>
          <t>Núcleo do Amálgama</t>
        </is>
      </c>
      <c r="B44" s="247" t="inlineStr">
        <is>
          <t>Covil de Boss</t>
        </is>
      </c>
      <c r="C44" s="247" t="inlineStr">
        <is>
          <t>Abismar</t>
        </is>
      </c>
      <c r="D44" s="247" t="inlineStr">
        <is>
          <t>44-50</t>
        </is>
      </c>
      <c r="E44" s="250" t="inlineStr">
        <is>
          <t>Guardiao da Fenda Morta, O Amálgama Original (exclusivos)</t>
        </is>
      </c>
      <c r="F44" s="250" t="inlineStr">
        <is>
          <t>Centro da Camara da Fusao, onde o Amalgama Original ainda cresce.</t>
        </is>
      </c>
      <c r="G44" s="264" t="n">
        <v>47</v>
      </c>
      <c r="H44" s="175" t="n"/>
      <c r="I44" s="174" t="n"/>
      <c r="J44" s="175" t="n"/>
      <c r="K44" s="162" t="n"/>
      <c r="L44" s="241" t="n">
        <v>4</v>
      </c>
    </row>
    <row r="45">
      <c r="A45" s="248" t="inlineStr">
        <is>
          <t>Bastião Adamantino</t>
        </is>
      </c>
      <c r="B45" s="247" t="inlineStr">
        <is>
          <t>Cidade</t>
        </is>
      </c>
      <c r="C45" s="247" t="inlineStr">
        <is>
          <t>Fenda Extinta</t>
        </is>
      </c>
      <c r="D45" s="247" t="inlineStr">
        <is>
          <t>48-52</t>
        </is>
      </c>
      <c r="E45" s="250" t="inlineStr">
        <is>
          <t>Ordem dos Cavaleiros (remanescente)</t>
        </is>
      </c>
      <c r="F45" s="250" t="inlineStr">
        <is>
          <t>Fortaleza adamantina, ultimo bastiao da ordem antiga.</t>
        </is>
      </c>
      <c r="G45" s="264" t="n">
        <v>50</v>
      </c>
      <c r="H45" s="265" t="n"/>
      <c r="I45" s="266" t="n"/>
      <c r="J45" s="265" t="n"/>
      <c r="K45" s="268" t="n"/>
      <c r="L45" s="241" t="n">
        <v>1</v>
      </c>
    </row>
    <row r="46">
      <c r="A46" s="248" t="inlineStr">
        <is>
          <t>Forja dos Titãs</t>
        </is>
      </c>
      <c r="B46" s="247" t="inlineStr">
        <is>
          <t>Ruina</t>
        </is>
      </c>
      <c r="C46" s="247" t="inlineStr">
        <is>
          <t>Bastião Adamantino</t>
        </is>
      </c>
      <c r="D46" s="247" t="inlineStr">
        <is>
          <t>50-54</t>
        </is>
      </c>
      <c r="E46" s="250" t="inlineStr">
        <is>
          <t>Golems de Guerra, Campeoes Adamantinos, Sir Aldric</t>
        </is>
      </c>
      <c r="F46" s="250" t="inlineStr">
        <is>
          <t>Forja titanica onde golems de guerra sao construidos.</t>
        </is>
      </c>
      <c r="G46" s="247" t="n">
        <v>52</v>
      </c>
      <c r="H46" s="247" t="inlineStr">
        <is>
          <t>-</t>
        </is>
      </c>
      <c r="I46" s="247" t="inlineStr">
        <is>
          <t>-</t>
        </is>
      </c>
      <c r="J46" s="247" t="inlineStr">
        <is>
          <t>-</t>
        </is>
      </c>
      <c r="K46" s="238" t="inlineStr">
        <is>
          <t>(definir depois)</t>
        </is>
      </c>
      <c r="L46" s="161" t="n">
        <v>4</v>
      </c>
    </row>
    <row r="47">
      <c r="A47" s="161" t="inlineStr">
        <is>
          <t>Templo da Heresia</t>
        </is>
      </c>
      <c r="B47" s="161" t="inlineStr">
        <is>
          <t>Dungeon</t>
        </is>
      </c>
      <c r="C47" s="161" t="inlineStr">
        <is>
          <t>Bastião Adamantino</t>
        </is>
      </c>
      <c r="D47" s="161" t="inlineStr">
        <is>
          <t>50-54</t>
        </is>
      </c>
      <c r="E47" s="161" t="inlineStr">
        <is>
          <t>Heresia do Titã Negro, Devotos</t>
        </is>
      </c>
      <c r="F47" s="161" t="inlineStr">
        <is>
          <t>Templo onde o culto do Tita Negro realiza seus rituais.</t>
        </is>
      </c>
      <c r="G47" s="161" t="n">
        <v>52</v>
      </c>
      <c r="L47" s="161" t="n">
        <v>4</v>
      </c>
    </row>
    <row r="48">
      <c r="A48" s="248" t="inlineStr">
        <is>
          <t>Salão do Titã Caído</t>
        </is>
      </c>
      <c r="B48" s="247" t="inlineStr">
        <is>
          <t>Covil de Boss</t>
        </is>
      </c>
      <c r="C48" s="247" t="inlineStr">
        <is>
          <t>Alto Bastião</t>
        </is>
      </c>
      <c r="D48" s="247" t="inlineStr">
        <is>
          <t>52-58</t>
        </is>
      </c>
      <c r="E48" s="250" t="inlineStr">
        <is>
          <t>Titã de Adamantina, O Herói Caído (Ressuscitado) (exclusivos)</t>
        </is>
      </c>
      <c r="F48" s="250" t="inlineStr">
        <is>
          <t>Salao mais fundo da Forja dos Titas, onde o primeiro Titan de guerra foi erguido.</t>
        </is>
      </c>
      <c r="G48" s="264" t="n">
        <v>55</v>
      </c>
      <c r="H48" s="175" t="n"/>
      <c r="I48" s="174" t="n"/>
      <c r="J48" s="175" t="n"/>
      <c r="K48" s="162" t="n"/>
      <c r="L48" s="241" t="n">
        <v>4</v>
      </c>
    </row>
    <row r="49">
      <c r="A49" s="269" t="inlineStr">
        <is>
          <t>Ossuário Draconiano</t>
        </is>
      </c>
      <c r="B49" s="161" t="inlineStr">
        <is>
          <t>Ruina</t>
        </is>
      </c>
      <c r="C49" s="161" t="inlineStr">
        <is>
          <t>Bastião Adamantino</t>
        </is>
      </c>
      <c r="D49" s="161" t="inlineStr">
        <is>
          <t>55-59</t>
        </is>
      </c>
      <c r="E49" s="161" t="inlineStr">
        <is>
          <t>Wyrmlings, Caçadores de Dragoes, Kessandra</t>
        </is>
      </c>
      <c r="F49" s="161" t="inlineStr">
        <is>
          <t>Cemiterio de dragoes, onde a Peste Escarlate se espalha.</t>
        </is>
      </c>
      <c r="G49" s="161" t="n">
        <v>57</v>
      </c>
      <c r="L49" s="161" t="n">
        <v>5</v>
      </c>
    </row>
    <row r="50">
      <c r="A50" s="161" t="inlineStr">
        <is>
          <t>Pântano da Peste</t>
        </is>
      </c>
      <c r="B50" s="161" t="inlineStr">
        <is>
          <t>Pantano</t>
        </is>
      </c>
      <c r="C50" s="161" t="inlineStr">
        <is>
          <t>Ossuário Draconiano</t>
        </is>
      </c>
      <c r="D50" s="161" t="inlineStr">
        <is>
          <t>55-59</t>
        </is>
      </c>
      <c r="E50" s="161" t="inlineStr">
        <is>
          <t>Serva da Peste Escarlate</t>
        </is>
      </c>
      <c r="F50" s="161" t="inlineStr">
        <is>
          <t>Pantano contaminado pela peste draconica.</t>
        </is>
      </c>
      <c r="G50" s="161" t="n">
        <v>57</v>
      </c>
      <c r="L50" s="161" t="n">
        <v>4</v>
      </c>
    </row>
    <row r="51">
      <c r="A51" s="161" t="inlineStr">
        <is>
          <t>Trilha dos Caçadores</t>
        </is>
      </c>
      <c r="B51" s="161" t="inlineStr">
        <is>
          <t>Estrada Perigosa</t>
        </is>
      </c>
      <c r="C51" s="161" t="inlineStr">
        <is>
          <t>Ossuário Draconiano</t>
        </is>
      </c>
      <c r="D51" s="161" t="inlineStr">
        <is>
          <t>54-58</t>
        </is>
      </c>
      <c r="E51" s="161" t="inlineStr">
        <is>
          <t>Caçadores de Dragoes</t>
        </is>
      </c>
      <c r="F51" s="161" t="inlineStr">
        <is>
          <t>Trilha usada pelos cacadores de dragao.</t>
        </is>
      </c>
      <c r="G51" s="161" t="n">
        <v>56</v>
      </c>
      <c r="L51" s="161" t="n">
        <v>3</v>
      </c>
    </row>
    <row r="52">
      <c r="A52" s="248" t="inlineStr">
        <is>
          <t>Ninho do Dragão Ancião</t>
        </is>
      </c>
      <c r="B52" s="247" t="inlineStr">
        <is>
          <t>Covil de Boss</t>
        </is>
      </c>
      <c r="C52" s="247" t="inlineStr">
        <is>
          <t>Alto Bastião</t>
        </is>
      </c>
      <c r="D52" s="247" t="inlineStr">
        <is>
          <t>55-62</t>
        </is>
      </c>
      <c r="E52" s="250" t="inlineStr">
        <is>
          <t>Dragao Anciao, O Dragão da Peste Escarlate (exclusivos)</t>
        </is>
      </c>
      <c r="F52" s="250" t="inlineStr">
        <is>
          <t>Topo do Ossuario Draconiano, onde o Dragao Anciao ainda repousa, doente.</t>
        </is>
      </c>
      <c r="G52" s="264" t="n">
        <v>59</v>
      </c>
      <c r="H52" s="175" t="n"/>
      <c r="I52" s="174" t="n"/>
      <c r="J52" s="175" t="n"/>
      <c r="K52" s="162" t="n"/>
      <c r="L52" s="241" t="n">
        <v>5</v>
      </c>
    </row>
    <row r="53">
      <c r="A53" s="161" t="inlineStr">
        <is>
          <t>Círculo do Pacto</t>
        </is>
      </c>
      <c r="B53" s="161" t="inlineStr">
        <is>
          <t>Ritual</t>
        </is>
      </c>
      <c r="C53" s="161" t="inlineStr">
        <is>
          <t>Ossuário Draconiano</t>
        </is>
      </c>
      <c r="D53" s="161" t="inlineStr">
        <is>
          <t>62-66</t>
        </is>
      </c>
      <c r="E53" s="161" t="inlineStr">
        <is>
          <t>Culto Daedrico, Arquivista Traidor, Irma Coral</t>
        </is>
      </c>
      <c r="F53" s="161" t="inlineStr">
        <is>
          <t>Circulo ritualistico onde o Pacto Daedrico e selado.</t>
        </is>
      </c>
      <c r="G53" s="161" t="n">
        <v>64</v>
      </c>
      <c r="L53" s="161" t="n">
        <v>5</v>
      </c>
    </row>
    <row r="54">
      <c r="A54" s="248" t="inlineStr">
        <is>
          <t>Altar do Pacto Selado</t>
        </is>
      </c>
      <c r="B54" s="247" t="inlineStr">
        <is>
          <t>Covil de Boss</t>
        </is>
      </c>
      <c r="C54" s="247" t="inlineStr">
        <is>
          <t>O Limiar</t>
        </is>
      </c>
      <c r="D54" s="247" t="inlineStr">
        <is>
          <t>62-68</t>
        </is>
      </c>
      <c r="E54" s="250" t="inlineStr">
        <is>
          <t>Arauto Daedrico, O Arquivista Traidor (exclusivos)</t>
        </is>
      </c>
      <c r="F54" s="250" t="inlineStr">
        <is>
          <t>Altar mais interno do Circulo, onde o Pacto foi selado pela primeira vez.</t>
        </is>
      </c>
      <c r="G54" s="264" t="n">
        <v>65</v>
      </c>
      <c r="H54" s="175" t="n"/>
      <c r="I54" s="174" t="n"/>
      <c r="J54" s="175" t="n"/>
      <c r="K54" s="162" t="n"/>
      <c r="L54" s="241" t="n">
        <v>5</v>
      </c>
    </row>
    <row r="55">
      <c r="A55" s="161" t="inlineStr">
        <is>
          <t>Fenda Estelar</t>
        </is>
      </c>
      <c r="B55" s="161" t="inlineStr">
        <is>
          <t>Portal</t>
        </is>
      </c>
      <c r="C55" s="161" t="inlineStr">
        <is>
          <t>Círculo do Pacto</t>
        </is>
      </c>
      <c r="D55" s="161" t="inlineStr">
        <is>
          <t>68-72</t>
        </is>
      </c>
      <c r="E55" s="161" t="inlineStr">
        <is>
          <t>Fragmentos Estelares, Zelotes Finais, O Aspecto</t>
        </is>
      </c>
      <c r="F55" s="161" t="inlineStr">
        <is>
          <t>Fenda que conecta ao vazio cosmico, ultimo estagio da Infeccao.</t>
        </is>
      </c>
      <c r="G55" s="161" t="n">
        <v>70</v>
      </c>
      <c r="L55" s="161" t="n">
        <v>5</v>
      </c>
    </row>
    <row r="56">
      <c r="A56" s="248" t="inlineStr">
        <is>
          <t>O Coração da Fenda Estelar</t>
        </is>
      </c>
      <c r="B56" s="247" t="inlineStr">
        <is>
          <t>Covil de Boss</t>
        </is>
      </c>
      <c r="C56" s="247" t="inlineStr">
        <is>
          <t>O Limiar</t>
        </is>
      </c>
      <c r="D56" s="247" t="inlineStr">
        <is>
          <t>71-75</t>
        </is>
      </c>
      <c r="E56" s="250" t="inlineStr">
        <is>
          <t>O Guardião do Portal Estelar (Boss), O Aspecto da Infecção (Entidade Cósmica final, exclusivo)</t>
        </is>
      </c>
      <c r="F56" s="250" t="inlineStr">
        <is>
          <t>O ponto mais interno da fenda, onde a Infeccao inteira converge — o confronto final do jogo.</t>
        </is>
      </c>
      <c r="G56" s="264" t="n">
        <v>73</v>
      </c>
      <c r="H56" s="175" t="n"/>
      <c r="I56" s="174" t="n"/>
      <c r="J56" s="175" t="n"/>
      <c r="K56" s="162" t="n"/>
      <c r="L56" s="241" t="n">
        <v>5</v>
      </c>
    </row>
    <row r="57">
      <c r="A57" s="248" t="inlineStr">
        <is>
          <t>Memória da Última Testemunha</t>
        </is>
      </c>
      <c r="B57" s="247" t="inlineStr">
        <is>
          <t>Local Secreto</t>
        </is>
      </c>
      <c r="C57" s="247" t="inlineStr">
        <is>
          <t>O Limiar</t>
        </is>
      </c>
      <c r="D57" s="247" t="inlineStr">
        <is>
          <t>66-70</t>
        </is>
      </c>
      <c r="E57" s="250" t="inlineStr">
        <is>
          <t>Nenhum monstro — lore rara de exploracao</t>
        </is>
      </c>
      <c r="F57" s="250" t="inlineStr">
        <is>
          <t>So revelado se a Testemunha Silenciosa do Fim for poupada.</t>
        </is>
      </c>
      <c r="G57" s="264" t="n">
        <v>68</v>
      </c>
      <c r="H57" s="175" t="n"/>
      <c r="I57" s="174" t="n"/>
      <c r="J57" s="175" t="n"/>
      <c r="K57" s="162" t="n"/>
      <c r="L57" s="241" t="n">
        <v>4</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H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15" min="1" max="1"/>
    <col width="26" customWidth="1" style="115" min="2" max="2"/>
    <col width="30" customWidth="1" style="115" min="3" max="3"/>
    <col width="10" customWidth="1" style="115" min="4" max="5"/>
    <col width="32" customWidth="1" style="115" min="6" max="6"/>
    <col width="38" customWidth="1" style="115" min="7" max="8"/>
  </cols>
  <sheetData>
    <row r="1" ht="17.25" customHeight="1" s="116">
      <c r="A1" s="117" t="inlineStr">
        <is>
          <t>Campanha: A Infeccao que Segura o Mundo</t>
        </is>
      </c>
    </row>
    <row r="2" ht="15" customHeight="1" s="116">
      <c r="A2" s="123" t="inlineStr">
        <is>
          <t>Lore original do Laerte, mapeada em cima dos 14 tiers ja existentes. Nada na planilha de numeros muda.</t>
        </is>
      </c>
    </row>
    <row r="4" ht="15" customHeight="1" s="116">
      <c r="A4" s="124" t="inlineStr">
        <is>
          <t>Ato</t>
        </is>
      </c>
      <c r="B4" s="124" t="inlineStr">
        <is>
          <t>Titulo</t>
        </is>
      </c>
      <c r="C4" s="124" t="inlineStr">
        <is>
          <t>Tiers Cobertos</t>
        </is>
      </c>
      <c r="D4" s="124" t="inlineStr">
        <is>
          <t>Nivel Min</t>
        </is>
      </c>
      <c r="E4" s="124" t="inlineStr">
        <is>
          <t>Nivel Max</t>
        </is>
      </c>
      <c r="F4" s="124" t="inlineStr">
        <is>
          <t>Cidades (Polos)</t>
        </is>
      </c>
      <c r="G4" s="124" t="inlineStr">
        <is>
          <t>Gancho Principal</t>
        </is>
      </c>
      <c r="H4" s="124" t="inlineStr">
        <is>
          <t>Missao Secundaria (do Laerte)</t>
        </is>
      </c>
    </row>
    <row r="5" ht="23.25" customHeight="1" s="116">
      <c r="A5" s="133" t="inlineStr">
        <is>
          <t>I</t>
        </is>
      </c>
      <c r="B5" s="133" t="inlineStr">
        <is>
          <t>O Sangue que Toca</t>
        </is>
      </c>
      <c r="C5" s="128" t="inlineStr">
        <is>
          <t>Sucata Enferrujada, Bronze, Ferro</t>
        </is>
      </c>
      <c r="D5" s="128" t="n">
        <v>1</v>
      </c>
      <c r="E5" s="128" t="n">
        <v>15</v>
      </c>
      <c r="F5" s="136" t="inlineStr">
        <is>
          <t>Valória, Cinzenta</t>
        </is>
      </c>
      <c r="G5" s="136" t="inlineStr">
        <is>
          <t>Vila encontrada vazia, marcas de dedos ensanguentados nas paredes.</t>
        </is>
      </c>
      <c r="H5" s="136" t="inlineStr">
        <is>
          <t>A Crianca que Nao Solta - resolver revela como a infeccao se ancora em pessoas.</t>
        </is>
      </c>
    </row>
    <row r="6" ht="23.25" customHeight="1" s="116">
      <c r="A6" s="133" t="inlineStr">
        <is>
          <t>II</t>
        </is>
      </c>
      <c r="B6" s="133" t="inlineStr">
        <is>
          <t>A Sombra que Esmaga</t>
        </is>
      </c>
      <c r="C6" s="128" t="inlineStr">
        <is>
          <t>Prata, Aco Elfico, Mecanismo Anao</t>
        </is>
      </c>
      <c r="D6" s="128" t="n">
        <v>16</v>
      </c>
      <c r="E6" s="128" t="n">
        <v>30</v>
      </c>
      <c r="F6" s="136" t="inlineStr">
        <is>
          <t>Ecoril, Rocha Alta</t>
        </is>
      </c>
      <c r="G6" s="136" t="inlineStr">
        <is>
          <t>Mortes mudam de padrao: vitimas sem expressao, sem voz, sem calor.</t>
        </is>
      </c>
      <c r="H6" s="136" t="inlineStr">
        <is>
          <t>O Sino Que Nao Deve Tocar - usar, destruir ou esconder o sino.</t>
        </is>
      </c>
    </row>
    <row r="7" ht="23.25" customHeight="1" s="116">
      <c r="A7" s="133" t="inlineStr">
        <is>
          <t>III</t>
        </is>
      </c>
      <c r="B7" s="133" t="inlineStr">
        <is>
          <t>O Rei que Governa sem Corpo</t>
        </is>
      </c>
      <c r="C7" s="128" t="inlineStr">
        <is>
          <t>Vidro Vulcanico, Ferro Orquico, Mithril</t>
        </is>
      </c>
      <c r="D7" s="128" t="n">
        <v>31</v>
      </c>
      <c r="E7" s="128" t="n">
        <v>45</v>
      </c>
      <c r="F7" s="136" t="inlineStr">
        <is>
          <t>Abismar</t>
        </is>
      </c>
      <c r="G7" s="136" t="inlineStr">
        <is>
          <t>Cultos surgem adorando 'a Mao que Mandou o Mundo se Curvar'.</t>
        </is>
      </c>
      <c r="H7" s="136" t="inlineStr">
        <is>
          <t>A Coroacao Interrompida - enfraquece o Rei ou liberta algo instavel.</t>
        </is>
      </c>
    </row>
    <row r="8" ht="23.25" customHeight="1" s="116">
      <c r="A8" s="133" t="inlineStr">
        <is>
          <t>IV</t>
        </is>
      </c>
      <c r="B8" s="133" t="inlineStr">
        <is>
          <t>A Carne que se Espalha</t>
        </is>
      </c>
      <c r="C8" s="128" t="inlineStr">
        <is>
          <t>Ebano, Adamantina, Osso de Dragao</t>
        </is>
      </c>
      <c r="D8" s="128" t="n">
        <v>46</v>
      </c>
      <c r="E8" s="128" t="n">
        <v>62</v>
      </c>
      <c r="F8" s="136" t="inlineStr">
        <is>
          <t>Alto Bastião</t>
        </is>
      </c>
      <c r="G8" s="136" t="inlineStr">
        <is>
          <t>O chao pulsa, animais nascem deformados - e assimilacao, nao invasao.</t>
        </is>
      </c>
      <c r="H8" s="136" t="inlineStr">
        <is>
          <t>O Ultimo Corpo Puro - NPC nunca tocado: chave do ritual ou hospedeiro perfeito?</t>
        </is>
      </c>
    </row>
    <row r="9" ht="23.25" customHeight="1" s="116">
      <c r="A9" s="133" t="inlineStr">
        <is>
          <t>V</t>
        </is>
      </c>
      <c r="B9" s="133" t="inlineStr">
        <is>
          <t>A Mao que Segura o Fim</t>
        </is>
      </c>
      <c r="C9" s="128" t="inlineStr">
        <is>
          <t>Pacto Daedrico, Estelar/Cosmico</t>
        </is>
      </c>
      <c r="D9" s="128" t="n">
        <v>63</v>
      </c>
      <c r="E9" s="128" t="n">
        <v>75</v>
      </c>
      <c r="F9" s="136" t="inlineStr">
        <is>
          <t>O Limiar</t>
        </is>
      </c>
      <c r="G9" s="136" t="inlineStr">
        <is>
          <t>O Aspecto desperta. Nao fala, nao ameaca. Avanca.</t>
        </is>
      </c>
      <c r="H9" s="136" t="inlineStr">
        <is>
          <t>O Preco da Erradicacao - algo deve ser entregue para impedir o ciclo.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I3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15" min="1" max="1"/>
    <col width="10" customWidth="1" style="115" min="2" max="2"/>
    <col width="11" customWidth="1" style="115" min="3" max="3"/>
    <col width="12" customWidth="1" style="115" min="4" max="4"/>
    <col width="16" customWidth="1" style="115" min="5" max="6"/>
    <col width="20" customWidth="1" style="115" min="7" max="7"/>
    <col width="34" customWidth="1" style="115" min="8" max="8"/>
    <col width="50" customWidth="1" style="115" min="9" max="9"/>
  </cols>
  <sheetData>
    <row r="1" ht="17.25" customHeight="1" s="116">
      <c r="A1" s="177" t="inlineStr">
        <is>
          <t>Magia e Habilidades</t>
        </is>
      </c>
    </row>
    <row r="2" ht="15" customHeight="1" s="116">
      <c r="A2" s="178" t="inlineStr">
        <is>
          <t>Dano de magia usa a MESMA Curva Mestra do dano de arma - so aplica um multiplicador. Sem matematica paralela.</t>
        </is>
      </c>
    </row>
    <row r="3" ht="15" customHeight="1" s="116">
      <c r="A3" s="178" t="inlineStr">
        <is>
          <t>IMPORTANTE: o Dano de Exemplo abaixo e so referencia no nivel minimo. Em jogo, use sempre o Dano Arma Padrao do NIVEL ATUAL do personagem x o multiplicador.</t>
        </is>
      </c>
    </row>
    <row r="5" ht="15" customHeight="1" s="116">
      <c r="A5" s="165" t="inlineStr">
        <is>
          <t>Roda Elemental (opcional): elemento fraco leva +50% de dano; elemento que resiste o proprio tipo leva -50%.</t>
        </is>
      </c>
    </row>
    <row r="6" ht="15" customHeight="1" s="116">
      <c r="A6" s="179" t="inlineStr">
        <is>
          <t>- Fogo &lt;-&gt; Gelo (opostos)</t>
        </is>
      </c>
    </row>
    <row r="7" ht="15" customHeight="1" s="116">
      <c r="A7" s="179" t="inlineStr">
        <is>
          <t>- Luz &lt;-&gt; Sombra (opostos)</t>
        </is>
      </c>
    </row>
    <row r="8" ht="15" customHeight="1" s="116">
      <c r="A8" s="179" t="inlineStr">
        <is>
          <t>- Raio &lt;-&gt; Arcano (opostos)</t>
        </is>
      </c>
    </row>
    <row r="10" ht="15" customHeight="1" s="116">
      <c r="A10" s="165" t="inlineStr">
        <is>
          <t>Parametro</t>
        </is>
      </c>
      <c r="B10" s="165" t="inlineStr">
        <is>
          <t>Valor</t>
        </is>
      </c>
      <c r="C10" s="165" t="inlineStr">
        <is>
          <t>O que controla</t>
        </is>
      </c>
    </row>
    <row r="11" ht="15" customHeight="1" s="116">
      <c r="A11" s="168" t="inlineStr">
        <is>
          <t>Custo_Mana_Basico</t>
        </is>
      </c>
      <c r="B11" s="169" t="n">
        <v>0.15</v>
      </c>
      <c r="C11" s="180" t="inlineStr">
        <is>
          <t>Custo de mana de habilidade Basica = Mana do nivel minimo x este valor</t>
        </is>
      </c>
    </row>
    <row r="12" ht="15" customHeight="1" s="116">
      <c r="A12" s="168" t="inlineStr">
        <is>
          <t>Custo_Mana_Avancado</t>
        </is>
      </c>
      <c r="B12" s="169" t="n">
        <v>0.4</v>
      </c>
      <c r="C12" s="180" t="inlineStr">
        <is>
          <t>Custo de mana de habilidade Avancada = Mana do nivel minimo x este valor</t>
        </is>
      </c>
    </row>
    <row r="13" ht="15" customHeight="1" s="116">
      <c r="A13" s="168" t="inlineStr">
        <is>
          <t>Nivel_Minimo_Basico</t>
        </is>
      </c>
      <c r="B13" s="169" t="n">
        <v>5</v>
      </c>
      <c r="C13" s="180" t="inlineStr">
        <is>
          <t>Nivel minimo padrao para aprender habilidades Basicas</t>
        </is>
      </c>
    </row>
    <row r="14" ht="15" customHeight="1" s="116">
      <c r="A14" s="168" t="inlineStr">
        <is>
          <t>Nivel_Minimo_Avancado</t>
        </is>
      </c>
      <c r="B14" s="169" t="n">
        <v>30</v>
      </c>
      <c r="C14" s="180" t="inlineStr">
        <is>
          <t>Nivel minimo padrao para aprender habilidades Avancadas</t>
        </is>
      </c>
    </row>
    <row r="15" ht="15" customHeight="1" s="116">
      <c r="A15" s="155" t="inlineStr">
        <is>
          <t>Custo_Mana_Mestre</t>
        </is>
      </c>
      <c r="B15" s="155" t="n">
        <v>0.65</v>
      </c>
      <c r="C15" s="155" t="inlineStr">
        <is>
          <t>Custo de mana de habilidade Mestre = Mana do nivel minimo x este valor</t>
        </is>
      </c>
    </row>
    <row r="16" ht="15" customHeight="1" s="116">
      <c r="A16" s="155" t="inlineStr">
        <is>
          <t>Nivel_Minimo_Mestre</t>
        </is>
      </c>
      <c r="B16" s="155" t="n">
        <v>55</v>
      </c>
      <c r="C16" s="155" t="inlineStr">
        <is>
          <t>Nivel minimo para aprender habilidades Mestre (mesmo conceito de Grao-Mestre da Especializacao)</t>
        </is>
      </c>
    </row>
    <row r="17" ht="15" customHeight="1" s="116">
      <c r="A17" s="165" t="inlineStr">
        <is>
          <t>Nome</t>
        </is>
      </c>
      <c r="B17" s="165" t="inlineStr">
        <is>
          <t>Elemento</t>
        </is>
      </c>
      <c r="C17" s="165" t="inlineStr">
        <is>
          <t>Tier</t>
        </is>
      </c>
      <c r="D17" s="165" t="inlineStr">
        <is>
          <t>Nivel Minimo</t>
        </is>
      </c>
      <c r="E17" s="165" t="inlineStr">
        <is>
          <t>Custo de Mana (ref.)</t>
        </is>
      </c>
      <c r="F17" s="165" t="inlineStr">
        <is>
          <t>Multiplicador de Dano</t>
        </is>
      </c>
      <c r="G17" s="165" t="inlineStr">
        <is>
          <t>Dano de Exemplo (no nivel minimo)</t>
        </is>
      </c>
      <c r="H17" s="165" t="inlineStr">
        <is>
          <t>Efeito Adicional</t>
        </is>
      </c>
      <c r="I17" s="165" t="inlineStr">
        <is>
          <t>Historia</t>
        </is>
      </c>
    </row>
    <row r="18" ht="15" customHeight="1" s="116">
      <c r="A18" s="167" t="inlineStr">
        <is>
          <t>Bola de Fogo Menor</t>
        </is>
      </c>
      <c r="B18" s="168" t="inlineStr">
        <is>
          <t>Fogo</t>
        </is>
      </c>
      <c r="C18" s="168" t="inlineStr">
        <is>
          <t>Basico</t>
        </is>
      </c>
      <c r="D18" s="171">
        <f>$B$13</f>
        <v/>
      </c>
      <c r="E18" s="171">
        <f>ROUND(INDEX('Curva Mestra'!$M$20:$M$94,MATCH(D18,'Curva Mestra'!$A$20:$A$94,0))*$B$11,0)</f>
        <v/>
      </c>
      <c r="F18" s="169" t="n">
        <v>1.3</v>
      </c>
      <c r="G18" s="171">
        <f>ROUND(INDEX('Curva Mestra'!$C$20:$C$94,MATCH(D18,'Curva Mestra'!$A$20:$A$94,0))*F18,0)</f>
        <v/>
      </c>
      <c r="H18" s="170" t="inlineStr">
        <is>
          <t>Nenhum extra</t>
        </is>
      </c>
      <c r="I18" s="181" t="inlineStr">
        <is>
          <t>O primeiro feitico que todo aprendiz de fogo aprende - e o ultimo que alguns sobrevivem a errar.</t>
        </is>
      </c>
    </row>
    <row r="19" ht="23.25" customHeight="1" s="116">
      <c r="A19" s="167" t="inlineStr">
        <is>
          <t>Explosao Vulcanica</t>
        </is>
      </c>
      <c r="B19" s="168" t="inlineStr">
        <is>
          <t>Fogo</t>
        </is>
      </c>
      <c r="C19" s="168" t="inlineStr">
        <is>
          <t>Avancado</t>
        </is>
      </c>
      <c r="D19" s="171">
        <f>$B$14</f>
        <v/>
      </c>
      <c r="E19" s="171">
        <f>ROUND(INDEX('Curva Mestra'!$M$20:$M$94,MATCH(D19,'Curva Mestra'!$A$20:$A$94,0))*$B$12,0)</f>
        <v/>
      </c>
      <c r="F19" s="169" t="n">
        <v>2.5</v>
      </c>
      <c r="G19" s="171">
        <f>ROUND(INDEX('Curva Mestra'!$C$20:$C$94,MATCH(D19,'Curva Mestra'!$A$20:$A$94,0))*F19,0)</f>
        <v/>
      </c>
      <c r="H19" s="170" t="inlineStr">
        <is>
          <t>Queimadura: 2 de dano por turno, por 3 turnos</t>
        </is>
      </c>
      <c r="I19" s="181" t="inlineStr">
        <is>
          <t>Nao e elegante. Nao precisa ser.</t>
        </is>
      </c>
    </row>
    <row r="20" ht="23.25" customHeight="1" s="116">
      <c r="A20" s="167" t="inlineStr">
        <is>
          <t>Lanca de Gelo</t>
        </is>
      </c>
      <c r="B20" s="168" t="inlineStr">
        <is>
          <t>Gelo</t>
        </is>
      </c>
      <c r="C20" s="168" t="inlineStr">
        <is>
          <t>Basico</t>
        </is>
      </c>
      <c r="D20" s="171">
        <f>$B$13</f>
        <v/>
      </c>
      <c r="E20" s="171">
        <f>ROUND(INDEX('Curva Mestra'!$M$20:$M$94,MATCH(D20,'Curva Mestra'!$A$20:$A$94,0))*$B$11,0)</f>
        <v/>
      </c>
      <c r="F20" s="169" t="n">
        <v>1.3</v>
      </c>
      <c r="G20" s="171">
        <f>ROUND(INDEX('Curva Mestra'!$C$20:$C$94,MATCH(D20,'Curva Mestra'!$A$20:$A$94,0))*F20,0)</f>
        <v/>
      </c>
      <c r="H20" s="170" t="inlineStr">
        <is>
          <t>Alvo perde a proxima acao bonus (lentidao leve)</t>
        </is>
      </c>
      <c r="I20" s="181" t="inlineStr">
        <is>
          <t>Corta o ar antes de cortar a pele.</t>
        </is>
      </c>
    </row>
    <row r="21" ht="15" customHeight="1" s="116">
      <c r="A21" s="167" t="inlineStr">
        <is>
          <t>Prisao Glacial</t>
        </is>
      </c>
      <c r="B21" s="168" t="inlineStr">
        <is>
          <t>Gelo</t>
        </is>
      </c>
      <c r="C21" s="168" t="inlineStr">
        <is>
          <t>Avancado</t>
        </is>
      </c>
      <c r="D21" s="171">
        <f>$B$14</f>
        <v/>
      </c>
      <c r="E21" s="171">
        <f>ROUND(INDEX('Curva Mestra'!$M$20:$M$94,MATCH(D21,'Curva Mestra'!$A$20:$A$94,0))*$B$12,0)</f>
        <v/>
      </c>
      <c r="F21" s="169" t="n">
        <v>2.2</v>
      </c>
      <c r="G21" s="171">
        <f>ROUND(INDEX('Curva Mestra'!$C$20:$C$94,MATCH(D21,'Curva Mestra'!$A$20:$A$94,0))*F21,0)</f>
        <v/>
      </c>
      <c r="H21" s="170" t="inlineStr">
        <is>
          <t>Atordoa o alvo por 1 turno</t>
        </is>
      </c>
      <c r="I21" s="181" t="inlineStr">
        <is>
          <t>O frio que nao mata - so impede de fugir.</t>
        </is>
      </c>
    </row>
    <row r="22" ht="15" customHeight="1" s="116">
      <c r="A22" s="167" t="inlineStr">
        <is>
          <t>Choque</t>
        </is>
      </c>
      <c r="B22" s="168" t="inlineStr">
        <is>
          <t>Raio</t>
        </is>
      </c>
      <c r="C22" s="168" t="inlineStr">
        <is>
          <t>Basico</t>
        </is>
      </c>
      <c r="D22" s="171">
        <f>$B$13</f>
        <v/>
      </c>
      <c r="E22" s="171">
        <f>ROUND(INDEX('Curva Mestra'!$M$20:$M$94,MATCH(D22,'Curva Mestra'!$A$20:$A$94,0))*$B$11,0)</f>
        <v/>
      </c>
      <c r="F22" s="169" t="n">
        <v>1.4</v>
      </c>
      <c r="G22" s="171">
        <f>ROUND(INDEX('Curva Mestra'!$C$20:$C$94,MATCH(D22,'Curva Mestra'!$A$20:$A$94,0))*F22,0)</f>
        <v/>
      </c>
      <c r="H22" s="170" t="inlineStr">
        <is>
          <t>33% de chance de atordoar por 1 turno</t>
        </is>
      </c>
      <c r="I22" s="181" t="inlineStr">
        <is>
          <t>Rapido demais pra sentir ate ja ter acontecido.</t>
        </is>
      </c>
    </row>
    <row r="23" ht="23.25" customHeight="1" s="116">
      <c r="A23" s="167" t="inlineStr">
        <is>
          <t>Tempestade Eletrica</t>
        </is>
      </c>
      <c r="B23" s="168" t="inlineStr">
        <is>
          <t>Raio</t>
        </is>
      </c>
      <c r="C23" s="168" t="inlineStr">
        <is>
          <t>Avancado</t>
        </is>
      </c>
      <c r="D23" s="171">
        <f>$B$14</f>
        <v/>
      </c>
      <c r="E23" s="171">
        <f>ROUND(INDEX('Curva Mestra'!$M$20:$M$94,MATCH(D23,'Curva Mestra'!$A$20:$A$94,0))*$B$12,0)</f>
        <v/>
      </c>
      <c r="F23" s="169" t="n">
        <v>2.4</v>
      </c>
      <c r="G23" s="171">
        <f>ROUND(INDEX('Curva Mestra'!$C$20:$C$94,MATCH(D23,'Curva Mestra'!$A$20:$A$94,0))*F23,0)</f>
        <v/>
      </c>
      <c r="H23" s="170" t="inlineStr">
        <is>
          <t>Atinge todos os inimigos no combate (regra de area)</t>
        </is>
      </c>
      <c r="I23" s="181" t="inlineStr">
        <is>
          <t>O ceu empresta a furia por um instante so.</t>
        </is>
      </c>
    </row>
    <row r="24" ht="23.25" customHeight="1" s="116">
      <c r="A24" s="167" t="inlineStr">
        <is>
          <t>Toque Sombrio</t>
        </is>
      </c>
      <c r="B24" s="168" t="inlineStr">
        <is>
          <t>Sombra</t>
        </is>
      </c>
      <c r="C24" s="168" t="inlineStr">
        <is>
          <t>Basico</t>
        </is>
      </c>
      <c r="D24" s="171">
        <f>$B$13</f>
        <v/>
      </c>
      <c r="E24" s="171">
        <f>ROUND(INDEX('Curva Mestra'!$M$20:$M$94,MATCH(D24,'Curva Mestra'!$A$20:$A$94,0))*$B$11,0)</f>
        <v/>
      </c>
      <c r="F24" s="169" t="n">
        <v>1.2</v>
      </c>
      <c r="G24" s="171">
        <f>ROUND(INDEX('Curva Mestra'!$C$20:$C$94,MATCH(D24,'Curva Mestra'!$A$20:$A$94,0))*F24,0)</f>
        <v/>
      </c>
      <c r="H24" s="170" t="inlineStr">
        <is>
          <t>Alvo tem 30% de chance de errar o proximo ataque</t>
        </is>
      </c>
      <c r="I24" s="181" t="inlineStr">
        <is>
          <t>A escuridao nao precisa tocar fundo pra doer.</t>
        </is>
      </c>
    </row>
    <row r="25" ht="23.25" customHeight="1" s="116">
      <c r="A25" s="167" t="inlineStr">
        <is>
          <t>Consumir Vida</t>
        </is>
      </c>
      <c r="B25" s="168" t="inlineStr">
        <is>
          <t>Sombra</t>
        </is>
      </c>
      <c r="C25" s="168" t="inlineStr">
        <is>
          <t>Avancado</t>
        </is>
      </c>
      <c r="D25" s="171">
        <f>$B$14</f>
        <v/>
      </c>
      <c r="E25" s="171">
        <f>ROUND(INDEX('Curva Mestra'!$M$20:$M$94,MATCH(D25,'Curva Mestra'!$A$20:$A$94,0))*$B$12,0)</f>
        <v/>
      </c>
      <c r="F25" s="169" t="n">
        <v>2</v>
      </c>
      <c r="G25" s="171">
        <f>ROUND(INDEX('Curva Mestra'!$C$20:$C$94,MATCH(D25,'Curva Mestra'!$A$20:$A$94,0))*F25,0)</f>
        <v/>
      </c>
      <c r="H25" s="170" t="inlineStr">
        <is>
          <t>Conjurador recupera 40% do dano causado como HP</t>
        </is>
      </c>
      <c r="I25" s="181" t="inlineStr">
        <is>
          <t>Toma emprestado o que o corpo do outro nao vai mais precisar.</t>
        </is>
      </c>
    </row>
    <row r="26" ht="15" customHeight="1" s="116">
      <c r="A26" s="167" t="inlineStr">
        <is>
          <t>Raio Sagrado</t>
        </is>
      </c>
      <c r="B26" s="168" t="inlineStr">
        <is>
          <t>Luz</t>
        </is>
      </c>
      <c r="C26" s="168" t="inlineStr">
        <is>
          <t>Basico</t>
        </is>
      </c>
      <c r="D26" s="171">
        <f>$B$13</f>
        <v/>
      </c>
      <c r="E26" s="171">
        <f>ROUND(INDEX('Curva Mestra'!$M$20:$M$94,MATCH(D26,'Curva Mestra'!$A$20:$A$94,0))*$B$11,0)</f>
        <v/>
      </c>
      <c r="F26" s="169" t="n">
        <v>1.3</v>
      </c>
      <c r="G26" s="171">
        <f>ROUND(INDEX('Curva Mestra'!$C$20:$C$94,MATCH(D26,'Curva Mestra'!$A$20:$A$94,0))*F26,0)</f>
        <v/>
      </c>
      <c r="H26" s="170" t="inlineStr">
        <is>
          <t>+50% de dano contra mortos-vivos</t>
        </is>
      </c>
      <c r="I26" s="181" t="inlineStr">
        <is>
          <t>A luz nao julga quem fere - so quem ja devia estar morto.</t>
        </is>
      </c>
    </row>
    <row r="27" ht="15" customHeight="1" s="116">
      <c r="A27" s="167" t="inlineStr">
        <is>
          <t>Julgamento</t>
        </is>
      </c>
      <c r="B27" s="168" t="inlineStr">
        <is>
          <t>Luz</t>
        </is>
      </c>
      <c r="C27" s="168" t="inlineStr">
        <is>
          <t>Avancado</t>
        </is>
      </c>
      <c r="D27" s="171">
        <f>$B$14</f>
        <v/>
      </c>
      <c r="E27" s="171">
        <f>ROUND(INDEX('Curva Mestra'!$M$20:$M$94,MATCH(D27,'Curva Mestra'!$A$20:$A$94,0))*$B$12,0)</f>
        <v/>
      </c>
      <c r="F27" s="169" t="n">
        <v>2.6</v>
      </c>
      <c r="G27" s="171">
        <f>ROUND(INDEX('Curva Mestra'!$C$20:$C$94,MATCH(D27,'Curva Mestra'!$A$20:$A$94,0))*F27,0)</f>
        <v/>
      </c>
      <c r="H27" s="170" t="inlineStr">
        <is>
          <t>Reduz a Defesa do alvo em 3 por 2 turnos</t>
        </is>
      </c>
      <c r="I27" s="181" t="inlineStr">
        <is>
          <t>Nao ha defesa contra o que ja foi decidido.</t>
        </is>
      </c>
    </row>
    <row r="28" ht="15" customHeight="1" s="116">
      <c r="A28" s="167" t="inlineStr">
        <is>
          <t>Misseis Arcanos</t>
        </is>
      </c>
      <c r="B28" s="168" t="inlineStr">
        <is>
          <t>Arcano</t>
        </is>
      </c>
      <c r="C28" s="168" t="inlineStr">
        <is>
          <t>Basico</t>
        </is>
      </c>
      <c r="D28" s="171">
        <f>$B$13</f>
        <v/>
      </c>
      <c r="E28" s="171">
        <f>ROUND(INDEX('Curva Mestra'!$M$20:$M$94,MATCH(D28,'Curva Mestra'!$A$20:$A$94,0))*$B$11,0)</f>
        <v/>
      </c>
      <c r="F28" s="169" t="n">
        <v>1.4</v>
      </c>
      <c r="G28" s="171">
        <f>ROUND(INDEX('Curva Mestra'!$C$20:$C$94,MATCH(D28,'Curva Mestra'!$A$20:$A$94,0))*F28,0)</f>
        <v/>
      </c>
      <c r="H28" s="170" t="inlineStr">
        <is>
          <t>Sempre acerta (ignora Defesa do alvo)</t>
        </is>
      </c>
      <c r="I28" s="181" t="inlineStr">
        <is>
          <t>Nao erra porque nao pergunta primeiro.</t>
        </is>
      </c>
    </row>
    <row r="29" ht="23.25" customHeight="1" s="116">
      <c r="A29" s="167" t="inlineStr">
        <is>
          <t>Ruptura Dimensional</t>
        </is>
      </c>
      <c r="B29" s="168" t="inlineStr">
        <is>
          <t>Arcano</t>
        </is>
      </c>
      <c r="C29" s="168" t="inlineStr">
        <is>
          <t>Avancado</t>
        </is>
      </c>
      <c r="D29" s="171">
        <f>$B$14</f>
        <v/>
      </c>
      <c r="E29" s="171">
        <f>ROUND(INDEX('Curva Mestra'!$M$20:$M$94,MATCH(D29,'Curva Mestra'!$A$20:$A$94,0))*$B$12,0)</f>
        <v/>
      </c>
      <c r="F29" s="169" t="n">
        <v>2.8</v>
      </c>
      <c r="G29" s="171">
        <f>ROUND(INDEX('Curva Mestra'!$C$20:$C$94,MATCH(D29,'Curva Mestra'!$A$20:$A$94,0))*F29,0)</f>
        <v/>
      </c>
      <c r="H29" s="170" t="inlineStr">
        <is>
          <t>Ignora resistencia/fraqueza elemental do alvo</t>
        </is>
      </c>
      <c r="I29" s="181" t="inlineStr">
        <is>
          <t>Rasga o que separa aqui de em lugar nenhum.</t>
        </is>
      </c>
    </row>
    <row r="30" ht="15" customHeight="1" s="116">
      <c r="A30" s="167" t="inlineStr">
        <is>
          <t>Inferno Absoluto</t>
        </is>
      </c>
      <c r="B30" s="168" t="inlineStr">
        <is>
          <t>Fogo</t>
        </is>
      </c>
      <c r="C30" s="168" t="inlineStr">
        <is>
          <t>Mestre</t>
        </is>
      </c>
      <c r="D30" s="171">
        <f>$B$16</f>
        <v/>
      </c>
      <c r="E30" s="171">
        <f>ROUND(INDEX('Curva Mestra'!$M$20:$M$94,MATCH(D30,'Curva Mestra'!$A$20:$A$94,0))*$B$15,0)</f>
        <v/>
      </c>
      <c r="F30" s="169" t="n">
        <v>3.4</v>
      </c>
      <c r="G30" s="171">
        <f>ROUND(INDEX('Curva Mestra'!$C$20:$C$94,MATCH(D30,'Curva Mestra'!$A$20:$A$94,0))*F30,0)</f>
        <v/>
      </c>
      <c r="H30" s="170" t="inlineStr">
        <is>
          <t>Ignora toda resistência a fogo do alvo</t>
        </is>
      </c>
      <c r="I30" s="181" t="inlineStr">
        <is>
          <t>Não pergunta se o alvo resiste. Só queima até não sobrar pergunta nenhuma.</t>
        </is>
      </c>
    </row>
    <row r="31" ht="15" customHeight="1" s="116">
      <c r="A31" s="167" t="inlineStr">
        <is>
          <t>Era do Gelo Eterno</t>
        </is>
      </c>
      <c r="B31" s="168" t="inlineStr">
        <is>
          <t>Gelo</t>
        </is>
      </c>
      <c r="C31" s="168" t="inlineStr">
        <is>
          <t>Mestre</t>
        </is>
      </c>
      <c r="D31" s="171">
        <f>$B$16</f>
        <v/>
      </c>
      <c r="E31" s="171">
        <f>ROUND(INDEX('Curva Mestra'!$M$20:$M$94,MATCH(D31,'Curva Mestra'!$A$20:$A$94,0))*$B$15,0)</f>
        <v/>
      </c>
      <c r="F31" s="169" t="n">
        <v>3.4</v>
      </c>
      <c r="G31" s="171">
        <f>ROUND(INDEX('Curva Mestra'!$C$20:$C$94,MATCH(D31,'Curva Mestra'!$A$20:$A$94,0))*F31,0)</f>
        <v/>
      </c>
      <c r="H31" s="170" t="inlineStr">
        <is>
          <t>Atordoa o alvo por 2 turnos completos</t>
        </is>
      </c>
      <c r="I31" s="181" t="inlineStr">
        <is>
          <t>O frio que a Prisão Glacial só sugeria — esse não solta.</t>
        </is>
      </c>
    </row>
    <row r="32" ht="15" customHeight="1" s="116">
      <c r="A32" s="167" t="inlineStr">
        <is>
          <t>Fúria da Tempestade Primordial</t>
        </is>
      </c>
      <c r="B32" s="168" t="inlineStr">
        <is>
          <t>Raio</t>
        </is>
      </c>
      <c r="C32" s="168" t="inlineStr">
        <is>
          <t>Mestre</t>
        </is>
      </c>
      <c r="D32" s="171">
        <f>$B$16</f>
        <v/>
      </c>
      <c r="E32" s="171">
        <f>ROUND(INDEX('Curva Mestra'!$M$20:$M$94,MATCH(D32,'Curva Mestra'!$A$20:$A$94,0))*$B$15,0)</f>
        <v/>
      </c>
      <c r="F32" s="169" t="n">
        <v>3.4</v>
      </c>
      <c r="G32" s="171">
        <f>ROUND(INDEX('Curva Mestra'!$C$20:$C$94,MATCH(D32,'Curva Mestra'!$A$20:$A$94,0))*F32,0)</f>
        <v/>
      </c>
      <c r="H32" s="170" t="inlineStr">
        <is>
          <t>Atinge todos os inimigos e cada um tem 40% de chance de Atordoar</t>
        </is>
      </c>
      <c r="I32" s="181" t="inlineStr">
        <is>
          <t>O relâmpago que abriu o primeiro ciclo, emprestado de novo.</t>
        </is>
      </c>
    </row>
    <row r="33" ht="15" customHeight="1" s="116">
      <c r="A33" s="167" t="inlineStr">
        <is>
          <t>Devorar Alma</t>
        </is>
      </c>
      <c r="B33" s="168" t="inlineStr">
        <is>
          <t>Sombra</t>
        </is>
      </c>
      <c r="C33" s="168" t="inlineStr">
        <is>
          <t>Mestre</t>
        </is>
      </c>
      <c r="D33" s="171">
        <f>$B$16</f>
        <v/>
      </c>
      <c r="E33" s="171">
        <f>ROUND(INDEX('Curva Mestra'!$M$20:$M$94,MATCH(D33,'Curva Mestra'!$A$20:$A$94,0))*$B$15,0)</f>
        <v/>
      </c>
      <c r="F33" s="169" t="n">
        <v>3.4</v>
      </c>
      <c r="G33" s="171">
        <f>ROUND(INDEX('Curva Mestra'!$C$20:$C$94,MATCH(D33,'Curva Mestra'!$A$20:$A$94,0))*F33,0)</f>
        <v/>
      </c>
      <c r="H33" s="170" t="inlineStr">
        <is>
          <t>Conjurador recupera 60% do dano causado como HP</t>
        </is>
      </c>
      <c r="I33" s="181" t="inlineStr">
        <is>
          <t>Não sobra corpo pra reclamar do que foi levado.</t>
        </is>
      </c>
    </row>
    <row r="34" ht="15" customHeight="1" s="116">
      <c r="A34" s="167" t="inlineStr">
        <is>
          <t>Extermínio Sagrado</t>
        </is>
      </c>
      <c r="B34" s="168" t="inlineStr">
        <is>
          <t>Luz</t>
        </is>
      </c>
      <c r="C34" s="168" t="inlineStr">
        <is>
          <t>Mestre</t>
        </is>
      </c>
      <c r="D34" s="171">
        <f>$B$16</f>
        <v/>
      </c>
      <c r="E34" s="171">
        <f>ROUND(INDEX('Curva Mestra'!$M$20:$M$94,MATCH(D34,'Curva Mestra'!$A$20:$A$94,0))*$B$15,0)</f>
        <v/>
      </c>
      <c r="F34" s="169" t="n">
        <v>3.4</v>
      </c>
      <c r="G34" s="171">
        <f>ROUND(INDEX('Curva Mestra'!$C$20:$C$94,MATCH(D34,'Curva Mestra'!$A$20:$A$94,0))*F34,0)</f>
        <v/>
      </c>
      <c r="H34" s="170" t="inlineStr">
        <is>
          <t>+100% de dano contra mortos-vivos e cultistas da Mão Carmesim</t>
        </is>
      </c>
      <c r="I34" s="181" t="inlineStr">
        <is>
          <t>Alguns dizem que é purificação. Os cultistas discordariam, se pudessem.</t>
        </is>
      </c>
    </row>
    <row r="35" ht="15" customHeight="1" s="116">
      <c r="A35" s="167" t="inlineStr">
        <is>
          <t>Colapso da Realidade</t>
        </is>
      </c>
      <c r="B35" s="168" t="inlineStr">
        <is>
          <t>Arcano</t>
        </is>
      </c>
      <c r="C35" s="168" t="inlineStr">
        <is>
          <t>Mestre</t>
        </is>
      </c>
      <c r="D35" s="171">
        <f>$B$16</f>
        <v/>
      </c>
      <c r="E35" s="171">
        <f>ROUND(INDEX('Curva Mestra'!$M$20:$M$94,MATCH(D35,'Curva Mestra'!$A$20:$A$94,0))*$B$15,0)</f>
        <v/>
      </c>
      <c r="F35" s="169" t="n">
        <v>3.4</v>
      </c>
      <c r="G35" s="171">
        <f>ROUND(INDEX('Curva Mestra'!$C$20:$C$94,MATCH(D35,'Curva Mestra'!$A$20:$A$94,0))*F35,0)</f>
        <v/>
      </c>
      <c r="H35" s="170" t="inlineStr">
        <is>
          <t>Ignora Defesa e Resistência Mágica do alvo ao mesmo tempo</t>
        </is>
      </c>
      <c r="I35" s="181" t="inlineStr">
        <is>
          <t>Onde termina a proteção de alguém, começa o próximo passo do feitiço.</t>
        </is>
      </c>
    </row>
    <row r="36">
      <c r="A36" s="274" t="n"/>
      <c r="B36" s="176" t="n"/>
      <c r="C36" s="176" t="n"/>
      <c r="D36" s="175" t="n"/>
      <c r="E36" s="175" t="n"/>
      <c r="F36" s="174" t="n"/>
      <c r="G36" s="175" t="n"/>
      <c r="H36" s="272" t="n"/>
      <c r="I36" s="275" t="n"/>
    </row>
    <row r="37" ht="15" customHeight="1" s="116">
      <c r="A37" s="115" t="inlineStr">
        <is>
          <t>Usar magia de um elemento soma Proficiência de "Cetro" (mesmo sistema de Especialização das armas).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H83"/>
  <sheetViews>
    <sheetView showFormulas="0" showGridLines="0" showRowColHeaders="1" showZeros="1" rightToLeft="0" tabSelected="0" showOutlineSymbols="1" defaultGridColor="1" view="normal" topLeftCell="A1" colorId="64" zoomScale="100" zoomScaleNormal="100" zoomScalePageLayoutView="100" workbookViewId="0">
      <pane xSplit="0" ySplit="13" topLeftCell="A1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15" min="1" max="1"/>
    <col width="20" customWidth="1" style="115" min="2" max="2"/>
    <col width="42" customWidth="1" style="115" min="3" max="3"/>
    <col width="14" customWidth="1" style="115" min="4" max="4"/>
    <col width="45" customWidth="1" style="115" min="5" max="5"/>
    <col width="20" customWidth="1" style="115" min="7" max="7"/>
    <col width="45" customWidth="1" style="115" min="8" max="8"/>
  </cols>
  <sheetData>
    <row r="1" ht="17.25" customHeight="1" s="116">
      <c r="A1" s="177" t="inlineStr">
        <is>
          <t>Consumiveis</t>
        </is>
      </c>
    </row>
    <row r="2" ht="15" customHeight="1" s="116">
      <c r="A2" s="178" t="inlineStr">
        <is>
          <t>Cura/mana ligados a Curva Mestra, preco ligado a Economia - tudo escala junto com o resto do jogo.</t>
        </is>
      </c>
    </row>
    <row r="4" ht="15" customHeight="1" s="116">
      <c r="A4" s="165" t="inlineStr">
        <is>
          <t>Parametro</t>
        </is>
      </c>
      <c r="B4" s="165" t="inlineStr">
        <is>
          <t>Valor</t>
        </is>
      </c>
      <c r="C4" s="165" t="inlineStr">
        <is>
          <t>O que controla</t>
        </is>
      </c>
    </row>
    <row r="5" ht="15" customHeight="1" s="116">
      <c r="A5" s="168" t="inlineStr">
        <is>
          <t>Fracao_Cura_Pocao</t>
        </is>
      </c>
      <c r="B5" s="169" t="n">
        <v>0.3</v>
      </c>
      <c r="C5" s="183" t="inlineStr">
        <is>
          <t>Pocao de Cura recupera este % do HP maximo do nivel de referencia</t>
        </is>
      </c>
      <c r="D5" s="155" t="inlineStr">
        <is>
          <t>Preco_Mult_Veneno</t>
        </is>
      </c>
      <c r="E5" s="119" t="n">
        <v>0.5</v>
      </c>
      <c r="F5" s="119" t="inlineStr">
        <is>
          <t>Preco do Vial de Veneno = Ouro/Monstro Comum do tier x este valor</t>
        </is>
      </c>
    </row>
    <row r="6" ht="15" customHeight="1" s="116">
      <c r="A6" s="168" t="inlineStr">
        <is>
          <t>Fracao_Mana_Pocao</t>
        </is>
      </c>
      <c r="B6" s="169" t="n">
        <v>0.3</v>
      </c>
      <c r="C6" s="183" t="inlineStr">
        <is>
          <t>Pocao de Mana recupera este % da Mana maxima do nivel de referencia</t>
        </is>
      </c>
    </row>
    <row r="7" ht="15" customHeight="1" s="116">
      <c r="A7" s="168" t="inlineStr">
        <is>
          <t>Preco_Mult_Cura</t>
        </is>
      </c>
      <c r="B7" s="169" t="n">
        <v>1.5</v>
      </c>
      <c r="C7" s="183" t="inlineStr">
        <is>
          <t>Preco da Pocao de Cura = Ouro/Monstro Comum do tier x este valor</t>
        </is>
      </c>
    </row>
    <row r="8" ht="15" customHeight="1" s="116">
      <c r="A8" s="168" t="inlineStr">
        <is>
          <t>Preco_Mult_Mana</t>
        </is>
      </c>
      <c r="B8" s="169" t="n">
        <v>1.3</v>
      </c>
      <c r="C8" s="183" t="inlineStr">
        <is>
          <t>Preco da Pocao de Mana = Ouro/Monstro Comum do tier x este valor</t>
        </is>
      </c>
    </row>
    <row r="9" ht="15" customHeight="1" s="116">
      <c r="A9" s="168" t="inlineStr">
        <is>
          <t>Preco_Mult_Comida</t>
        </is>
      </c>
      <c r="B9" s="169" t="n">
        <v>0.3</v>
      </c>
      <c r="C9" s="183" t="inlineStr">
        <is>
          <t>Preco de Comida de Viagem = Ouro/Monstro Comum do tier x este valor</t>
        </is>
      </c>
    </row>
    <row r="10" ht="15" customHeight="1" s="116">
      <c r="A10" s="168" t="inlineStr">
        <is>
          <t>Preco_Mult_Antidoto</t>
        </is>
      </c>
      <c r="B10" s="169" t="n">
        <v>0.8</v>
      </c>
      <c r="C10" s="183" t="inlineStr">
        <is>
          <t>Preco de Antidoto = Ouro/Monstro Comum do tier x este valor</t>
        </is>
      </c>
    </row>
    <row r="11" ht="15" customHeight="1" s="116">
      <c r="A11" s="165" t="inlineStr">
        <is>
          <t>Item</t>
        </is>
      </c>
      <c r="B11" s="165" t="inlineStr">
        <is>
          <t>Historia</t>
        </is>
      </c>
      <c r="G11" s="165" t="inlineStr">
        <is>
          <t>Item</t>
        </is>
      </c>
      <c r="H11" s="165" t="inlineStr">
        <is>
          <t>Historia</t>
        </is>
      </c>
    </row>
    <row r="12" ht="15" customHeight="1" s="116">
      <c r="A12" s="184" t="inlineStr">
        <is>
          <t>Pocao de Cura</t>
        </is>
      </c>
      <c r="B12" s="185" t="inlineStr">
        <is>
          <t>Gosto de ferrugem, mas fecha o corte antes que doa de verdade.</t>
        </is>
      </c>
      <c r="G12" s="179" t="inlineStr">
        <is>
          <t>Pocao de Cura</t>
        </is>
      </c>
      <c r="H12" s="186" t="inlineStr">
        <is>
          <t>Gosto de ferrugem, mas fecha o corte antes que doa de verdade.</t>
        </is>
      </c>
    </row>
    <row r="13" ht="15" customHeight="1" s="116">
      <c r="A13" s="165" t="inlineStr">
        <is>
          <t>Tier</t>
        </is>
      </c>
      <c r="B13" s="165" t="inlineStr">
        <is>
          <t>Item</t>
        </is>
      </c>
      <c r="C13" s="165" t="inlineStr">
        <is>
          <t>Efeito</t>
        </is>
      </c>
      <c r="D13" s="165" t="inlineStr">
        <is>
          <t>Preco (Ouro)</t>
        </is>
      </c>
      <c r="E13" s="165" t="inlineStr">
        <is>
          <t>Historia</t>
        </is>
      </c>
      <c r="G13" s="179" t="inlineStr">
        <is>
          <t>Pocao de Mana</t>
        </is>
      </c>
      <c r="H13" s="186" t="inlineStr">
        <is>
          <t>Fria o suficiente pra doer, quente o bastante pra funcionar.</t>
        </is>
      </c>
    </row>
    <row r="14" ht="15" customHeight="1" s="116">
      <c r="A14" s="168" t="inlineStr">
        <is>
          <t>Sucata Enferrujada</t>
        </is>
      </c>
      <c r="B14" s="167" t="inlineStr">
        <is>
          <t>Pocao de Cura</t>
        </is>
      </c>
      <c r="C14" s="187">
        <f>"Recupera "&amp;ROUND(INDEX('Curva Mestra'!$B$20:$B$94,MATCH(Tiers!E9,'Curva Mestra'!$A$20:$A$94,0))*$B$5,0)&amp;" HP"</f>
        <v/>
      </c>
      <c r="D14" s="171">
        <f>ROUND(Economia!C14*$B$7,0)</f>
        <v/>
      </c>
      <c r="E14" s="188">
        <f>INDEX($H$12:$H$15,MATCH(B14,$G$12:$G$15,0))</f>
        <v/>
      </c>
      <c r="G14" s="179" t="inlineStr">
        <is>
          <t>Comida de Viagem</t>
        </is>
      </c>
      <c r="H14" s="186" t="inlineStr">
        <is>
          <t>Nao e gostosa. Mantem voce de pe ate a proxima fogueira.</t>
        </is>
      </c>
    </row>
    <row r="15" ht="15" customHeight="1" s="116">
      <c r="A15" s="168" t="inlineStr">
        <is>
          <t>Sucata Enferrujada</t>
        </is>
      </c>
      <c r="B15" s="167" t="inlineStr">
        <is>
          <t>Pocao de Mana</t>
        </is>
      </c>
      <c r="C15" s="187">
        <f>"Recupera "&amp;ROUND(INDEX('Curva Mestra'!$M$20:$M$94,MATCH(Tiers!E9,'Curva Mestra'!$A$20:$A$94,0))*$B$6,0)&amp;" Mana"</f>
        <v/>
      </c>
      <c r="D15" s="171">
        <f>ROUND(Economia!C14*$B$8,0)</f>
        <v/>
      </c>
      <c r="E15" s="188">
        <f>INDEX($H$12:$H$15,MATCH(B15,$G$12:$G$15,0))</f>
        <v/>
      </c>
      <c r="G15" s="179" t="inlineStr">
        <is>
          <t>Antidoto</t>
        </is>
      </c>
      <c r="H15" s="186" t="inlineStr">
        <is>
          <t>Amargo o bastante pra convencer o corpo de que o veneno perdeu.</t>
        </is>
      </c>
    </row>
    <row r="16" ht="27.75" customHeight="1" s="116">
      <c r="A16" s="168" t="inlineStr">
        <is>
          <t>Sucata Enferrujada</t>
        </is>
      </c>
      <c r="B16" s="167" t="inlineStr">
        <is>
          <t>(Retirado)</t>
        </is>
      </c>
      <c r="C16" s="189" t="inlineStr">
        <is>
          <t>Substituído pelas 14 Comidas temáticas — ver Crafting - Receitas</t>
        </is>
      </c>
      <c r="D16" s="171">
        <f>ROUND(Economia!C14*$B$9,0)</f>
        <v/>
      </c>
      <c r="E16" s="154" t="n"/>
    </row>
    <row r="17" ht="15" customHeight="1" s="116">
      <c r="A17" s="168" t="inlineStr">
        <is>
          <t>Sucata Enferrujada</t>
        </is>
      </c>
      <c r="B17" s="167" t="inlineStr">
        <is>
          <t>Antidoto</t>
        </is>
      </c>
      <c r="C17" s="189" t="inlineStr">
        <is>
          <t>Remove Veneno, Queimadura ou Lentidão/Imobilização — só versão LEVE. Grave precisa de curandeiro em cidade.</t>
        </is>
      </c>
      <c r="D17" s="171">
        <f>ROUND(Economia!C14*$B$10,0)</f>
        <v/>
      </c>
      <c r="E17" s="188">
        <f>INDEX($H$12:$H$15,MATCH(B17,$G$12:$G$15,0))</f>
        <v/>
      </c>
    </row>
    <row r="18" ht="15" customHeight="1" s="116">
      <c r="A18" s="168" t="inlineStr">
        <is>
          <t>Bronze</t>
        </is>
      </c>
      <c r="B18" s="167" t="inlineStr">
        <is>
          <t>Pocao de Cura</t>
        </is>
      </c>
      <c r="C18" s="187">
        <f>"Recupera "&amp;ROUND(INDEX('Curva Mestra'!$B$20:$B$94,MATCH(Tiers!E10,'Curva Mestra'!$A$20:$A$94,0))*$B$5,0)&amp;" HP"</f>
        <v/>
      </c>
      <c r="D18" s="171">
        <f>ROUND(Economia!C15*$B$7,0)</f>
        <v/>
      </c>
      <c r="E18" s="188">
        <f>INDEX($H$12:$H$15,MATCH(B18,$G$12:$G$15,0))</f>
        <v/>
      </c>
    </row>
    <row r="19" ht="15" customHeight="1" s="116">
      <c r="A19" s="168" t="inlineStr">
        <is>
          <t>Bronze</t>
        </is>
      </c>
      <c r="B19" s="167" t="inlineStr">
        <is>
          <t>Pocao de Mana</t>
        </is>
      </c>
      <c r="C19" s="187">
        <f>"Recupera "&amp;ROUND(INDEX('Curva Mestra'!$M$20:$M$94,MATCH(Tiers!E10,'Curva Mestra'!$A$20:$A$94,0))*$B$6,0)&amp;" Mana"</f>
        <v/>
      </c>
      <c r="D19" s="171">
        <f>ROUND(Economia!C15*$B$8,0)</f>
        <v/>
      </c>
      <c r="E19" s="188">
        <f>INDEX($H$12:$H$15,MATCH(B19,$G$12:$G$15,0))</f>
        <v/>
      </c>
    </row>
    <row r="20" ht="27.75" customHeight="1" s="116">
      <c r="A20" s="168" t="inlineStr">
        <is>
          <t>Bronze</t>
        </is>
      </c>
      <c r="B20" s="167" t="inlineStr">
        <is>
          <t>(Retirado)</t>
        </is>
      </c>
      <c r="C20" s="189" t="inlineStr">
        <is>
          <t>Substituído pelas 14 Comidas temáticas — ver Crafting - Receitas</t>
        </is>
      </c>
      <c r="D20" s="171">
        <f>ROUND(Economia!C15*$B$9,0)</f>
        <v/>
      </c>
      <c r="E20" s="154" t="n"/>
    </row>
    <row r="21" ht="15" customHeight="1" s="116">
      <c r="A21" s="168" t="inlineStr">
        <is>
          <t>Bronze</t>
        </is>
      </c>
      <c r="B21" s="167" t="inlineStr">
        <is>
          <t>Antidoto</t>
        </is>
      </c>
      <c r="C21" s="189" t="inlineStr">
        <is>
          <t>Remove Veneno, Queimadura ou Lentidão/Imobilização — só versão LEVE. Grave precisa de curandeiro em cidade.</t>
        </is>
      </c>
      <c r="D21" s="171">
        <f>ROUND(Economia!C15*$B$10,0)</f>
        <v/>
      </c>
      <c r="E21" s="188">
        <f>INDEX($H$12:$H$15,MATCH(B21,$G$12:$G$15,0))</f>
        <v/>
      </c>
    </row>
    <row r="22" ht="15" customHeight="1" s="116">
      <c r="A22" s="168" t="inlineStr">
        <is>
          <t>Ferro</t>
        </is>
      </c>
      <c r="B22" s="167" t="inlineStr">
        <is>
          <t>Pocao de Cura</t>
        </is>
      </c>
      <c r="C22" s="187">
        <f>"Recupera "&amp;ROUND(INDEX('Curva Mestra'!$B$20:$B$94,MATCH(Tiers!E11,'Curva Mestra'!$A$20:$A$94,0))*$B$5,0)&amp;" HP"</f>
        <v/>
      </c>
      <c r="D22" s="171">
        <f>ROUND(Economia!C16*$B$7,0)</f>
        <v/>
      </c>
      <c r="E22" s="188">
        <f>INDEX($H$12:$H$15,MATCH(B22,$G$12:$G$15,0))</f>
        <v/>
      </c>
    </row>
    <row r="23" ht="15" customHeight="1" s="116">
      <c r="A23" s="168" t="inlineStr">
        <is>
          <t>Ferro</t>
        </is>
      </c>
      <c r="B23" s="167" t="inlineStr">
        <is>
          <t>Pocao de Mana</t>
        </is>
      </c>
      <c r="C23" s="187">
        <f>"Recupera "&amp;ROUND(INDEX('Curva Mestra'!$M$20:$M$94,MATCH(Tiers!E11,'Curva Mestra'!$A$20:$A$94,0))*$B$6,0)&amp;" Mana"</f>
        <v/>
      </c>
      <c r="D23" s="171">
        <f>ROUND(Economia!C16*$B$8,0)</f>
        <v/>
      </c>
      <c r="E23" s="188">
        <f>INDEX($H$12:$H$15,MATCH(B23,$G$12:$G$15,0))</f>
        <v/>
      </c>
    </row>
    <row r="24" ht="27.75" customHeight="1" s="116">
      <c r="A24" s="168" t="inlineStr">
        <is>
          <t>Ferro</t>
        </is>
      </c>
      <c r="B24" s="167" t="inlineStr">
        <is>
          <t>(Retirado)</t>
        </is>
      </c>
      <c r="C24" s="189" t="inlineStr">
        <is>
          <t>Substituído pelas 14 Comidas temáticas — ver Crafting - Receitas</t>
        </is>
      </c>
      <c r="D24" s="171">
        <f>ROUND(Economia!C16*$B$9,0)</f>
        <v/>
      </c>
      <c r="E24" s="154" t="n"/>
    </row>
    <row r="25" ht="15" customHeight="1" s="116">
      <c r="A25" s="168" t="inlineStr">
        <is>
          <t>Ferro</t>
        </is>
      </c>
      <c r="B25" s="167" t="inlineStr">
        <is>
          <t>Antidoto</t>
        </is>
      </c>
      <c r="C25" s="189" t="inlineStr">
        <is>
          <t>Remove Veneno, Queimadura ou Lentidão/Imobilização — só versão LEVE. Grave precisa de curandeiro em cidade.</t>
        </is>
      </c>
      <c r="D25" s="171">
        <f>ROUND(Economia!C16*$B$10,0)</f>
        <v/>
      </c>
      <c r="E25" s="188">
        <f>INDEX($H$12:$H$15,MATCH(B25,$G$12:$G$15,0))</f>
        <v/>
      </c>
    </row>
    <row r="26" ht="15" customHeight="1" s="116">
      <c r="A26" s="168" t="inlineStr">
        <is>
          <t>Prata</t>
        </is>
      </c>
      <c r="B26" s="167" t="inlineStr">
        <is>
          <t>Pocao de Cura</t>
        </is>
      </c>
      <c r="C26" s="187">
        <f>"Recupera "&amp;ROUND(INDEX('Curva Mestra'!$B$20:$B$94,MATCH(Tiers!E12,'Curva Mestra'!$A$20:$A$94,0))*$B$5,0)&amp;" HP"</f>
        <v/>
      </c>
      <c r="D26" s="171">
        <f>ROUND(Economia!C17*$B$7,0)</f>
        <v/>
      </c>
      <c r="E26" s="188">
        <f>INDEX($H$12:$H$15,MATCH(B26,$G$12:$G$15,0))</f>
        <v/>
      </c>
    </row>
    <row r="27" ht="15" customHeight="1" s="116">
      <c r="A27" s="168" t="inlineStr">
        <is>
          <t>Prata</t>
        </is>
      </c>
      <c r="B27" s="167" t="inlineStr">
        <is>
          <t>Pocao de Mana</t>
        </is>
      </c>
      <c r="C27" s="187">
        <f>"Recupera "&amp;ROUND(INDEX('Curva Mestra'!$M$20:$M$94,MATCH(Tiers!E12,'Curva Mestra'!$A$20:$A$94,0))*$B$6,0)&amp;" Mana"</f>
        <v/>
      </c>
      <c r="D27" s="171">
        <f>ROUND(Economia!C17*$B$8,0)</f>
        <v/>
      </c>
      <c r="E27" s="188">
        <f>INDEX($H$12:$H$15,MATCH(B27,$G$12:$G$15,0))</f>
        <v/>
      </c>
    </row>
    <row r="28" ht="27.75" customHeight="1" s="116">
      <c r="A28" s="168" t="inlineStr">
        <is>
          <t>Prata</t>
        </is>
      </c>
      <c r="B28" s="167" t="inlineStr">
        <is>
          <t>(Retirado)</t>
        </is>
      </c>
      <c r="C28" s="189" t="inlineStr">
        <is>
          <t>Substituído pelas 14 Comidas temáticas — ver Crafting - Receitas</t>
        </is>
      </c>
      <c r="D28" s="171">
        <f>ROUND(Economia!C17*$B$9,0)</f>
        <v/>
      </c>
      <c r="E28" s="154" t="n"/>
    </row>
    <row r="29" ht="15" customHeight="1" s="116">
      <c r="A29" s="168" t="inlineStr">
        <is>
          <t>Prata</t>
        </is>
      </c>
      <c r="B29" s="167" t="inlineStr">
        <is>
          <t>Antidoto</t>
        </is>
      </c>
      <c r="C29" s="189" t="inlineStr">
        <is>
          <t>Remove Veneno, Queimadura ou Lentidão/Imobilização — só versão LEVE. Grave precisa de curandeiro em cidade.</t>
        </is>
      </c>
      <c r="D29" s="171">
        <f>ROUND(Economia!C17*$B$10,0)</f>
        <v/>
      </c>
      <c r="E29" s="188">
        <f>INDEX($H$12:$H$15,MATCH(B29,$G$12:$G$15,0))</f>
        <v/>
      </c>
    </row>
    <row r="30" ht="15" customHeight="1" s="116">
      <c r="A30" s="168" t="inlineStr">
        <is>
          <t>Aco Elfico</t>
        </is>
      </c>
      <c r="B30" s="167" t="inlineStr">
        <is>
          <t>Pocao de Cura</t>
        </is>
      </c>
      <c r="C30" s="187">
        <f>"Recupera "&amp;ROUND(INDEX('Curva Mestra'!$B$20:$B$94,MATCH(Tiers!E13,'Curva Mestra'!$A$20:$A$94,0))*$B$5,0)&amp;" HP"</f>
        <v/>
      </c>
      <c r="D30" s="171">
        <f>ROUND(Economia!C18*$B$7,0)</f>
        <v/>
      </c>
      <c r="E30" s="188">
        <f>INDEX($H$12:$H$15,MATCH(B30,$G$12:$G$15,0))</f>
        <v/>
      </c>
    </row>
    <row r="31" ht="15" customHeight="1" s="116">
      <c r="A31" s="168" t="inlineStr">
        <is>
          <t>Aco Elfico</t>
        </is>
      </c>
      <c r="B31" s="167" t="inlineStr">
        <is>
          <t>Pocao de Mana</t>
        </is>
      </c>
      <c r="C31" s="187">
        <f>"Recupera "&amp;ROUND(INDEX('Curva Mestra'!$M$20:$M$94,MATCH(Tiers!E13,'Curva Mestra'!$A$20:$A$94,0))*$B$6,0)&amp;" Mana"</f>
        <v/>
      </c>
      <c r="D31" s="171">
        <f>ROUND(Economia!C18*$B$8,0)</f>
        <v/>
      </c>
      <c r="E31" s="188">
        <f>INDEX($H$12:$H$15,MATCH(B31,$G$12:$G$15,0))</f>
        <v/>
      </c>
    </row>
    <row r="32" ht="27.75" customHeight="1" s="116">
      <c r="A32" s="168" t="inlineStr">
        <is>
          <t>Aco Elfico</t>
        </is>
      </c>
      <c r="B32" s="167" t="inlineStr">
        <is>
          <t>(Retirado)</t>
        </is>
      </c>
      <c r="C32" s="189" t="inlineStr">
        <is>
          <t>Substituído pelas 14 Comidas temáticas — ver Crafting - Receitas</t>
        </is>
      </c>
      <c r="D32" s="171">
        <f>ROUND(Economia!C18*$B$9,0)</f>
        <v/>
      </c>
      <c r="E32" s="154" t="n"/>
    </row>
    <row r="33" ht="15" customHeight="1" s="116">
      <c r="A33" s="168" t="inlineStr">
        <is>
          <t>Aco Elfico</t>
        </is>
      </c>
      <c r="B33" s="167" t="inlineStr">
        <is>
          <t>Antidoto</t>
        </is>
      </c>
      <c r="C33" s="189" t="inlineStr">
        <is>
          <t>Remove Veneno, Queimadura ou Lentidão/Imobilização — só versão LEVE. Grave precisa de curandeiro em cidade.</t>
        </is>
      </c>
      <c r="D33" s="171">
        <f>ROUND(Economia!C18*$B$10,0)</f>
        <v/>
      </c>
      <c r="E33" s="188">
        <f>INDEX($H$12:$H$15,MATCH(B33,$G$12:$G$15,0))</f>
        <v/>
      </c>
    </row>
    <row r="34" ht="15" customHeight="1" s="116">
      <c r="A34" s="168" t="inlineStr">
        <is>
          <t>Mecanismo Anao</t>
        </is>
      </c>
      <c r="B34" s="167" t="inlineStr">
        <is>
          <t>Pocao de Cura</t>
        </is>
      </c>
      <c r="C34" s="187">
        <f>"Recupera "&amp;ROUND(INDEX('Curva Mestra'!$B$20:$B$94,MATCH(Tiers!E14,'Curva Mestra'!$A$20:$A$94,0))*$B$5,0)&amp;" HP"</f>
        <v/>
      </c>
      <c r="D34" s="171">
        <f>ROUND(Economia!C19*$B$7,0)</f>
        <v/>
      </c>
      <c r="E34" s="188">
        <f>INDEX($H$12:$H$15,MATCH(B34,$G$12:$G$15,0))</f>
        <v/>
      </c>
    </row>
    <row r="35" ht="15" customHeight="1" s="116">
      <c r="A35" s="168" t="inlineStr">
        <is>
          <t>Mecanismo Anao</t>
        </is>
      </c>
      <c r="B35" s="167" t="inlineStr">
        <is>
          <t>Pocao de Mana</t>
        </is>
      </c>
      <c r="C35" s="187">
        <f>"Recupera "&amp;ROUND(INDEX('Curva Mestra'!$M$20:$M$94,MATCH(Tiers!E14,'Curva Mestra'!$A$20:$A$94,0))*$B$6,0)&amp;" Mana"</f>
        <v/>
      </c>
      <c r="D35" s="171">
        <f>ROUND(Economia!C19*$B$8,0)</f>
        <v/>
      </c>
      <c r="E35" s="188">
        <f>INDEX($H$12:$H$15,MATCH(B35,$G$12:$G$15,0))</f>
        <v/>
      </c>
    </row>
    <row r="36" ht="27.75" customHeight="1" s="116">
      <c r="A36" s="168" t="inlineStr">
        <is>
          <t>Mecanismo Anao</t>
        </is>
      </c>
      <c r="B36" s="167" t="inlineStr">
        <is>
          <t>(Retirado)</t>
        </is>
      </c>
      <c r="C36" s="189" t="inlineStr">
        <is>
          <t>Substituído pelas 14 Comidas temáticas — ver Crafting - Receitas</t>
        </is>
      </c>
      <c r="D36" s="171">
        <f>ROUND(Economia!C19*$B$9,0)</f>
        <v/>
      </c>
      <c r="E36" s="154" t="n"/>
    </row>
    <row r="37" ht="15" customHeight="1" s="116">
      <c r="A37" s="168" t="inlineStr">
        <is>
          <t>Mecanismo Anao</t>
        </is>
      </c>
      <c r="B37" s="167" t="inlineStr">
        <is>
          <t>Antidoto</t>
        </is>
      </c>
      <c r="C37" s="189" t="inlineStr">
        <is>
          <t>Remove Veneno, Queimadura ou Lentidão/Imobilização — só versão LEVE. Grave precisa de curandeiro em cidade.</t>
        </is>
      </c>
      <c r="D37" s="171">
        <f>ROUND(Economia!C19*$B$10,0)</f>
        <v/>
      </c>
      <c r="E37" s="188">
        <f>INDEX($H$12:$H$15,MATCH(B37,$G$12:$G$15,0))</f>
        <v/>
      </c>
    </row>
    <row r="38" ht="15" customHeight="1" s="116">
      <c r="A38" s="168" t="inlineStr">
        <is>
          <t>Vidro Vulcanico</t>
        </is>
      </c>
      <c r="B38" s="167" t="inlineStr">
        <is>
          <t>Pocao de Cura</t>
        </is>
      </c>
      <c r="C38" s="187">
        <f>"Recupera "&amp;ROUND(INDEX('Curva Mestra'!$B$20:$B$94,MATCH(Tiers!E15,'Curva Mestra'!$A$20:$A$94,0))*$B$5,0)&amp;" HP"</f>
        <v/>
      </c>
      <c r="D38" s="171">
        <f>ROUND(Economia!C20*$B$7,0)</f>
        <v/>
      </c>
      <c r="E38" s="188">
        <f>INDEX($H$12:$H$15,MATCH(B38,$G$12:$G$15,0))</f>
        <v/>
      </c>
    </row>
    <row r="39" ht="15" customHeight="1" s="116">
      <c r="A39" s="168" t="inlineStr">
        <is>
          <t>Vidro Vulcanico</t>
        </is>
      </c>
      <c r="B39" s="167" t="inlineStr">
        <is>
          <t>Pocao de Mana</t>
        </is>
      </c>
      <c r="C39" s="187">
        <f>"Recupera "&amp;ROUND(INDEX('Curva Mestra'!$M$20:$M$94,MATCH(Tiers!E15,'Curva Mestra'!$A$20:$A$94,0))*$B$6,0)&amp;" Mana"</f>
        <v/>
      </c>
      <c r="D39" s="171">
        <f>ROUND(Economia!C20*$B$8,0)</f>
        <v/>
      </c>
      <c r="E39" s="188">
        <f>INDEX($H$12:$H$15,MATCH(B39,$G$12:$G$15,0))</f>
        <v/>
      </c>
    </row>
    <row r="40" ht="27.75" customHeight="1" s="116">
      <c r="A40" s="168" t="inlineStr">
        <is>
          <t>Vidro Vulcanico</t>
        </is>
      </c>
      <c r="B40" s="167" t="inlineStr">
        <is>
          <t>(Retirado)</t>
        </is>
      </c>
      <c r="C40" s="189" t="inlineStr">
        <is>
          <t>Substituído pelas 14 Comidas temáticas — ver Crafting - Receitas</t>
        </is>
      </c>
      <c r="D40" s="171">
        <f>ROUND(Economia!C20*$B$9,0)</f>
        <v/>
      </c>
      <c r="E40" s="154" t="n"/>
    </row>
    <row r="41" ht="15" customHeight="1" s="116">
      <c r="A41" s="168" t="inlineStr">
        <is>
          <t>Vidro Vulcanico</t>
        </is>
      </c>
      <c r="B41" s="167" t="inlineStr">
        <is>
          <t>Antidoto</t>
        </is>
      </c>
      <c r="C41" s="189" t="inlineStr">
        <is>
          <t>Remove Veneno, Queimadura ou Lentidão/Imobilização — só versão LEVE. Grave precisa de curandeiro em cidade.</t>
        </is>
      </c>
      <c r="D41" s="171">
        <f>ROUND(Economia!C20*$B$10,0)</f>
        <v/>
      </c>
      <c r="E41" s="188">
        <f>INDEX($H$12:$H$15,MATCH(B41,$G$12:$G$15,0))</f>
        <v/>
      </c>
    </row>
    <row r="42" ht="15" customHeight="1" s="116">
      <c r="A42" s="168" t="inlineStr">
        <is>
          <t>Ferro Orquico</t>
        </is>
      </c>
      <c r="B42" s="167" t="inlineStr">
        <is>
          <t>Pocao de Cura</t>
        </is>
      </c>
      <c r="C42" s="187">
        <f>"Recupera "&amp;ROUND(INDEX('Curva Mestra'!$B$20:$B$94,MATCH(Tiers!E16,'Curva Mestra'!$A$20:$A$94,0))*$B$5,0)&amp;" HP"</f>
        <v/>
      </c>
      <c r="D42" s="171">
        <f>ROUND(Economia!C21*$B$7,0)</f>
        <v/>
      </c>
      <c r="E42" s="188">
        <f>INDEX($H$12:$H$15,MATCH(B42,$G$12:$G$15,0))</f>
        <v/>
      </c>
    </row>
    <row r="43" ht="15" customHeight="1" s="116">
      <c r="A43" s="168" t="inlineStr">
        <is>
          <t>Ferro Orquico</t>
        </is>
      </c>
      <c r="B43" s="167" t="inlineStr">
        <is>
          <t>Pocao de Mana</t>
        </is>
      </c>
      <c r="C43" s="187">
        <f>"Recupera "&amp;ROUND(INDEX('Curva Mestra'!$M$20:$M$94,MATCH(Tiers!E16,'Curva Mestra'!$A$20:$A$94,0))*$B$6,0)&amp;" Mana"</f>
        <v/>
      </c>
      <c r="D43" s="171">
        <f>ROUND(Economia!C21*$B$8,0)</f>
        <v/>
      </c>
      <c r="E43" s="188">
        <f>INDEX($H$12:$H$15,MATCH(B43,$G$12:$G$15,0))</f>
        <v/>
      </c>
    </row>
    <row r="44" ht="27.75" customHeight="1" s="116">
      <c r="A44" s="168" t="inlineStr">
        <is>
          <t>Ferro Orquico</t>
        </is>
      </c>
      <c r="B44" s="167" t="inlineStr">
        <is>
          <t>(Retirado)</t>
        </is>
      </c>
      <c r="C44" s="189" t="inlineStr">
        <is>
          <t>Substituído pelas 14 Comidas temáticas — ver Crafting - Receitas</t>
        </is>
      </c>
      <c r="D44" s="171">
        <f>ROUND(Economia!C21*$B$9,0)</f>
        <v/>
      </c>
      <c r="E44" s="154" t="n"/>
    </row>
    <row r="45" ht="15" customHeight="1" s="116">
      <c r="A45" s="168" t="inlineStr">
        <is>
          <t>Ferro Orquico</t>
        </is>
      </c>
      <c r="B45" s="167" t="inlineStr">
        <is>
          <t>Antidoto</t>
        </is>
      </c>
      <c r="C45" s="189" t="inlineStr">
        <is>
          <t>Remove Veneno, Queimadura ou Lentidão/Imobilização — só versão LEVE. Grave precisa de curandeiro em cidade.</t>
        </is>
      </c>
      <c r="D45" s="171">
        <f>ROUND(Economia!C21*$B$10,0)</f>
        <v/>
      </c>
      <c r="E45" s="188">
        <f>INDEX($H$12:$H$15,MATCH(B45,$G$12:$G$15,0))</f>
        <v/>
      </c>
    </row>
    <row r="46" ht="15" customHeight="1" s="116">
      <c r="A46" s="168" t="inlineStr">
        <is>
          <t>Mithril</t>
        </is>
      </c>
      <c r="B46" s="167" t="inlineStr">
        <is>
          <t>Pocao de Cura</t>
        </is>
      </c>
      <c r="C46" s="187">
        <f>"Recupera "&amp;ROUND(INDEX('Curva Mestra'!$B$20:$B$94,MATCH(Tiers!E17,'Curva Mestra'!$A$20:$A$94,0))*$B$5,0)&amp;" HP"</f>
        <v/>
      </c>
      <c r="D46" s="171">
        <f>ROUND(Economia!C22*$B$7,0)</f>
        <v/>
      </c>
      <c r="E46" s="188">
        <f>INDEX($H$12:$H$15,MATCH(B46,$G$12:$G$15,0))</f>
        <v/>
      </c>
    </row>
    <row r="47" ht="15" customHeight="1" s="116">
      <c r="A47" s="168" t="inlineStr">
        <is>
          <t>Mithril</t>
        </is>
      </c>
      <c r="B47" s="167" t="inlineStr">
        <is>
          <t>Pocao de Mana</t>
        </is>
      </c>
      <c r="C47" s="187">
        <f>"Recupera "&amp;ROUND(INDEX('Curva Mestra'!$M$20:$M$94,MATCH(Tiers!E17,'Curva Mestra'!$A$20:$A$94,0))*$B$6,0)&amp;" Mana"</f>
        <v/>
      </c>
      <c r="D47" s="171">
        <f>ROUND(Economia!C22*$B$8,0)</f>
        <v/>
      </c>
      <c r="E47" s="188">
        <f>INDEX($H$12:$H$15,MATCH(B47,$G$12:$G$15,0))</f>
        <v/>
      </c>
    </row>
    <row r="48" ht="27.75" customHeight="1" s="116">
      <c r="A48" s="168" t="inlineStr">
        <is>
          <t>Mithril</t>
        </is>
      </c>
      <c r="B48" s="167" t="inlineStr">
        <is>
          <t>(Retirado)</t>
        </is>
      </c>
      <c r="C48" s="189" t="inlineStr">
        <is>
          <t>Substituído pelas 14 Comidas temáticas — ver Crafting - Receitas</t>
        </is>
      </c>
      <c r="D48" s="171">
        <f>ROUND(Economia!C22*$B$9,0)</f>
        <v/>
      </c>
      <c r="E48" s="154" t="n"/>
    </row>
    <row r="49" ht="15" customHeight="1" s="116">
      <c r="A49" s="168" t="inlineStr">
        <is>
          <t>Mithril</t>
        </is>
      </c>
      <c r="B49" s="167" t="inlineStr">
        <is>
          <t>Antidoto</t>
        </is>
      </c>
      <c r="C49" s="189" t="inlineStr">
        <is>
          <t>Remove Veneno, Queimadura ou Lentidão/Imobilização — só versão LEVE. Grave precisa de curandeiro em cidade.</t>
        </is>
      </c>
      <c r="D49" s="171">
        <f>ROUND(Economia!C22*$B$10,0)</f>
        <v/>
      </c>
      <c r="E49" s="188">
        <f>INDEX($H$12:$H$15,MATCH(B49,$G$12:$G$15,0))</f>
        <v/>
      </c>
    </row>
    <row r="50" ht="15" customHeight="1" s="116">
      <c r="A50" s="168" t="inlineStr">
        <is>
          <t>Ebano</t>
        </is>
      </c>
      <c r="B50" s="167" t="inlineStr">
        <is>
          <t>Pocao de Cura</t>
        </is>
      </c>
      <c r="C50" s="187">
        <f>"Recupera "&amp;ROUND(INDEX('Curva Mestra'!$B$20:$B$94,MATCH(Tiers!E18,'Curva Mestra'!$A$20:$A$94,0))*$B$5,0)&amp;" HP"</f>
        <v/>
      </c>
      <c r="D50" s="171">
        <f>ROUND(Economia!C23*$B$7,0)</f>
        <v/>
      </c>
      <c r="E50" s="188">
        <f>INDEX($H$12:$H$15,MATCH(B50,$G$12:$G$15,0))</f>
        <v/>
      </c>
    </row>
    <row r="51" ht="15" customHeight="1" s="116">
      <c r="A51" s="168" t="inlineStr">
        <is>
          <t>Ebano</t>
        </is>
      </c>
      <c r="B51" s="167" t="inlineStr">
        <is>
          <t>Pocao de Mana</t>
        </is>
      </c>
      <c r="C51" s="187">
        <f>"Recupera "&amp;ROUND(INDEX('Curva Mestra'!$M$20:$M$94,MATCH(Tiers!E18,'Curva Mestra'!$A$20:$A$94,0))*$B$6,0)&amp;" Mana"</f>
        <v/>
      </c>
      <c r="D51" s="171">
        <f>ROUND(Economia!C23*$B$8,0)</f>
        <v/>
      </c>
      <c r="E51" s="188">
        <f>INDEX($H$12:$H$15,MATCH(B51,$G$12:$G$15,0))</f>
        <v/>
      </c>
    </row>
    <row r="52" ht="27.75" customHeight="1" s="116">
      <c r="A52" s="168" t="inlineStr">
        <is>
          <t>Ebano</t>
        </is>
      </c>
      <c r="B52" s="167" t="inlineStr">
        <is>
          <t>(Retirado)</t>
        </is>
      </c>
      <c r="C52" s="189" t="inlineStr">
        <is>
          <t>Substituído pelas 14 Comidas temáticas — ver Crafting - Receitas</t>
        </is>
      </c>
      <c r="D52" s="171">
        <f>ROUND(Economia!C23*$B$9,0)</f>
        <v/>
      </c>
      <c r="E52" s="154" t="n"/>
    </row>
    <row r="53" ht="15" customHeight="1" s="116">
      <c r="A53" s="168" t="inlineStr">
        <is>
          <t>Ebano</t>
        </is>
      </c>
      <c r="B53" s="167" t="inlineStr">
        <is>
          <t>Antidoto</t>
        </is>
      </c>
      <c r="C53" s="189" t="inlineStr">
        <is>
          <t>Remove Veneno, Queimadura ou Lentidão/Imobilização — só versão LEVE. Grave precisa de curandeiro em cidade.</t>
        </is>
      </c>
      <c r="D53" s="171">
        <f>ROUND(Economia!C23*$B$10,0)</f>
        <v/>
      </c>
      <c r="E53" s="188">
        <f>INDEX($H$12:$H$15,MATCH(B53,$G$12:$G$15,0))</f>
        <v/>
      </c>
    </row>
    <row r="54" ht="15" customHeight="1" s="116">
      <c r="A54" s="168" t="inlineStr">
        <is>
          <t>Adamantina</t>
        </is>
      </c>
      <c r="B54" s="167" t="inlineStr">
        <is>
          <t>Pocao de Cura</t>
        </is>
      </c>
      <c r="C54" s="187">
        <f>"Recupera "&amp;ROUND(INDEX('Curva Mestra'!$B$20:$B$94,MATCH(Tiers!E19,'Curva Mestra'!$A$20:$A$94,0))*$B$5,0)&amp;" HP"</f>
        <v/>
      </c>
      <c r="D54" s="171">
        <f>ROUND(Economia!C24*$B$7,0)</f>
        <v/>
      </c>
      <c r="E54" s="188">
        <f>INDEX($H$12:$H$15,MATCH(B54,$G$12:$G$15,0))</f>
        <v/>
      </c>
    </row>
    <row r="55" ht="15" customHeight="1" s="116">
      <c r="A55" s="168" t="inlineStr">
        <is>
          <t>Adamantina</t>
        </is>
      </c>
      <c r="B55" s="167" t="inlineStr">
        <is>
          <t>Pocao de Mana</t>
        </is>
      </c>
      <c r="C55" s="187">
        <f>"Recupera "&amp;ROUND(INDEX('Curva Mestra'!$M$20:$M$94,MATCH(Tiers!E19,'Curva Mestra'!$A$20:$A$94,0))*$B$6,0)&amp;" Mana"</f>
        <v/>
      </c>
      <c r="D55" s="171">
        <f>ROUND(Economia!C24*$B$8,0)</f>
        <v/>
      </c>
      <c r="E55" s="188">
        <f>INDEX($H$12:$H$15,MATCH(B55,$G$12:$G$15,0))</f>
        <v/>
      </c>
    </row>
    <row r="56" ht="27.75" customHeight="1" s="116">
      <c r="A56" s="168" t="inlineStr">
        <is>
          <t>Adamantina</t>
        </is>
      </c>
      <c r="B56" s="167" t="inlineStr">
        <is>
          <t>(Retirado)</t>
        </is>
      </c>
      <c r="C56" s="189" t="inlineStr">
        <is>
          <t>Substituído pelas 14 Comidas temáticas — ver Crafting - Receitas</t>
        </is>
      </c>
      <c r="D56" s="171">
        <f>ROUND(Economia!C24*$B$9,0)</f>
        <v/>
      </c>
      <c r="E56" s="154" t="n"/>
    </row>
    <row r="57" ht="15" customHeight="1" s="116">
      <c r="A57" s="168" t="inlineStr">
        <is>
          <t>Adamantina</t>
        </is>
      </c>
      <c r="B57" s="167" t="inlineStr">
        <is>
          <t>Antidoto</t>
        </is>
      </c>
      <c r="C57" s="189" t="inlineStr">
        <is>
          <t>Remove Veneno, Queimadura ou Lentidão/Imobilização — só versão LEVE. Grave precisa de curandeiro em cidade.</t>
        </is>
      </c>
      <c r="D57" s="171">
        <f>ROUND(Economia!C24*$B$10,0)</f>
        <v/>
      </c>
      <c r="E57" s="188">
        <f>INDEX($H$12:$H$15,MATCH(B57,$G$12:$G$15,0))</f>
        <v/>
      </c>
    </row>
    <row r="58" ht="15" customHeight="1" s="116">
      <c r="A58" s="168" t="inlineStr">
        <is>
          <t>Osso de Dragao</t>
        </is>
      </c>
      <c r="B58" s="167" t="inlineStr">
        <is>
          <t>Pocao de Cura</t>
        </is>
      </c>
      <c r="C58" s="187">
        <f>"Recupera "&amp;ROUND(INDEX('Curva Mestra'!$B$20:$B$94,MATCH(Tiers!E20,'Curva Mestra'!$A$20:$A$94,0))*$B$5,0)&amp;" HP"</f>
        <v/>
      </c>
      <c r="D58" s="171">
        <f>ROUND(Economia!C25*$B$7,0)</f>
        <v/>
      </c>
      <c r="E58" s="188">
        <f>INDEX($H$12:$H$15,MATCH(B58,$G$12:$G$15,0))</f>
        <v/>
      </c>
    </row>
    <row r="59" ht="15" customHeight="1" s="116">
      <c r="A59" s="168" t="inlineStr">
        <is>
          <t>Osso de Dragao</t>
        </is>
      </c>
      <c r="B59" s="167" t="inlineStr">
        <is>
          <t>Pocao de Mana</t>
        </is>
      </c>
      <c r="C59" s="187">
        <f>"Recupera "&amp;ROUND(INDEX('Curva Mestra'!$M$20:$M$94,MATCH(Tiers!E20,'Curva Mestra'!$A$20:$A$94,0))*$B$6,0)&amp;" Mana"</f>
        <v/>
      </c>
      <c r="D59" s="171">
        <f>ROUND(Economia!C25*$B$8,0)</f>
        <v/>
      </c>
      <c r="E59" s="188">
        <f>INDEX($H$12:$H$15,MATCH(B59,$G$12:$G$15,0))</f>
        <v/>
      </c>
    </row>
    <row r="60" ht="27.75" customHeight="1" s="116">
      <c r="A60" s="168" t="inlineStr">
        <is>
          <t>Osso de Dragao</t>
        </is>
      </c>
      <c r="B60" s="167" t="inlineStr">
        <is>
          <t>(Retirado)</t>
        </is>
      </c>
      <c r="C60" s="189" t="inlineStr">
        <is>
          <t>Substituído pelas 14 Comidas temáticas — ver Crafting - Receitas</t>
        </is>
      </c>
      <c r="D60" s="171">
        <f>ROUND(Economia!C25*$B$9,0)</f>
        <v/>
      </c>
      <c r="E60" s="154" t="n"/>
    </row>
    <row r="61" ht="15" customHeight="1" s="116">
      <c r="A61" s="168" t="inlineStr">
        <is>
          <t>Osso de Dragao</t>
        </is>
      </c>
      <c r="B61" s="167" t="inlineStr">
        <is>
          <t>Antidoto</t>
        </is>
      </c>
      <c r="C61" s="189" t="inlineStr">
        <is>
          <t>Remove Veneno, Queimadura ou Lentidão/Imobilização — só versão LEVE. Grave precisa de curandeiro em cidade.</t>
        </is>
      </c>
      <c r="D61" s="171">
        <f>ROUND(Economia!C25*$B$10,0)</f>
        <v/>
      </c>
      <c r="E61" s="188">
        <f>INDEX($H$12:$H$15,MATCH(B61,$G$12:$G$15,0))</f>
        <v/>
      </c>
    </row>
    <row r="62" ht="15" customHeight="1" s="116">
      <c r="A62" s="168" t="inlineStr">
        <is>
          <t>Pacto Daedrico</t>
        </is>
      </c>
      <c r="B62" s="167" t="inlineStr">
        <is>
          <t>Pocao de Cura</t>
        </is>
      </c>
      <c r="C62" s="187">
        <f>"Recupera "&amp;ROUND(INDEX('Curva Mestra'!$B$20:$B$94,MATCH(Tiers!E21,'Curva Mestra'!$A$20:$A$94,0))*$B$5,0)&amp;" HP"</f>
        <v/>
      </c>
      <c r="D62" s="171">
        <f>ROUND(Economia!C26*$B$7,0)</f>
        <v/>
      </c>
      <c r="E62" s="188">
        <f>INDEX($H$12:$H$15,MATCH(B62,$G$12:$G$15,0))</f>
        <v/>
      </c>
    </row>
    <row r="63" ht="15" customHeight="1" s="116">
      <c r="A63" s="168" t="inlineStr">
        <is>
          <t>Pacto Daedrico</t>
        </is>
      </c>
      <c r="B63" s="167" t="inlineStr">
        <is>
          <t>Pocao de Mana</t>
        </is>
      </c>
      <c r="C63" s="187">
        <f>"Recupera "&amp;ROUND(INDEX('Curva Mestra'!$M$20:$M$94,MATCH(Tiers!E21,'Curva Mestra'!$A$20:$A$94,0))*$B$6,0)&amp;" Mana"</f>
        <v/>
      </c>
      <c r="D63" s="171">
        <f>ROUND(Economia!C26*$B$8,0)</f>
        <v/>
      </c>
      <c r="E63" s="188">
        <f>INDEX($H$12:$H$15,MATCH(B63,$G$12:$G$15,0))</f>
        <v/>
      </c>
    </row>
    <row r="64" ht="27.75" customHeight="1" s="116">
      <c r="A64" s="168" t="inlineStr">
        <is>
          <t>Pacto Daedrico</t>
        </is>
      </c>
      <c r="B64" s="167" t="inlineStr">
        <is>
          <t>(Retirado)</t>
        </is>
      </c>
      <c r="C64" s="189" t="inlineStr">
        <is>
          <t>Substituído pelas 14 Comidas temáticas — ver Crafting - Receitas</t>
        </is>
      </c>
      <c r="D64" s="171">
        <f>ROUND(Economia!C26*$B$9,0)</f>
        <v/>
      </c>
      <c r="E64" s="154" t="n"/>
    </row>
    <row r="65" ht="15" customHeight="1" s="116">
      <c r="A65" s="168" t="inlineStr">
        <is>
          <t>Pacto Daedrico</t>
        </is>
      </c>
      <c r="B65" s="167" t="inlineStr">
        <is>
          <t>Antidoto</t>
        </is>
      </c>
      <c r="C65" s="189" t="inlineStr">
        <is>
          <t>Remove Veneno, Queimadura ou Lentidão/Imobilização — só versão LEVE. Grave precisa de curandeiro em cidade.</t>
        </is>
      </c>
      <c r="D65" s="171">
        <f>ROUND(Economia!C26*$B$10,0)</f>
        <v/>
      </c>
      <c r="E65" s="188">
        <f>INDEX($H$12:$H$15,MATCH(B65,$G$12:$G$15,0))</f>
        <v/>
      </c>
    </row>
    <row r="66" ht="15" customHeight="1" s="116">
      <c r="A66" s="168" t="inlineStr">
        <is>
          <t>Estelar / Cosmico</t>
        </is>
      </c>
      <c r="B66" s="167" t="inlineStr">
        <is>
          <t>Pocao de Cura</t>
        </is>
      </c>
      <c r="C66" s="187">
        <f>"Recupera "&amp;ROUND(INDEX('Curva Mestra'!$B$20:$B$94,MATCH(Tiers!E22,'Curva Mestra'!$A$20:$A$94,0))*$B$5,0)&amp;" HP"</f>
        <v/>
      </c>
      <c r="D66" s="171">
        <f>ROUND(Economia!C27*$B$7,0)</f>
        <v/>
      </c>
      <c r="E66" s="188">
        <f>INDEX($H$12:$H$15,MATCH(B66,$G$12:$G$15,0))</f>
        <v/>
      </c>
    </row>
    <row r="67" ht="15" customHeight="1" s="116">
      <c r="A67" s="168" t="inlineStr">
        <is>
          <t>Estelar / Cosmico</t>
        </is>
      </c>
      <c r="B67" s="167" t="inlineStr">
        <is>
          <t>Pocao de Mana</t>
        </is>
      </c>
      <c r="C67" s="187">
        <f>"Recupera "&amp;ROUND(INDEX('Curva Mestra'!$M$20:$M$94,MATCH(Tiers!E22,'Curva Mestra'!$A$20:$A$94,0))*$B$6,0)&amp;" Mana"</f>
        <v/>
      </c>
      <c r="D67" s="171">
        <f>ROUND(Economia!C27*$B$8,0)</f>
        <v/>
      </c>
      <c r="E67" s="188">
        <f>INDEX($H$12:$H$15,MATCH(B67,$G$12:$G$15,0))</f>
        <v/>
      </c>
    </row>
    <row r="68" ht="27.75" customHeight="1" s="116">
      <c r="A68" s="168" t="inlineStr">
        <is>
          <t>Estelar / Cosmico</t>
        </is>
      </c>
      <c r="B68" s="167" t="inlineStr">
        <is>
          <t>(Retirado)</t>
        </is>
      </c>
      <c r="C68" s="189" t="inlineStr">
        <is>
          <t>Substituído pelas 14 Comidas temáticas — ver Crafting - Receitas</t>
        </is>
      </c>
      <c r="D68" s="171">
        <f>ROUND(Economia!C27*$B$9,0)</f>
        <v/>
      </c>
      <c r="E68" s="154" t="n"/>
    </row>
    <row r="69" ht="15" customHeight="1" s="116">
      <c r="A69" s="168" t="inlineStr">
        <is>
          <t>Estelar / Cosmico</t>
        </is>
      </c>
      <c r="B69" s="167" t="inlineStr">
        <is>
          <t>Antidoto</t>
        </is>
      </c>
      <c r="C69" s="189" t="inlineStr">
        <is>
          <t>Remove Veneno, Queimadura ou Lentidão/Imobilização — só versão LEVE. Grave precisa de curandeiro em cidade.</t>
        </is>
      </c>
      <c r="D69" s="171">
        <f>ROUND(Economia!C27*$B$10,0)</f>
        <v/>
      </c>
      <c r="E69" s="188">
        <f>INDEX($H$12:$H$15,MATCH(B69,$G$12:$G$15,0))</f>
        <v/>
      </c>
    </row>
    <row r="70" ht="15" customHeight="1" s="116">
      <c r="A70" s="168" t="inlineStr">
        <is>
          <t>Sucata Enferrujada</t>
        </is>
      </c>
      <c r="B70" s="167" t="inlineStr">
        <is>
          <t>Vial de Veneno</t>
        </is>
      </c>
      <c r="C70" s="187" t="inlineStr">
        <is>
          <t>3 usos. Cada golpe com a arma untada tem 30% de chance de aplicar Veneno (Leve) ao acertar.</t>
        </is>
      </c>
      <c r="D70" s="171">
        <f>ROUND(Economia!C14*$E$5,0)</f>
        <v/>
      </c>
      <c r="E70" s="188" t="inlineStr">
        <is>
          <t>Destilado com Raiz de Sangue-Seco — cheira mal o bastante pra saber que funciona.</t>
        </is>
      </c>
    </row>
    <row r="71" ht="15" customHeight="1" s="116">
      <c r="A71" s="168" t="inlineStr">
        <is>
          <t>Bronze</t>
        </is>
      </c>
      <c r="B71" s="167" t="inlineStr">
        <is>
          <t>Vial de Veneno</t>
        </is>
      </c>
      <c r="C71" s="187" t="inlineStr">
        <is>
          <t>3 usos. Cada golpe com a arma untada tem 30% de chance de aplicar Veneno (Leve) ao acertar.</t>
        </is>
      </c>
      <c r="D71" s="171">
        <f>ROUND(Economia!C15*$E$5,0)</f>
        <v/>
      </c>
      <c r="E71" s="188" t="inlineStr">
        <is>
          <t>Destilado com Cogumelo do Escuro — cheira mal o bastante pra saber que funciona.</t>
        </is>
      </c>
    </row>
    <row r="72" ht="15" customHeight="1" s="116">
      <c r="A72" s="168" t="inlineStr">
        <is>
          <t>Ferro</t>
        </is>
      </c>
      <c r="B72" s="167" t="inlineStr">
        <is>
          <t>Vial de Veneno</t>
        </is>
      </c>
      <c r="C72" s="187" t="inlineStr">
        <is>
          <t>3 usos. Cada golpe com a arma untada tem 30% de chance de aplicar Veneno (Leve) ao acertar.</t>
        </is>
      </c>
      <c r="D72" s="171">
        <f>ROUND(Economia!C16*$E$5,0)</f>
        <v/>
      </c>
      <c r="E72" s="188" t="inlineStr">
        <is>
          <t>Destilado com Líquen Ferruginoso — cheira mal o bastante pra saber que funciona.</t>
        </is>
      </c>
    </row>
    <row r="73" ht="15" customHeight="1" s="116">
      <c r="A73" s="168" t="inlineStr">
        <is>
          <t>Prata</t>
        </is>
      </c>
      <c r="B73" s="167" t="inlineStr">
        <is>
          <t>Vial de Veneno</t>
        </is>
      </c>
      <c r="C73" s="187" t="inlineStr">
        <is>
          <t>3 usos. Cada golpe com a arma untada tem 30% de chance de aplicar Veneno (Leve) ao acertar.</t>
        </is>
      </c>
      <c r="D73" s="171">
        <f>ROUND(Economia!C17*$E$5,0)</f>
        <v/>
      </c>
      <c r="E73" s="188" t="inlineStr">
        <is>
          <t>Destilado com Flor do Sudário — cheira mal o bastante pra saber que funciona.</t>
        </is>
      </c>
    </row>
    <row r="74" ht="15" customHeight="1" s="116">
      <c r="A74" s="168" t="inlineStr">
        <is>
          <t>Aco Elfico</t>
        </is>
      </c>
      <c r="B74" s="167" t="inlineStr">
        <is>
          <t>Vial de Veneno</t>
        </is>
      </c>
      <c r="C74" s="187" t="inlineStr">
        <is>
          <t>3 usos. Cada golpe com a arma untada tem 30% de chance de aplicar Veneno (Leve) ao acertar.</t>
        </is>
      </c>
      <c r="D74" s="171">
        <f>ROUND(Economia!C18*$E$5,0)</f>
        <v/>
      </c>
      <c r="E74" s="188" t="inlineStr">
        <is>
          <t>Destilado com Folha Cantante — cheira mal o bastante pra saber que funciona.</t>
        </is>
      </c>
    </row>
    <row r="75" ht="15" customHeight="1" s="116">
      <c r="A75" s="168" t="inlineStr">
        <is>
          <t>Mecanismo Anao</t>
        </is>
      </c>
      <c r="B75" s="167" t="inlineStr">
        <is>
          <t>Vial de Veneno</t>
        </is>
      </c>
      <c r="C75" s="187" t="inlineStr">
        <is>
          <t>3 usos. Cada golpe com a arma untada tem 30% de chance de aplicar Veneno (Leve) ao acertar.</t>
        </is>
      </c>
      <c r="D75" s="171">
        <f>ROUND(Economia!C19*$E$5,0)</f>
        <v/>
      </c>
      <c r="E75" s="188" t="inlineStr">
        <is>
          <t>Destilado com Musgo de Graxa Arcana — cheira mal o bastante pra saber que funciona.</t>
        </is>
      </c>
    </row>
    <row r="76" ht="15" customHeight="1" s="116">
      <c r="A76" s="168" t="inlineStr">
        <is>
          <t>Vidro Vulcanico</t>
        </is>
      </c>
      <c r="B76" s="167" t="inlineStr">
        <is>
          <t>Vial de Veneno</t>
        </is>
      </c>
      <c r="C76" s="187" t="inlineStr">
        <is>
          <t>3 usos. Cada golpe com a arma untada tem 30% de chance de aplicar Veneno (Leve) ao acertar.</t>
        </is>
      </c>
      <c r="D76" s="171">
        <f>ROUND(Economia!C20*$E$5,0)</f>
        <v/>
      </c>
      <c r="E76" s="188" t="inlineStr">
        <is>
          <t>Destilado com Orquídea de Magma — cheira mal o bastante pra saber que funciona.</t>
        </is>
      </c>
    </row>
    <row r="77" ht="15" customHeight="1" s="116">
      <c r="A77" s="168" t="inlineStr">
        <is>
          <t>Ferro Orquico</t>
        </is>
      </c>
      <c r="B77" s="167" t="inlineStr">
        <is>
          <t>Vial de Veneno</t>
        </is>
      </c>
      <c r="C77" s="187" t="inlineStr">
        <is>
          <t>3 usos. Cada golpe com a arma untada tem 30% de chance de aplicar Veneno (Leve) ao acertar.</t>
        </is>
      </c>
      <c r="D77" s="171">
        <f>ROUND(Economia!C21*$E$5,0)</f>
        <v/>
      </c>
      <c r="E77" s="188" t="inlineStr">
        <is>
          <t>Destilado com Raiz da Fúria Vermelha — cheira mal o bastante pra saber que funciona.</t>
        </is>
      </c>
    </row>
    <row r="78" ht="15" customHeight="1" s="116">
      <c r="A78" s="168" t="inlineStr">
        <is>
          <t>Mithril</t>
        </is>
      </c>
      <c r="B78" s="167" t="inlineStr">
        <is>
          <t>Vial de Veneno</t>
        </is>
      </c>
      <c r="C78" s="187" t="inlineStr">
        <is>
          <t>3 usos. Cada golpe com a arma untada tem 30% de chance de aplicar Veneno (Leve) ao acertar.</t>
        </is>
      </c>
      <c r="D78" s="171">
        <f>ROUND(Economia!C22*$E$5,0)</f>
        <v/>
      </c>
      <c r="E78" s="188" t="inlineStr">
        <is>
          <t>Destilado com Lótus do Lago Sem Sol — cheira mal o bastante pra saber que funciona.</t>
        </is>
      </c>
    </row>
    <row r="79" ht="15" customHeight="1" s="116">
      <c r="A79" s="168" t="inlineStr">
        <is>
          <t>Ebano</t>
        </is>
      </c>
      <c r="B79" s="167" t="inlineStr">
        <is>
          <t>Vial de Veneno</t>
        </is>
      </c>
      <c r="C79" s="187" t="inlineStr">
        <is>
          <t>3 usos. Cada golpe com a arma untada tem 30% de chance de aplicar Veneno (Leve) ao acertar.</t>
        </is>
      </c>
      <c r="D79" s="171">
        <f>ROUND(Economia!C23*$E$5,0)</f>
        <v/>
      </c>
      <c r="E79" s="188" t="inlineStr">
        <is>
          <t>Destilado com Cogumelo da Cinza Fria — cheira mal o bastante pra saber que funciona.</t>
        </is>
      </c>
    </row>
    <row r="80" ht="15" customHeight="1" s="116">
      <c r="A80" s="168" t="inlineStr">
        <is>
          <t>Adamantina</t>
        </is>
      </c>
      <c r="B80" s="167" t="inlineStr">
        <is>
          <t>Vial de Veneno</t>
        </is>
      </c>
      <c r="C80" s="187" t="inlineStr">
        <is>
          <t>3 usos. Cada golpe com a arma untada tem 30% de chance de aplicar Veneno (Leve) ao acertar.</t>
        </is>
      </c>
      <c r="D80" s="171">
        <f>ROUND(Economia!C24*$E$5,0)</f>
        <v/>
      </c>
      <c r="E80" s="188" t="inlineStr">
        <is>
          <t>Destilado com Flor de Aço Titanica — cheira mal o bastante pra saber que funciona.</t>
        </is>
      </c>
    </row>
    <row r="81" ht="15" customHeight="1" s="116">
      <c r="A81" s="168" t="inlineStr">
        <is>
          <t>Osso de Dragao</t>
        </is>
      </c>
      <c r="B81" s="167" t="inlineStr">
        <is>
          <t>Vial de Veneno</t>
        </is>
      </c>
      <c r="C81" s="187" t="inlineStr">
        <is>
          <t>3 usos. Cada golpe com a arma untada tem 30% de chance de aplicar Veneno (Leve) ao acertar.</t>
        </is>
      </c>
      <c r="D81" s="171">
        <f>ROUND(Economia!C25*$E$5,0)</f>
        <v/>
      </c>
      <c r="E81" s="188" t="inlineStr">
        <is>
          <t>Destilado com Flor Bafo-de-Dragão — cheira mal o bastante pra saber que funciona.</t>
        </is>
      </c>
    </row>
    <row r="82" ht="15" customHeight="1" s="116">
      <c r="A82" s="168" t="inlineStr">
        <is>
          <t>Pacto Daedrico</t>
        </is>
      </c>
      <c r="B82" s="167" t="inlineStr">
        <is>
          <t>Vial de Veneno</t>
        </is>
      </c>
      <c r="C82" s="187" t="inlineStr">
        <is>
          <t>3 usos. Cada golpe com a arma untada tem 30% de chance de aplicar Veneno (Leve) ao acertar.</t>
        </is>
      </c>
      <c r="D82" s="171">
        <f>ROUND(Economia!C26*$E$5,0)</f>
        <v/>
      </c>
      <c r="E82" s="188" t="inlineStr">
        <is>
          <t>Destilado com Erva da Oferenda Sombria — cheira mal o bastante pra saber que funciona.</t>
        </is>
      </c>
    </row>
    <row r="83" ht="15" customHeight="1" s="116">
      <c r="A83" s="168" t="inlineStr">
        <is>
          <t>Estelar / Cosmico</t>
        </is>
      </c>
      <c r="B83" s="167" t="inlineStr">
        <is>
          <t>Vial de Veneno</t>
        </is>
      </c>
      <c r="C83" s="187" t="inlineStr">
        <is>
          <t>3 usos. Cada golpe com a arma untada tem 30% de chance de aplicar Veneno (Leve) ao acertar.</t>
        </is>
      </c>
      <c r="D83" s="171">
        <f>ROUND(Economia!C27*$E$5,0)</f>
        <v/>
      </c>
      <c r="E83" s="188" t="inlineStr">
        <is>
          <t>Destilado com Lótus Cósmica do Fim dos Tempos — cheira mal o bastante pra saber que funciona.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E5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115" min="1" max="1"/>
    <col width="16" customWidth="1" style="115" min="2" max="4"/>
    <col width="42" customWidth="1" style="115" min="5" max="5"/>
  </cols>
  <sheetData>
    <row r="1" ht="17.25" customHeight="1" s="116">
      <c r="A1" s="117" t="inlineStr">
        <is>
          <t>Exploracao - Encontros Aleatorios</t>
        </is>
      </c>
    </row>
    <row r="2" ht="15" customHeight="1" s="116">
      <c r="A2" s="123" t="inlineStr">
        <is>
          <t>Quanto maior o perigo do encontro, melhor a chance de raridade no loot - risco compensa.</t>
        </is>
      </c>
    </row>
    <row r="4" ht="15" customHeight="1" s="116">
      <c r="A4" s="127" t="inlineStr">
        <is>
          <t>Tabela de Encontro (1d100, ao explorar) — DEPENDE do Nivel de Perigo do local (ver Mundo-Locais)</t>
        </is>
      </c>
    </row>
    <row r="5" ht="15" customHeight="1" s="116">
      <c r="A5" s="124" t="inlineStr">
        <is>
          <t>Isso substitui a tabela fixa abaixo. Regra real, implementada no bot (game/exploracao.py):</t>
        </is>
      </c>
      <c r="B5" s="124" t="n"/>
      <c r="C5" s="124" t="n"/>
    </row>
    <row r="6" ht="23.25" customHeight="1" s="116">
      <c r="A6" s="131" t="n"/>
      <c r="B6" s="133" t="n"/>
      <c r="C6" s="136" t="n"/>
    </row>
    <row r="7" ht="23.25" customHeight="1" s="116">
      <c r="A7" s="264" t="inlineStr">
        <is>
          <t>Perigo 1</t>
        </is>
      </c>
      <c r="B7" s="264" t="inlineStr">
        <is>
          <t>70% nada, 20% comum, 7% elite, 2% ameaca_sup, 1% achado</t>
        </is>
      </c>
      <c r="C7" s="136" t="n"/>
    </row>
    <row r="8" ht="34.5" customHeight="1" s="116">
      <c r="A8" s="264" t="inlineStr">
        <is>
          <t>Perigo 2</t>
        </is>
      </c>
      <c r="B8" s="264" t="inlineStr">
        <is>
          <t>60% nada, 23% comum, 10% elite, 5% ameaca_sup, 2% achado</t>
        </is>
      </c>
      <c r="C8" s="136" t="n"/>
    </row>
    <row r="9" ht="45.75" customHeight="1" s="116">
      <c r="A9" s="264" t="inlineStr">
        <is>
          <t>Perigo 3 (padrao)</t>
        </is>
      </c>
      <c r="B9" s="264" t="inlineStr">
        <is>
          <t>50% nada, 25% comum, 12% elite, 8% ameaca_sup, 4% boss, 1% achado</t>
        </is>
      </c>
      <c r="C9" s="136" t="n"/>
    </row>
    <row r="10" ht="34.5" customHeight="1" s="116">
      <c r="A10" s="264" t="inlineStr">
        <is>
          <t>Perigo 4</t>
        </is>
      </c>
      <c r="B10" s="264" t="inlineStr">
        <is>
          <t>40% nada, 25% comum, 15% elite, 12% ameaca_sup, 6% boss, 2% achado</t>
        </is>
      </c>
      <c r="C10" s="136" t="n"/>
    </row>
    <row r="11" ht="45.75" customHeight="1" s="116">
      <c r="A11" s="264" t="inlineStr">
        <is>
          <t>Perigo 5</t>
        </is>
      </c>
      <c r="B11" s="264" t="inlineStr">
        <is>
          <t>30% nada, 25% comum, 18% elite, 16% ameaca_sup, 9% boss, 2% achado</t>
        </is>
      </c>
      <c r="C11" s="136" t="n"/>
    </row>
    <row r="14" ht="15" customHeight="1" s="116">
      <c r="A14" s="127" t="inlineStr">
        <is>
          <t>Regras de Percepcao e Fuga</t>
        </is>
      </c>
    </row>
    <row r="15" ht="15" customHeight="1" s="116">
      <c r="A15" s="162" t="inlineStr">
        <is>
          <t>- Antes de um combate com Ameaca Superior ou Emboscada de Boss, o Mestre descreve uma pista</t>
        </is>
      </c>
    </row>
    <row r="16" ht="15" customHeight="1" s="116">
      <c r="A16" s="162" t="inlineStr">
        <is>
          <t xml:space="preserve">  proporcional ao perigo (rugido grave, pegadas enormes, silencio anormal).</t>
        </is>
      </c>
    </row>
    <row r="17" ht="15" customHeight="1" s="116">
      <c r="A17" s="162" t="inlineStr">
        <is>
          <t>- O jogador pode rolar Percepcao (d20 + PER) vs a Defesa do monstro para saber se e mais forte</t>
        </is>
      </c>
    </row>
    <row r="18" ht="15" customHeight="1" s="116">
      <c r="A18" s="162" t="inlineStr">
        <is>
          <t xml:space="preserve">  que o normal ANTES de se comprometer ao combate.</t>
        </is>
      </c>
    </row>
    <row r="19" ht="15" customHeight="1" s="116">
      <c r="A19" s="162" t="inlineStr">
        <is>
          <t>- Fuga: rolar d20 + PER vs a Defesa do monstro. Se passar, foge sem custo. Se falhar, leva</t>
        </is>
      </c>
    </row>
    <row r="20" ht="15" customHeight="1" s="116">
      <c r="A20" s="162" t="inlineStr">
        <is>
          <t xml:space="preserve">  1 ataque de graca do monstro mas ainda assim escapa (fugir quase sempre funciona).</t>
        </is>
      </c>
    </row>
    <row r="23" ht="15" customHeight="1" s="116">
      <c r="A23" s="127" t="inlineStr">
        <is>
          <t>Raridade do Loot por Tipo de Encontro (1d100)</t>
        </is>
      </c>
    </row>
    <row r="24" ht="15" customHeight="1" s="116">
      <c r="A24" s="124" t="inlineStr">
        <is>
          <t>Tipo de Encontro</t>
        </is>
      </c>
      <c r="B24" s="124" t="inlineStr">
        <is>
          <t>Faixa Comum</t>
        </is>
      </c>
      <c r="C24" s="124" t="inlineStr">
        <is>
          <t>Faixa Raro</t>
        </is>
      </c>
      <c r="D24" s="124" t="inlineStr">
        <is>
          <t>Faixa Lendario</t>
        </is>
      </c>
      <c r="E24" s="124" t="inlineStr">
        <is>
          <t>De Onde Tirar o Item</t>
        </is>
      </c>
    </row>
    <row r="25" ht="15" customHeight="1" s="116">
      <c r="A25" s="133" t="inlineStr">
        <is>
          <t>Monstro Comum</t>
        </is>
      </c>
      <c r="B25" s="131" t="inlineStr">
        <is>
          <t>1-70</t>
        </is>
      </c>
      <c r="C25" s="131" t="inlineStr">
        <is>
          <t>71-95</t>
        </is>
      </c>
      <c r="D25" s="131" t="inlineStr">
        <is>
          <t>96-100</t>
        </is>
      </c>
      <c r="E25" s="136" t="inlineStr">
        <is>
          <t>Monte de cartas do TIER ATUAL</t>
        </is>
      </c>
    </row>
    <row r="26" ht="15" customHeight="1" s="116">
      <c r="A26" s="133" t="inlineStr">
        <is>
          <t>Monstro Elite</t>
        </is>
      </c>
      <c r="B26" s="131" t="inlineStr">
        <is>
          <t>1-40</t>
        </is>
      </c>
      <c r="C26" s="131" t="inlineStr">
        <is>
          <t>41-85</t>
        </is>
      </c>
      <c r="D26" s="131" t="inlineStr">
        <is>
          <t>86-100</t>
        </is>
      </c>
      <c r="E26" s="136" t="inlineStr">
        <is>
          <t>Monte de cartas do TIER ATUAL</t>
        </is>
      </c>
    </row>
    <row r="27" ht="15" customHeight="1" s="116">
      <c r="A27" s="133" t="inlineStr">
        <is>
          <t>Ameaca Superior (prox. tier)</t>
        </is>
      </c>
      <c r="B27" s="131" t="inlineStr">
        <is>
          <t>1-20</t>
        </is>
      </c>
      <c r="C27" s="131" t="inlineStr">
        <is>
          <t>21-70</t>
        </is>
      </c>
      <c r="D27" s="131" t="inlineStr">
        <is>
          <t>71-100</t>
        </is>
      </c>
      <c r="E27" s="136" t="inlineStr">
        <is>
          <t>Monte de cartas do PROXIMO TIER</t>
        </is>
      </c>
    </row>
    <row r="28" ht="23.25" customHeight="1" s="116">
      <c r="A28" s="133" t="inlineStr">
        <is>
          <t>Emboscada de Boss</t>
        </is>
      </c>
      <c r="B28" s="131" t="inlineStr">
        <is>
          <t>1-10</t>
        </is>
      </c>
      <c r="C28" s="131" t="inlineStr">
        <is>
          <t>11-55</t>
        </is>
      </c>
      <c r="D28" s="131" t="inlineStr">
        <is>
          <t>56-100</t>
        </is>
      </c>
      <c r="E28" s="136" t="inlineStr">
        <is>
          <t>Monte de cartas do TIER ATUAL (chance alta de Lendario)</t>
        </is>
      </c>
    </row>
    <row r="29" ht="23.25" customHeight="1" s="116">
      <c r="A29" s="133" t="inlineStr">
        <is>
          <t>Boss de Missao Principal</t>
        </is>
      </c>
      <c r="B29" s="131" t="inlineStr">
        <is>
          <t>0</t>
        </is>
      </c>
      <c r="C29" s="131" t="inlineStr">
        <is>
          <t>1-40</t>
        </is>
      </c>
      <c r="D29" s="131" t="inlineStr">
        <is>
          <t>41-100</t>
        </is>
      </c>
      <c r="E29" s="136" t="inlineStr">
        <is>
          <t>Monte de cartas do TIER ATUAL (Lendario garantido ou quase)</t>
        </is>
      </c>
    </row>
    <row r="32" ht="15" customHeight="1" s="116">
      <c r="A32" s="127" t="inlineStr">
        <is>
          <t>Referencia Rapida: Proximo Tier</t>
        </is>
      </c>
    </row>
    <row r="33" ht="15" customHeight="1" s="116">
      <c r="A33" s="124" t="inlineStr">
        <is>
          <t>Tier Atual</t>
        </is>
      </c>
      <c r="B33" s="124" t="inlineStr">
        <is>
          <t>Proximo Tier</t>
        </is>
      </c>
    </row>
    <row r="34" ht="15" customHeight="1" s="116">
      <c r="A34" s="128" t="inlineStr">
        <is>
          <t>Sucata Enferrujada</t>
        </is>
      </c>
      <c r="B34" s="128" t="inlineStr">
        <is>
          <t>Bronze</t>
        </is>
      </c>
    </row>
    <row r="35" ht="15" customHeight="1" s="116">
      <c r="A35" s="128" t="inlineStr">
        <is>
          <t>Bronze</t>
        </is>
      </c>
      <c r="B35" s="128" t="inlineStr">
        <is>
          <t>Ferro</t>
        </is>
      </c>
    </row>
    <row r="36" ht="15" customHeight="1" s="116">
      <c r="A36" s="128" t="inlineStr">
        <is>
          <t>Ferro</t>
        </is>
      </c>
      <c r="B36" s="128" t="inlineStr">
        <is>
          <t>Prata</t>
        </is>
      </c>
    </row>
    <row r="37" ht="15" customHeight="1" s="116">
      <c r="A37" s="128" t="inlineStr">
        <is>
          <t>Prata</t>
        </is>
      </c>
      <c r="B37" s="128" t="inlineStr">
        <is>
          <t>Aco Elfico</t>
        </is>
      </c>
    </row>
    <row r="38" ht="15" customHeight="1" s="116">
      <c r="A38" s="128" t="inlineStr">
        <is>
          <t>Aco Elfico</t>
        </is>
      </c>
      <c r="B38" s="128" t="inlineStr">
        <is>
          <t>Mecanismo Anao</t>
        </is>
      </c>
    </row>
    <row r="39" ht="15" customHeight="1" s="116">
      <c r="A39" s="128" t="inlineStr">
        <is>
          <t>Mecanismo Anao</t>
        </is>
      </c>
      <c r="B39" s="128" t="inlineStr">
        <is>
          <t>Vidro Vulcanico</t>
        </is>
      </c>
    </row>
    <row r="40" ht="15" customHeight="1" s="116">
      <c r="A40" s="128" t="inlineStr">
        <is>
          <t>Vidro Vulcanico</t>
        </is>
      </c>
      <c r="B40" s="128" t="inlineStr">
        <is>
          <t>Ferro Orquico</t>
        </is>
      </c>
    </row>
    <row r="41" ht="15" customHeight="1" s="116">
      <c r="A41" s="128" t="inlineStr">
        <is>
          <t>Ferro Orquico</t>
        </is>
      </c>
      <c r="B41" s="128" t="inlineStr">
        <is>
          <t>Mithril</t>
        </is>
      </c>
    </row>
    <row r="42" ht="15" customHeight="1" s="116">
      <c r="A42" s="128" t="inlineStr">
        <is>
          <t>Mithril</t>
        </is>
      </c>
      <c r="B42" s="128" t="inlineStr">
        <is>
          <t>Ebano</t>
        </is>
      </c>
    </row>
    <row r="43" ht="15" customHeight="1" s="116">
      <c r="A43" s="128" t="inlineStr">
        <is>
          <t>Ebano</t>
        </is>
      </c>
      <c r="B43" s="128" t="inlineStr">
        <is>
          <t>Adamantina</t>
        </is>
      </c>
    </row>
    <row r="44" ht="15" customHeight="1" s="116">
      <c r="A44" s="128" t="inlineStr">
        <is>
          <t>Adamantina</t>
        </is>
      </c>
      <c r="B44" s="128" t="inlineStr">
        <is>
          <t>Osso de Dragao</t>
        </is>
      </c>
    </row>
    <row r="45" ht="15" customHeight="1" s="116">
      <c r="A45" s="128" t="inlineStr">
        <is>
          <t>Osso de Dragao</t>
        </is>
      </c>
      <c r="B45" s="128" t="inlineStr">
        <is>
          <t>Pacto Daedrico</t>
        </is>
      </c>
    </row>
    <row r="46" ht="15" customHeight="1" s="116">
      <c r="A46" s="128" t="inlineStr">
        <is>
          <t>Pacto Daedrico</t>
        </is>
      </c>
      <c r="B46" s="128" t="inlineStr">
        <is>
          <t>Estelar / Cosmico</t>
        </is>
      </c>
    </row>
    <row r="47" ht="15" customHeight="1" s="116">
      <c r="A47" s="128" t="inlineStr">
        <is>
          <t>Estelar / Cosmico</t>
        </is>
      </c>
      <c r="B47" s="128" t="inlineStr">
        <is>
          <t>Nao ha - e o ultimo tier</t>
        </is>
      </c>
    </row>
    <row r="50" ht="15" customHeight="1" s="116">
      <c r="A50" s="127" t="inlineStr">
        <is>
          <t>Tipo de Item no Loot (1d12)</t>
        </is>
      </c>
    </row>
    <row r="51" ht="15" customHeight="1" s="116">
      <c r="A51" s="124" t="inlineStr">
        <is>
          <t>Rolagem (1d12)</t>
        </is>
      </c>
      <c r="B51" s="124" t="inlineStr">
        <is>
          <t>Resultado</t>
        </is>
      </c>
    </row>
    <row r="52" ht="45.75" customHeight="1" s="116">
      <c r="A52" s="131" t="inlineStr">
        <is>
          <t>1-2</t>
        </is>
      </c>
      <c r="B52" s="136" t="inlineStr">
        <is>
          <t>Arma (tipo aleatorio - role 1d7 entre os 7 tipos, ou escolha por tema do monstro)</t>
        </is>
      </c>
    </row>
    <row r="53" ht="15" customHeight="1" s="116">
      <c r="A53" s="131" t="inlineStr">
        <is>
          <t>3</t>
        </is>
      </c>
      <c r="B53" s="136" t="inlineStr">
        <is>
          <t>Elmo</t>
        </is>
      </c>
    </row>
    <row r="54" ht="15" customHeight="1" s="116">
      <c r="A54" s="131" t="inlineStr">
        <is>
          <t>4</t>
        </is>
      </c>
      <c r="B54" s="136" t="inlineStr">
        <is>
          <t>Peitoral</t>
        </is>
      </c>
    </row>
    <row r="55" ht="15" customHeight="1" s="116">
      <c r="A55" s="131" t="inlineStr">
        <is>
          <t>5</t>
        </is>
      </c>
      <c r="B55" s="136" t="inlineStr">
        <is>
          <t>Luvas</t>
        </is>
      </c>
    </row>
    <row r="56" ht="15" customHeight="1" s="116">
      <c r="A56" s="131" t="inlineStr">
        <is>
          <t>6</t>
        </is>
      </c>
      <c r="B56" s="136" t="inlineStr">
        <is>
          <t>Calca</t>
        </is>
      </c>
    </row>
    <row r="57" ht="15" customHeight="1" s="116">
      <c r="A57" s="131" t="inlineStr">
        <is>
          <t>7</t>
        </is>
      </c>
      <c r="B57" s="136" t="inlineStr">
        <is>
          <t>Bota</t>
        </is>
      </c>
    </row>
    <row r="58" ht="23.25" customHeight="1" s="116">
      <c r="A58" s="131" t="inlineStr">
        <is>
          <t>8-12</t>
        </is>
      </c>
      <c r="B58" s="136" t="inlineStr">
        <is>
          <t>Nada dropou (so ouro/XP)</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E1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115" min="1" max="1"/>
    <col width="20" customWidth="1" style="115" min="2" max="3"/>
    <col width="45" customWidth="1" style="115" min="4" max="5"/>
  </cols>
  <sheetData>
    <row r="1" ht="17.25" customHeight="1" s="116">
      <c r="A1" s="117" t="inlineStr">
        <is>
          <t>Obstaculos entre Regioes (bloqueios narrativos, nao portoes genericos)</t>
        </is>
      </c>
    </row>
    <row r="2" ht="15" customHeight="1" s="116">
      <c r="A2" s="123" t="inlineStr">
        <is>
          <t>Cada obstaculo tem identidade propria - motivo fisico ou politico pra rota estar fechada, nao so um cadeado.</t>
        </is>
      </c>
    </row>
    <row r="4" ht="15" customHeight="1" s="116">
      <c r="A4" s="132" t="inlineStr">
        <is>
          <t>Obstaculo</t>
        </is>
      </c>
      <c r="B4" s="132" t="inlineStr">
        <is>
          <t>Tipo</t>
        </is>
      </c>
      <c r="C4" s="132" t="inlineStr">
        <is>
          <t>De -&gt; Para</t>
        </is>
      </c>
      <c r="D4" s="132" t="inlineStr">
        <is>
          <t>Descricao</t>
        </is>
      </c>
      <c r="E4" s="132" t="inlineStr">
        <is>
          <t>Como Superar</t>
        </is>
      </c>
    </row>
    <row r="5" ht="23.25" customHeight="1" s="116">
      <c r="A5" s="133" t="inlineStr">
        <is>
          <t>A Estrada Afogada em Silencio</t>
        </is>
      </c>
      <c r="B5" s="128" t="inlineStr">
        <is>
          <t>Rota amaldicoada</t>
        </is>
      </c>
      <c r="C5" s="128" t="inlineStr">
        <is>
          <t>Regiao Ato I -&gt; Regiao Ato II</t>
        </is>
      </c>
      <c r="D5" s="136" t="inlineStr">
        <is>
          <t>A estrada direta atravessa o vale onde o Ceifador do Silencio comecou a caçar. Quem pega esse caminho simplesmente para de fazer barulho - e nunca mais aparece.</t>
        </is>
      </c>
      <c r="E5" s="136" t="inlineStr">
        <is>
          <t>Desviar pelas Criptas de Prata (mais perigoso, mas sobrevivivel). Resolver "A Crianca que Nao Solta" revela por que o silencio comecou.</t>
        </is>
      </c>
    </row>
    <row r="6" ht="23.25" customHeight="1" s="116">
      <c r="A6" s="133" t="inlineStr">
        <is>
          <t>O Desfiladeiro dos Zelotes</t>
        </is>
      </c>
      <c r="B6" s="128" t="inlineStr">
        <is>
          <t>Territorio controlado (cla/culto)</t>
        </is>
      </c>
      <c r="C6" s="128" t="inlineStr">
        <is>
          <t>Regiao Ato II -&gt; Regiao Ato III</t>
        </is>
      </c>
      <c r="D6" s="136" t="inlineStr">
        <is>
          <t>Um deslizamento fechou a estrada velha nas montanhas. A unica passagem restante e vigiada por fanaticos do culto da Mao, que cobram pedagio - ou pior, avaliam se voce e digno de passar.</t>
        </is>
      </c>
      <c r="E6" s="136" t="inlineStr">
        <is>
          <t>Negociar, subornar, infiltrar ou lutar contra os Zelotes da Mao no desfiladeiro.</t>
        </is>
      </c>
    </row>
    <row r="7" ht="23.25" customHeight="1" s="116">
      <c r="A7" s="133" t="inlineStr">
        <is>
          <t>O Ninho da Cordilheira Ignea</t>
        </is>
      </c>
      <c r="B7" s="128" t="inlineStr">
        <is>
          <t>Barreira natural (territorio de fera)</t>
        </is>
      </c>
      <c r="C7" s="128" t="inlineStr">
        <is>
          <t>Regiao Ato III -&gt; Regiao Ato IV</t>
        </is>
      </c>
      <c r="D7" s="136" t="inlineStr">
        <is>
          <t>A passagem mais curta atravessa o territorio de nidificacao de dragoes nas montanhas vulcanicas. A montanha e alta demais pra contornar rapido, e o ninho e recente demais pra ignorar.</t>
        </is>
      </c>
      <c r="E7" s="136" t="inlineStr">
        <is>
          <t>Enfrentar os dragoes de guarda, ou fazer o longo desvio pelas cavernas do Abismar (mais seguro, mas mais lento).</t>
        </is>
      </c>
    </row>
    <row r="8" ht="23.25" customHeight="1" s="116">
      <c r="A8" s="133" t="inlineStr">
        <is>
          <t>O Veu Cambiante</t>
        </is>
      </c>
      <c r="B8" s="128" t="inlineStr">
        <is>
          <t>Fenomeno sobrenatural</t>
        </is>
      </c>
      <c r="C8" s="128" t="inlineStr">
        <is>
          <t>Regiao Ato IV -&gt; Regiao Ato V</t>
        </is>
      </c>
      <c r="D8" s="136" t="inlineStr">
        <is>
          <t>A fronteira da corrupcao nao fica parada - o terreno e a propria realidade se deslocam perto do O Limiar. Estradas normais somem e reaparecem em lugar nenhum.</t>
        </is>
      </c>
      <c r="E8" s="136" t="inlineStr">
        <is>
          <t>Usar (ou sobreviver) o ritual descrito na chegada ao Pacto Daedrico - so caminhos marcados ritualmente ficam estaveis o suficiente pra atravessar.</t>
        </is>
      </c>
    </row>
    <row r="10" ht="15" customHeight="1" s="116">
      <c r="A10" s="120" t="inlineStr">
        <is>
          <t>Dentro de cada regiao (ordem livre):</t>
        </is>
      </c>
    </row>
    <row r="11" ht="15" customHeight="1" s="116">
      <c r="A11" s="162" t="inlineStr">
        <is>
          <t>- Regiao Ato I: Valória + Cinzenta - qualquer ordem</t>
        </is>
      </c>
    </row>
    <row r="12" ht="15" customHeight="1" s="116">
      <c r="A12" s="162" t="inlineStr">
        <is>
          <t>- Regiao Ato II: Ecoril - qualquer ordem interna</t>
        </is>
      </c>
    </row>
    <row r="13" ht="15" customHeight="1" s="116">
      <c r="A13" s="162" t="inlineStr">
        <is>
          <t>- Regiao Ato III: Rocha Alta - qualquer ordem interna</t>
        </is>
      </c>
    </row>
    <row r="14" ht="15" customHeight="1" s="116">
      <c r="A14" s="162" t="inlineStr">
        <is>
          <t>- Regiao Ato IV: Abismar + Alto Bastião - qualquer ordem</t>
        </is>
      </c>
    </row>
    <row r="15" ht="15" customHeight="1" s="116">
      <c r="A15" s="162" t="inlineStr">
        <is>
          <t>- Regiao Ato V: O Limiar - caminho final, mais linear por natureza (climax)</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M360"/>
  <sheetViews>
    <sheetView showFormulas="0" showGridLines="0" showRowColHeaders="1" showZeros="1" rightToLeft="0" tabSelected="0" showOutlineSymbols="1" defaultGridColor="1" view="normal" topLeftCell="A1" colorId="64" zoomScale="100" zoomScaleNormal="100" zoomScalePageLayoutView="100" workbookViewId="0">
      <pane xSplit="0" ySplit="24" topLeftCell="A2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15" min="1" max="1"/>
    <col width="10" customWidth="1" style="115" min="2" max="3"/>
    <col width="14" customWidth="1" style="115" min="4" max="4"/>
    <col width="42" customWidth="1" style="115" min="5" max="5"/>
    <col width="10" customWidth="1" style="115" min="6" max="6"/>
    <col width="12" customWidth="1" style="115" min="7" max="8"/>
    <col width="11" customWidth="1" style="115" min="9" max="10"/>
    <col width="13" customWidth="1" style="115" min="11" max="11"/>
    <col width="15" customWidth="1" style="115" min="12" max="13"/>
  </cols>
  <sheetData>
    <row r="1" ht="17.25" customHeight="1" s="116">
      <c r="A1" s="117" t="inlineStr">
        <is>
          <t>Catalogo Completo de Armaduras</t>
        </is>
      </c>
    </row>
    <row r="2" ht="15" customHeight="1" s="116">
      <c r="A2" s="123" t="inlineStr">
        <is>
          <t>8 slots agora (Amuleto adicionado). Peso soma 1.0 quando TODOS os 10 itens fisicos estao equipados (arma + escudo + 6 pecas + amuleto + 2 aneis).</t>
        </is>
      </c>
    </row>
    <row r="4" ht="15" customHeight="1" s="116">
      <c r="A4" s="124" t="inlineStr">
        <is>
          <t>Slot</t>
        </is>
      </c>
      <c r="B4" s="124" t="inlineStr">
        <is>
          <t>Peso (% da Defesa Total)</t>
        </is>
      </c>
    </row>
    <row r="5" ht="15" customHeight="1" s="116">
      <c r="A5" s="125" t="inlineStr">
        <is>
          <t>Elmo</t>
        </is>
      </c>
      <c r="B5" s="126" t="n">
        <v>0.11</v>
      </c>
    </row>
    <row r="6" ht="15" customHeight="1" s="116">
      <c r="A6" s="125" t="inlineStr">
        <is>
          <t>Peitoral</t>
        </is>
      </c>
      <c r="B6" s="126" t="n">
        <v>0.26</v>
      </c>
    </row>
    <row r="7" ht="15" customHeight="1" s="116">
      <c r="A7" s="125" t="inlineStr">
        <is>
          <t>Luvas</t>
        </is>
      </c>
      <c r="B7" s="126" t="n">
        <v>0.07000000000000001</v>
      </c>
    </row>
    <row r="8" ht="15" customHeight="1" s="116">
      <c r="A8" s="125" t="inlineStr">
        <is>
          <t>Calca</t>
        </is>
      </c>
      <c r="B8" s="126" t="n">
        <v>0.16</v>
      </c>
    </row>
    <row r="9" ht="15" customHeight="1" s="116">
      <c r="A9" s="125" t="inlineStr">
        <is>
          <t>Bota</t>
        </is>
      </c>
      <c r="B9" s="126" t="n">
        <v>0.07000000000000001</v>
      </c>
    </row>
    <row r="10" ht="15" customHeight="1" s="116">
      <c r="A10" s="125" t="inlineStr">
        <is>
          <t>Escudo</t>
        </is>
      </c>
      <c r="B10" s="126" t="n">
        <v>0.15</v>
      </c>
    </row>
    <row r="11" ht="15" customHeight="1" s="116">
      <c r="A11" s="125" t="inlineStr">
        <is>
          <t>Amuleto</t>
        </is>
      </c>
      <c r="B11" s="126" t="n">
        <v>0.08</v>
      </c>
    </row>
    <row r="12" ht="15" customHeight="1" s="116">
      <c r="A12" s="125" t="inlineStr">
        <is>
          <t>Anel</t>
        </is>
      </c>
      <c r="B12" s="126" t="n">
        <v>0.05</v>
      </c>
    </row>
    <row r="14" ht="15" customHeight="1" s="116">
      <c r="A14" s="123" t="inlineStr">
        <is>
          <t>Soma c/ 1 anel (deve ser 0.95)</t>
        </is>
      </c>
      <c r="B14" s="125">
        <f>SUM(B5:B12)</f>
        <v/>
      </c>
    </row>
    <row r="15" ht="15" customHeight="1" s="116">
      <c r="A15" s="123" t="inlineStr">
        <is>
          <t>Soma c/ 2 aneis (deve ser 1.00)</t>
        </is>
      </c>
      <c r="B15" s="125">
        <f>SUM(B5:B12)+B12</f>
        <v/>
      </c>
    </row>
    <row r="16" ht="15" customHeight="1" s="116">
      <c r="A16" s="123" t="inlineStr">
        <is>
          <t>Nota: arma de 2 maos ocupa o slot do Escudo tambem (nao da pra usar os dois).</t>
        </is>
      </c>
    </row>
    <row r="18" ht="15" customHeight="1" s="116">
      <c r="A18" s="124" t="inlineStr">
        <is>
          <t>Raridade</t>
        </is>
      </c>
      <c r="B18" s="124" t="inlineStr">
        <is>
          <t>Multiplicador</t>
        </is>
      </c>
    </row>
    <row r="19" ht="15" customHeight="1" s="116">
      <c r="A19" s="125" t="inlineStr">
        <is>
          <t>Comum</t>
        </is>
      </c>
      <c r="B19" s="126" t="n">
        <v>1</v>
      </c>
    </row>
    <row r="20" ht="15" customHeight="1" s="116">
      <c r="A20" s="125" t="inlineStr">
        <is>
          <t>Raro</t>
        </is>
      </c>
      <c r="B20" s="190">
        <f>Tiers!$B$4</f>
        <v/>
      </c>
    </row>
    <row r="21" ht="15" customHeight="1" s="116">
      <c r="A21" s="125" t="inlineStr">
        <is>
          <t>Lendario</t>
        </is>
      </c>
      <c r="B21" s="190">
        <f>Tiers!$B$5</f>
        <v/>
      </c>
    </row>
    <row r="23" ht="15" customHeight="1" s="116">
      <c r="A23" s="118" t="inlineStr">
        <is>
          <t>Tier</t>
        </is>
      </c>
      <c r="B23" s="118" t="inlineStr">
        <is>
          <t>Slot</t>
        </is>
      </c>
      <c r="C23" s="118" t="inlineStr">
        <is>
          <t>Variação (nome completo)</t>
        </is>
      </c>
      <c r="D23" s="118" t="inlineStr">
        <is>
          <t>Efeito Especial</t>
        </is>
      </c>
      <c r="E23" s="118" t="inlineStr">
        <is>
          <t>Lore</t>
        </is>
      </c>
      <c r="F23" s="118" t="inlineStr">
        <is>
          <t>Nível Ref.</t>
        </is>
      </c>
      <c r="G23" s="118" t="inlineStr">
        <is>
          <t>Defesa Total do Tier</t>
        </is>
      </c>
      <c r="H23" s="118" t="inlineStr">
        <is>
          <t>Peso do Slot</t>
        </is>
      </c>
      <c r="I23" s="118" t="inlineStr">
        <is>
          <t>Defesa Comum</t>
        </is>
      </c>
      <c r="J23" s="118" t="inlineStr">
        <is>
          <t>Defesa Raro</t>
        </is>
      </c>
      <c r="K23" s="118" t="inlineStr">
        <is>
          <t>Mod. Variação</t>
        </is>
      </c>
      <c r="L23" s="118" t="inlineStr">
        <is>
          <t>Preço Venda Comum</t>
        </is>
      </c>
      <c r="M23" s="118" t="inlineStr">
        <is>
          <t>Preço Venda Raro</t>
        </is>
      </c>
    </row>
    <row r="24" ht="15" customHeight="1" s="116">
      <c r="A24" s="191" t="n"/>
      <c r="B24" s="191" t="n"/>
      <c r="C24" s="191" t="n"/>
      <c r="D24" s="191" t="n"/>
      <c r="E24" s="191" t="n"/>
      <c r="F24" s="191" t="n"/>
      <c r="G24" s="191" t="n"/>
      <c r="H24" s="191" t="n"/>
      <c r="I24" s="191" t="n"/>
      <c r="J24" s="191" t="n"/>
    </row>
    <row r="25" ht="15" customHeight="1" s="116">
      <c r="A25" s="128" t="inlineStr">
        <is>
          <t>Sucata Enferrujada</t>
        </is>
      </c>
      <c r="B25" s="135" t="inlineStr">
        <is>
          <t>Peitoral</t>
        </is>
      </c>
      <c r="C25" s="128" t="inlineStr">
        <is>
          <t>Peitoral de Sucata Enferrujada</t>
        </is>
      </c>
      <c r="D25" s="128" t="n"/>
      <c r="E25" s="135" t="inlineStr">
        <is>
          <t>Placas irregulares costuradas sobre couro de javali — pesa mais do que protege.</t>
        </is>
      </c>
      <c r="F25" s="128">
        <f>INDEX(Tiers!$E$9:$E$22,MATCH($A25,Tiers!$B$9:$B$22,0))</f>
        <v/>
      </c>
      <c r="G25" s="128">
        <f>ROUND(INDEX('Curva Mestra'!$D$20:$D$94,MATCH(F25,'Curva Mestra'!$A$20:$A$94,0)),0)</f>
        <v/>
      </c>
      <c r="H25" s="128">
        <f>INDEX($B$5:$B$12,MATCH($B25,$A$5:$A$12,0))</f>
        <v/>
      </c>
      <c r="I25" s="128">
        <f>ROUND(G25*H25*K25,0)</f>
        <v/>
      </c>
      <c r="J25" s="153">
        <f>ROUND(G25*H25*K25*INDEX($B$19:$B$21,MATCH("Raro",$A$19:$A$21,0)),0)</f>
        <v/>
      </c>
      <c r="K25" s="115" t="n">
        <v>1</v>
      </c>
      <c r="L25" s="115">
        <f>ROUND(I25*8,0)</f>
        <v/>
      </c>
      <c r="M25" s="115">
        <f>ROUND(J25*10,0)</f>
        <v/>
      </c>
    </row>
    <row r="26" ht="15" customHeight="1" s="116">
      <c r="A26" s="128" t="inlineStr">
        <is>
          <t>Sucata Enferrujada</t>
        </is>
      </c>
      <c r="B26" s="135" t="inlineStr">
        <is>
          <t>Peitoral</t>
        </is>
      </c>
      <c r="C26" s="128" t="inlineStr">
        <is>
          <t>Peitoral Remendado</t>
        </is>
      </c>
      <c r="D26" s="128" t="n"/>
      <c r="E26" s="135" t="inlineStr">
        <is>
          <t>Cada retalho é de um dono diferente. Nenhum precisou mais dele.</t>
        </is>
      </c>
      <c r="F26" s="128">
        <f>INDEX(Tiers!$E$9:$E$22,MATCH($A26,Tiers!$B$9:$B$22,0))</f>
        <v/>
      </c>
      <c r="G26" s="128">
        <f>ROUND(INDEX('Curva Mestra'!$D$20:$D$94,MATCH(F26,'Curva Mestra'!$A$20:$A$94,0)),0)</f>
        <v/>
      </c>
      <c r="H26" s="128">
        <f>INDEX($B$5:$B$12,MATCH($B26,$A$5:$A$12,0))</f>
        <v/>
      </c>
      <c r="I26" s="128">
        <f>ROUND(G26*H26*K26,0)</f>
        <v/>
      </c>
      <c r="J26" s="153">
        <f>ROUND(G26*H26*K26*INDEX($B$19:$B$21,MATCH("Raro",$A$19:$A$21,0)),0)</f>
        <v/>
      </c>
      <c r="K26" s="115" t="n">
        <v>1</v>
      </c>
      <c r="L26" s="115">
        <f>ROUND(I26*8,0)</f>
        <v/>
      </c>
      <c r="M26" s="115">
        <f>ROUND(J26*10,0)</f>
        <v/>
      </c>
    </row>
    <row r="27" ht="15" customHeight="1" s="116">
      <c r="A27" s="128" t="inlineStr">
        <is>
          <t>Sucata Enferrujada</t>
        </is>
      </c>
      <c r="B27" s="135" t="inlineStr">
        <is>
          <t>Peitoral</t>
        </is>
      </c>
      <c r="C27" s="128" t="inlineStr">
        <is>
          <t>Peitoral de Couro e Metal</t>
        </is>
      </c>
      <c r="D27" s="128" t="n"/>
      <c r="E27" s="135" t="inlineStr">
        <is>
          <t>Metade couro grosso, metade sucata martelada.</t>
        </is>
      </c>
      <c r="F27" s="128">
        <f>INDEX(Tiers!$E$9:$E$22,MATCH($A27,Tiers!$B$9:$B$22,0))</f>
        <v/>
      </c>
      <c r="G27" s="128">
        <f>ROUND(INDEX('Curva Mestra'!$D$20:$D$94,MATCH(F27,'Curva Mestra'!$A$20:$A$94,0)),0)</f>
        <v/>
      </c>
      <c r="H27" s="128">
        <f>INDEX($B$5:$B$12,MATCH($B27,$A$5:$A$12,0))</f>
        <v/>
      </c>
      <c r="I27" s="128">
        <f>ROUND(G27*H27*K27,0)</f>
        <v/>
      </c>
      <c r="J27" s="153">
        <f>ROUND(G27*H27*K27*INDEX($B$19:$B$21,MATCH("Raro",$A$19:$A$21,0)),0)</f>
        <v/>
      </c>
      <c r="K27" s="115" t="n">
        <v>1</v>
      </c>
      <c r="L27" s="115">
        <f>ROUND(I27*8,0)</f>
        <v/>
      </c>
      <c r="M27" s="115">
        <f>ROUND(J27*10,0)</f>
        <v/>
      </c>
    </row>
    <row r="28" ht="15" customHeight="1" s="116">
      <c r="A28" s="128" t="inlineStr">
        <is>
          <t>Sucata Enferrujada</t>
        </is>
      </c>
      <c r="B28" s="135" t="inlineStr">
        <is>
          <t>Escudo</t>
        </is>
      </c>
      <c r="C28" s="128" t="inlineStr">
        <is>
          <t>Escudo de Sucata</t>
        </is>
      </c>
      <c r="D28" s="128" t="n"/>
      <c r="E28" s="135" t="inlineStr">
        <is>
          <t>Uma tampa de barril com alça improvisada.</t>
        </is>
      </c>
      <c r="F28" s="128">
        <f>INDEX(Tiers!$E$9:$E$22,MATCH($A28,Tiers!$B$9:$B$22,0))</f>
        <v/>
      </c>
      <c r="G28" s="128">
        <f>ROUND(INDEX('Curva Mestra'!$D$20:$D$94,MATCH(F28,'Curva Mestra'!$A$20:$A$94,0)),0)</f>
        <v/>
      </c>
      <c r="H28" s="128">
        <f>INDEX($B$5:$B$12,MATCH($B28,$A$5:$A$12,0))</f>
        <v/>
      </c>
      <c r="I28" s="128">
        <f>ROUND(G28*H28*K28,0)</f>
        <v/>
      </c>
      <c r="J28" s="153">
        <f>ROUND(G28*H28*K28*INDEX($B$19:$B$21,MATCH("Raro",$A$19:$A$21,0)),0)</f>
        <v/>
      </c>
      <c r="K28" s="115" t="n">
        <v>1</v>
      </c>
      <c r="L28" s="115">
        <f>ROUND(I28*8,0)</f>
        <v/>
      </c>
      <c r="M28" s="115">
        <f>ROUND(J28*10,0)</f>
        <v/>
      </c>
    </row>
    <row r="29" ht="15" customHeight="1" s="116">
      <c r="A29" s="128" t="inlineStr">
        <is>
          <t>Sucata Enferrujada</t>
        </is>
      </c>
      <c r="B29" s="135" t="inlineStr">
        <is>
          <t>Escudo</t>
        </is>
      </c>
      <c r="C29" s="128" t="inlineStr">
        <is>
          <t>Escudo Amassado</t>
        </is>
      </c>
      <c r="D29" s="128" t="n"/>
      <c r="E29" s="135" t="inlineStr">
        <is>
          <t>Já tomou mais golpes do que devia aguentar.</t>
        </is>
      </c>
      <c r="F29" s="128">
        <f>INDEX(Tiers!$E$9:$E$22,MATCH($A29,Tiers!$B$9:$B$22,0))</f>
        <v/>
      </c>
      <c r="G29" s="128">
        <f>ROUND(INDEX('Curva Mestra'!$D$20:$D$94,MATCH(F29,'Curva Mestra'!$A$20:$A$94,0)),0)</f>
        <v/>
      </c>
      <c r="H29" s="128">
        <f>INDEX($B$5:$B$12,MATCH($B29,$A$5:$A$12,0))</f>
        <v/>
      </c>
      <c r="I29" s="128">
        <f>ROUND(G29*H29*K29,0)</f>
        <v/>
      </c>
      <c r="J29" s="153">
        <f>ROUND(G29*H29*K29*INDEX($B$19:$B$21,MATCH("Raro",$A$19:$A$21,0)),0)</f>
        <v/>
      </c>
      <c r="K29" s="115" t="n">
        <v>1</v>
      </c>
      <c r="L29" s="115">
        <f>ROUND(I29*8,0)</f>
        <v/>
      </c>
      <c r="M29" s="115">
        <f>ROUND(J29*10,0)</f>
        <v/>
      </c>
    </row>
    <row r="30" ht="15" customHeight="1" s="116">
      <c r="A30" s="128" t="inlineStr">
        <is>
          <t>Sucata Enferrujada</t>
        </is>
      </c>
      <c r="B30" s="135" t="inlineStr">
        <is>
          <t>Escudo</t>
        </is>
      </c>
      <c r="C30" s="128" t="inlineStr">
        <is>
          <t>Escudo de Tampa de Poço</t>
        </is>
      </c>
      <c r="D30" s="128" t="n"/>
      <c r="E30" s="135" t="inlineStr">
        <is>
          <t>Pesado, redondo, emprestado de um poço que ninguém mais usa.</t>
        </is>
      </c>
      <c r="F30" s="128">
        <f>INDEX(Tiers!$E$9:$E$22,MATCH($A30,Tiers!$B$9:$B$22,0))</f>
        <v/>
      </c>
      <c r="G30" s="128">
        <f>ROUND(INDEX('Curva Mestra'!$D$20:$D$94,MATCH(F30,'Curva Mestra'!$A$20:$A$94,0)),0)</f>
        <v/>
      </c>
      <c r="H30" s="128">
        <f>INDEX($B$5:$B$12,MATCH($B30,$A$5:$A$12,0))</f>
        <v/>
      </c>
      <c r="I30" s="128">
        <f>ROUND(G30*H30*K30,0)</f>
        <v/>
      </c>
      <c r="J30" s="153">
        <f>ROUND(G30*H30*K30*INDEX($B$19:$B$21,MATCH("Raro",$A$19:$A$21,0)),0)</f>
        <v/>
      </c>
      <c r="K30" s="115" t="n">
        <v>1</v>
      </c>
      <c r="L30" s="115">
        <f>ROUND(I30*8,0)</f>
        <v/>
      </c>
      <c r="M30" s="115">
        <f>ROUND(J30*10,0)</f>
        <v/>
      </c>
    </row>
    <row r="31" ht="15" customHeight="1" s="116">
      <c r="A31" s="128" t="inlineStr">
        <is>
          <t>Sucata Enferrujada</t>
        </is>
      </c>
      <c r="B31" s="135" t="inlineStr">
        <is>
          <t>Elmo</t>
        </is>
      </c>
      <c r="C31" s="128" t="inlineStr">
        <is>
          <t>Elmo de Sucata</t>
        </is>
      </c>
      <c r="D31" s="128" t="n"/>
      <c r="E31" s="135" t="inlineStr">
        <is>
          <t>Capacete torto, ajustado na marra.</t>
        </is>
      </c>
      <c r="F31" s="128">
        <f>INDEX(Tiers!$E$9:$E$22,MATCH($A31,Tiers!$B$9:$B$22,0))</f>
        <v/>
      </c>
      <c r="G31" s="128">
        <f>ROUND(INDEX('Curva Mestra'!$D$20:$D$94,MATCH(F31,'Curva Mestra'!$A$20:$A$94,0)),0)</f>
        <v/>
      </c>
      <c r="H31" s="128">
        <f>INDEX($B$5:$B$12,MATCH($B31,$A$5:$A$12,0))</f>
        <v/>
      </c>
      <c r="I31" s="128">
        <f>ROUND(G31*H31*K31,0)</f>
        <v/>
      </c>
      <c r="J31" s="153">
        <f>ROUND(G31*H31*K31*INDEX($B$19:$B$21,MATCH("Raro",$A$19:$A$21,0)),0)</f>
        <v/>
      </c>
      <c r="K31" s="115" t="n">
        <v>1</v>
      </c>
      <c r="L31" s="115">
        <f>ROUND(I31*8,0)</f>
        <v/>
      </c>
      <c r="M31" s="115">
        <f>ROUND(J31*10,0)</f>
        <v/>
      </c>
    </row>
    <row r="32" ht="15" customHeight="1" s="116">
      <c r="A32" s="128" t="inlineStr">
        <is>
          <t>Sucata Enferrujada</t>
        </is>
      </c>
      <c r="B32" s="135" t="inlineStr">
        <is>
          <t>Elmo</t>
        </is>
      </c>
      <c r="C32" s="128" t="inlineStr">
        <is>
          <t>Elmo Amassado</t>
        </is>
      </c>
      <c r="D32" s="128" t="n"/>
      <c r="E32" s="135" t="inlineStr">
        <is>
          <t>Já foi de outra pessoa. Não perguntamos o que aconteceu com ela.</t>
        </is>
      </c>
      <c r="F32" s="128">
        <f>INDEX(Tiers!$E$9:$E$22,MATCH($A32,Tiers!$B$9:$B$22,0))</f>
        <v/>
      </c>
      <c r="G32" s="128">
        <f>ROUND(INDEX('Curva Mestra'!$D$20:$D$94,MATCH(F32,'Curva Mestra'!$A$20:$A$94,0)),0)</f>
        <v/>
      </c>
      <c r="H32" s="128">
        <f>INDEX($B$5:$B$12,MATCH($B32,$A$5:$A$12,0))</f>
        <v/>
      </c>
      <c r="I32" s="128">
        <f>ROUND(G32*H32*K32,0)</f>
        <v/>
      </c>
      <c r="J32" s="153">
        <f>ROUND(G32*H32*K32*INDEX($B$19:$B$21,MATCH("Raro",$A$19:$A$21,0)),0)</f>
        <v/>
      </c>
      <c r="K32" s="115" t="n">
        <v>1</v>
      </c>
      <c r="L32" s="115">
        <f>ROUND(I32*8,0)</f>
        <v/>
      </c>
      <c r="M32" s="115">
        <f>ROUND(J32*10,0)</f>
        <v/>
      </c>
    </row>
    <row r="33" ht="15" customHeight="1" s="116">
      <c r="A33" s="128" t="inlineStr">
        <is>
          <t>Sucata Enferrujada</t>
        </is>
      </c>
      <c r="B33" s="135" t="inlineStr">
        <is>
          <t>Calca</t>
        </is>
      </c>
      <c r="C33" s="128" t="inlineStr">
        <is>
          <t>Calça de Couro Reforçada</t>
        </is>
      </c>
      <c r="D33" s="128" t="n"/>
      <c r="E33" s="135" t="inlineStr">
        <is>
          <t>Couro grosso de javali, costurado às pressas.</t>
        </is>
      </c>
      <c r="F33" s="128">
        <f>INDEX(Tiers!$E$9:$E$22,MATCH($A33,Tiers!$B$9:$B$22,0))</f>
        <v/>
      </c>
      <c r="G33" s="128">
        <f>ROUND(INDEX('Curva Mestra'!$D$20:$D$94,MATCH(F33,'Curva Mestra'!$A$20:$A$94,0)),0)</f>
        <v/>
      </c>
      <c r="H33" s="128">
        <f>INDEX($B$5:$B$12,MATCH($B33,$A$5:$A$12,0))</f>
        <v/>
      </c>
      <c r="I33" s="128">
        <f>ROUND(G33*H33*K33,0)</f>
        <v/>
      </c>
      <c r="J33" s="153">
        <f>ROUND(G33*H33*K33*INDEX($B$19:$B$21,MATCH("Raro",$A$19:$A$21,0)),0)</f>
        <v/>
      </c>
      <c r="K33" s="115" t="n">
        <v>1.05</v>
      </c>
      <c r="L33" s="115">
        <f>ROUND(I33*8,0)</f>
        <v/>
      </c>
      <c r="M33" s="115">
        <f>ROUND(J33*10,0)</f>
        <v/>
      </c>
    </row>
    <row r="34" ht="15" customHeight="1" s="116">
      <c r="A34" s="128" t="inlineStr">
        <is>
          <t>Sucata Enferrujada</t>
        </is>
      </c>
      <c r="B34" s="135" t="inlineStr">
        <is>
          <t>Calca</t>
        </is>
      </c>
      <c r="C34" s="128" t="inlineStr">
        <is>
          <t>Calça Remendada de Sucata</t>
        </is>
      </c>
      <c r="D34" s="128" t="n"/>
      <c r="E34" s="135" t="inlineStr">
        <is>
          <t>Placas de metal fino cosidas por fora.</t>
        </is>
      </c>
      <c r="F34" s="128">
        <f>INDEX(Tiers!$E$9:$E$22,MATCH($A34,Tiers!$B$9:$B$22,0))</f>
        <v/>
      </c>
      <c r="G34" s="128">
        <f>ROUND(INDEX('Curva Mestra'!$D$20:$D$94,MATCH(F34,'Curva Mestra'!$A$20:$A$94,0)),0)</f>
        <v/>
      </c>
      <c r="H34" s="128">
        <f>INDEX($B$5:$B$12,MATCH($B34,$A$5:$A$12,0))</f>
        <v/>
      </c>
      <c r="I34" s="128">
        <f>ROUND(G34*H34*K34,0)</f>
        <v/>
      </c>
      <c r="J34" s="153">
        <f>ROUND(G34*H34*K34*INDEX($B$19:$B$21,MATCH("Raro",$A$19:$A$21,0)),0)</f>
        <v/>
      </c>
      <c r="K34" s="115" t="n">
        <v>1</v>
      </c>
      <c r="L34" s="115">
        <f>ROUND(I34*8,0)</f>
        <v/>
      </c>
      <c r="M34" s="115">
        <f>ROUND(J34*10,0)</f>
        <v/>
      </c>
    </row>
    <row r="35" ht="15" customHeight="1" s="116">
      <c r="A35" s="128" t="inlineStr">
        <is>
          <t>Sucata Enferrujada</t>
        </is>
      </c>
      <c r="B35" s="135" t="inlineStr">
        <is>
          <t>Bota</t>
        </is>
      </c>
      <c r="C35" s="128" t="inlineStr">
        <is>
          <t>Bota de Couro Áspero</t>
        </is>
      </c>
      <c r="D35" s="128" t="n"/>
      <c r="E35" s="135" t="inlineStr">
        <is>
          <t>Sola grossa o bastante pra não sentir cada pedra da estrada.</t>
        </is>
      </c>
      <c r="F35" s="128">
        <f>INDEX(Tiers!$E$9:$E$22,MATCH($A35,Tiers!$B$9:$B$22,0))</f>
        <v/>
      </c>
      <c r="G35" s="128">
        <f>ROUND(INDEX('Curva Mestra'!$D$20:$D$94,MATCH(F35,'Curva Mestra'!$A$20:$A$94,0)),0)</f>
        <v/>
      </c>
      <c r="H35" s="128">
        <f>INDEX($B$5:$B$12,MATCH($B35,$A$5:$A$12,0))</f>
        <v/>
      </c>
      <c r="I35" s="128">
        <f>ROUND(G35*H35*K35,0)</f>
        <v/>
      </c>
      <c r="J35" s="153">
        <f>ROUND(G35*H35*K35*INDEX($B$19:$B$21,MATCH("Raro",$A$19:$A$21,0)),0)</f>
        <v/>
      </c>
      <c r="K35" s="115" t="n">
        <v>1</v>
      </c>
      <c r="L35" s="115">
        <f>ROUND(I35*8,0)</f>
        <v/>
      </c>
      <c r="M35" s="115">
        <f>ROUND(J35*10,0)</f>
        <v/>
      </c>
    </row>
    <row r="36" ht="15" customHeight="1" s="116">
      <c r="A36" s="128" t="inlineStr">
        <is>
          <t>Sucata Enferrujada</t>
        </is>
      </c>
      <c r="B36" s="135" t="inlineStr">
        <is>
          <t>Bota</t>
        </is>
      </c>
      <c r="C36" s="128" t="inlineStr">
        <is>
          <t>Bota Remendada</t>
        </is>
      </c>
      <c r="D36" s="128" t="n"/>
      <c r="E36" s="135" t="inlineStr">
        <is>
          <t>Já andou mais léguas do que devia durar.</t>
        </is>
      </c>
      <c r="F36" s="128">
        <f>INDEX(Tiers!$E$9:$E$22,MATCH($A36,Tiers!$B$9:$B$22,0))</f>
        <v/>
      </c>
      <c r="G36" s="128">
        <f>ROUND(INDEX('Curva Mestra'!$D$20:$D$94,MATCH(F36,'Curva Mestra'!$A$20:$A$94,0)),0)</f>
        <v/>
      </c>
      <c r="H36" s="128">
        <f>INDEX($B$5:$B$12,MATCH($B36,$A$5:$A$12,0))</f>
        <v/>
      </c>
      <c r="I36" s="128">
        <f>ROUND(G36*H36*K36,0)</f>
        <v/>
      </c>
      <c r="J36" s="153">
        <f>ROUND(G36*H36*K36*INDEX($B$19:$B$21,MATCH("Raro",$A$19:$A$21,0)),0)</f>
        <v/>
      </c>
      <c r="K36" s="115" t="n">
        <v>1</v>
      </c>
      <c r="L36" s="115">
        <f>ROUND(I36*8,0)</f>
        <v/>
      </c>
      <c r="M36" s="115">
        <f>ROUND(J36*10,0)</f>
        <v/>
      </c>
    </row>
    <row r="37" ht="15" customHeight="1" s="116">
      <c r="A37" s="128" t="inlineStr">
        <is>
          <t>Sucata Enferrujada</t>
        </is>
      </c>
      <c r="B37" s="135" t="inlineStr">
        <is>
          <t>Luvas</t>
        </is>
      </c>
      <c r="C37" s="128" t="inlineStr">
        <is>
          <t>Luvas de Couro Cru</t>
        </is>
      </c>
      <c r="D37" s="128" t="n"/>
      <c r="E37" s="135" t="inlineStr">
        <is>
          <t>Ásperas, mal curtidas — seguram espada sem soltar.</t>
        </is>
      </c>
      <c r="F37" s="128">
        <f>INDEX(Tiers!$E$9:$E$22,MATCH($A37,Tiers!$B$9:$B$22,0))</f>
        <v/>
      </c>
      <c r="G37" s="128">
        <f>ROUND(INDEX('Curva Mestra'!$D$20:$D$94,MATCH(F37,'Curva Mestra'!$A$20:$A$94,0)),0)</f>
        <v/>
      </c>
      <c r="H37" s="128">
        <f>INDEX($B$5:$B$12,MATCH($B37,$A$5:$A$12,0))</f>
        <v/>
      </c>
      <c r="I37" s="128">
        <f>ROUND(G37*H37*K37,0)</f>
        <v/>
      </c>
      <c r="J37" s="153">
        <f>ROUND(G37*H37*K37*INDEX($B$19:$B$21,MATCH("Raro",$A$19:$A$21,0)),0)</f>
        <v/>
      </c>
      <c r="K37" s="115" t="n">
        <v>1</v>
      </c>
      <c r="L37" s="115">
        <f>ROUND(I37*8,0)</f>
        <v/>
      </c>
      <c r="M37" s="115">
        <f>ROUND(J37*10,0)</f>
        <v/>
      </c>
    </row>
    <row r="38" ht="15" customHeight="1" s="116">
      <c r="A38" s="128" t="inlineStr">
        <is>
          <t>Sucata Enferrujada</t>
        </is>
      </c>
      <c r="B38" s="135" t="inlineStr">
        <is>
          <t>Luvas</t>
        </is>
      </c>
      <c r="C38" s="128" t="inlineStr">
        <is>
          <t>Luvas com Placas de Sucata</t>
        </is>
      </c>
      <c r="D38" s="128" t="n"/>
      <c r="E38" s="135" t="inlineStr">
        <is>
          <t>Nós dos dedos reforçados.</t>
        </is>
      </c>
      <c r="F38" s="128">
        <f>INDEX(Tiers!$E$9:$E$22,MATCH($A38,Tiers!$B$9:$B$22,0))</f>
        <v/>
      </c>
      <c r="G38" s="128">
        <f>ROUND(INDEX('Curva Mestra'!$D$20:$D$94,MATCH(F38,'Curva Mestra'!$A$20:$A$94,0)),0)</f>
        <v/>
      </c>
      <c r="H38" s="128">
        <f>INDEX($B$5:$B$12,MATCH($B38,$A$5:$A$12,0))</f>
        <v/>
      </c>
      <c r="I38" s="128">
        <f>ROUND(G38*H38*K38,0)</f>
        <v/>
      </c>
      <c r="J38" s="153">
        <f>ROUND(G38*H38*K38*INDEX($B$19:$B$21,MATCH("Raro",$A$19:$A$21,0)),0)</f>
        <v/>
      </c>
      <c r="K38" s="115" t="n">
        <v>1</v>
      </c>
      <c r="L38" s="115">
        <f>ROUND(I38*8,0)</f>
        <v/>
      </c>
      <c r="M38" s="115">
        <f>ROUND(J38*10,0)</f>
        <v/>
      </c>
    </row>
    <row r="39" ht="15" customHeight="1" s="116">
      <c r="A39" s="128" t="inlineStr">
        <is>
          <t>Sucata Enferrujada</t>
        </is>
      </c>
      <c r="B39" s="135" t="inlineStr">
        <is>
          <t>Amuleto</t>
        </is>
      </c>
      <c r="C39" s="128" t="inlineStr">
        <is>
          <t>Amuleto de Ferro Torto</t>
        </is>
      </c>
      <c r="D39" s="128" t="n"/>
      <c r="E39" s="135" t="inlineStr">
        <is>
          <t>Dobrado em forma de nada em particular.</t>
        </is>
      </c>
      <c r="F39" s="128">
        <f>INDEX(Tiers!$E$9:$E$22,MATCH($A39,Tiers!$B$9:$B$22,0))</f>
        <v/>
      </c>
      <c r="G39" s="128">
        <f>ROUND(INDEX('Curva Mestra'!$D$20:$D$94,MATCH(F39,'Curva Mestra'!$A$20:$A$94,0)),0)</f>
        <v/>
      </c>
      <c r="H39" s="128">
        <f>INDEX($B$5:$B$12,MATCH($B39,$A$5:$A$12,0))</f>
        <v/>
      </c>
      <c r="I39" s="128">
        <f>ROUND(G39*H39*K39,0)</f>
        <v/>
      </c>
      <c r="J39" s="153">
        <f>ROUND(G39*H39*K39*INDEX($B$19:$B$21,MATCH("Raro",$A$19:$A$21,0)),0)</f>
        <v/>
      </c>
      <c r="K39" s="115" t="n">
        <v>1</v>
      </c>
      <c r="L39" s="115">
        <f>ROUND(I39*8,0)</f>
        <v/>
      </c>
      <c r="M39" s="115">
        <f>ROUND(J39*10,0)</f>
        <v/>
      </c>
    </row>
    <row r="40" ht="15" customHeight="1" s="116">
      <c r="A40" s="128" t="inlineStr">
        <is>
          <t>Sucata Enferrujada</t>
        </is>
      </c>
      <c r="B40" s="135" t="inlineStr">
        <is>
          <t>Amuleto</t>
        </is>
      </c>
      <c r="C40" s="128" t="inlineStr">
        <is>
          <t>Amuleto de Dente de Cão</t>
        </is>
      </c>
      <c r="D40" s="128" t="n"/>
      <c r="E40" s="135" t="inlineStr">
        <is>
          <t>Presa de um Cão de Caça Sanguíneo, furada e amarrada num cordão.</t>
        </is>
      </c>
      <c r="F40" s="128">
        <f>INDEX(Tiers!$E$9:$E$22,MATCH($A40,Tiers!$B$9:$B$22,0))</f>
        <v/>
      </c>
      <c r="G40" s="128">
        <f>ROUND(INDEX('Curva Mestra'!$D$20:$D$94,MATCH(F40,'Curva Mestra'!$A$20:$A$94,0)),0)</f>
        <v/>
      </c>
      <c r="H40" s="128">
        <f>INDEX($B$5:$B$12,MATCH($B40,$A$5:$A$12,0))</f>
        <v/>
      </c>
      <c r="I40" s="128">
        <f>ROUND(G40*H40*K40,0)</f>
        <v/>
      </c>
      <c r="J40" s="153">
        <f>ROUND(G40*H40*K40*INDEX($B$19:$B$21,MATCH("Raro",$A$19:$A$21,0)),0)</f>
        <v/>
      </c>
      <c r="K40" s="115" t="n">
        <v>1</v>
      </c>
      <c r="L40" s="115">
        <f>ROUND(I40*8,0)</f>
        <v/>
      </c>
      <c r="M40" s="115">
        <f>ROUND(J40*10,0)</f>
        <v/>
      </c>
    </row>
    <row r="41" ht="15" customHeight="1" s="116">
      <c r="A41" s="128" t="inlineStr">
        <is>
          <t>Sucata Enferrujada</t>
        </is>
      </c>
      <c r="B41" s="135" t="inlineStr">
        <is>
          <t>Anel</t>
        </is>
      </c>
      <c r="C41" s="128" t="inlineStr">
        <is>
          <t>Anel de Sucata Polida</t>
        </is>
      </c>
      <c r="D41" s="128" t="n"/>
      <c r="E41" s="135" t="inlineStr">
        <is>
          <t>Metal barato polido até parecer outra coisa.</t>
        </is>
      </c>
      <c r="F41" s="128">
        <f>INDEX(Tiers!$E$9:$E$22,MATCH($A41,Tiers!$B$9:$B$22,0))</f>
        <v/>
      </c>
      <c r="G41" s="128">
        <f>ROUND(INDEX('Curva Mestra'!$D$20:$D$94,MATCH(F41,'Curva Mestra'!$A$20:$A$94,0)),0)</f>
        <v/>
      </c>
      <c r="H41" s="128">
        <f>INDEX($B$5:$B$12,MATCH($B41,$A$5:$A$12,0))</f>
        <v/>
      </c>
      <c r="I41" s="128">
        <f>ROUND(G41*H41*K41,0)</f>
        <v/>
      </c>
      <c r="J41" s="153">
        <f>ROUND(G41*H41*K41*INDEX($B$19:$B$21,MATCH("Raro",$A$19:$A$21,0)),0)</f>
        <v/>
      </c>
      <c r="K41" s="115" t="n">
        <v>1</v>
      </c>
      <c r="L41" s="115">
        <f>ROUND(I41*8,0)</f>
        <v/>
      </c>
      <c r="M41" s="115">
        <f>ROUND(J41*10,0)</f>
        <v/>
      </c>
    </row>
    <row r="42" ht="15" customHeight="1" s="116">
      <c r="A42" s="128" t="inlineStr">
        <is>
          <t>Sucata Enferrujada</t>
        </is>
      </c>
      <c r="B42" s="135" t="inlineStr">
        <is>
          <t>Anel</t>
        </is>
      </c>
      <c r="C42" s="128" t="inlineStr">
        <is>
          <t>Anel de Corrente Partida</t>
        </is>
      </c>
      <c r="D42" s="128" t="n"/>
      <c r="E42" s="135" t="inlineStr">
        <is>
          <t>Um elo solto de alguma corrente maior.</t>
        </is>
      </c>
      <c r="F42" s="128">
        <f>INDEX(Tiers!$E$9:$E$22,MATCH($A42,Tiers!$B$9:$B$22,0))</f>
        <v/>
      </c>
      <c r="G42" s="128">
        <f>ROUND(INDEX('Curva Mestra'!$D$20:$D$94,MATCH(F42,'Curva Mestra'!$A$20:$A$94,0)),0)</f>
        <v/>
      </c>
      <c r="H42" s="128">
        <f>INDEX($B$5:$B$12,MATCH($B42,$A$5:$A$12,0))</f>
        <v/>
      </c>
      <c r="I42" s="128">
        <f>ROUND(G42*H42*K42,0)</f>
        <v/>
      </c>
      <c r="J42" s="153">
        <f>ROUND(G42*H42*K42*INDEX($B$19:$B$21,MATCH("Raro",$A$19:$A$21,0)),0)</f>
        <v/>
      </c>
      <c r="K42" s="115" t="n">
        <v>1</v>
      </c>
      <c r="L42" s="115">
        <f>ROUND(I42*8,0)</f>
        <v/>
      </c>
      <c r="M42" s="115">
        <f>ROUND(J42*10,0)</f>
        <v/>
      </c>
    </row>
    <row r="43" ht="15" customHeight="1" s="116">
      <c r="A43" s="128" t="inlineStr">
        <is>
          <t>Bronze</t>
        </is>
      </c>
      <c r="B43" s="135" t="inlineStr">
        <is>
          <t>Peitoral</t>
        </is>
      </c>
      <c r="C43" s="128" t="inlineStr">
        <is>
          <t>Peitoral de Bronze</t>
        </is>
      </c>
      <c r="D43" s="128" t="n"/>
      <c r="E43" s="135" t="inlineStr">
        <is>
          <t>Placas rebitadas sobre armação flexível — pesado, mas previsível.</t>
        </is>
      </c>
      <c r="F43" s="128">
        <f>INDEX(Tiers!$E$9:$E$22,MATCH($A43,Tiers!$B$9:$B$22,0))</f>
        <v/>
      </c>
      <c r="G43" s="128">
        <f>ROUND(INDEX('Curva Mestra'!$D$20:$D$94,MATCH(F43,'Curva Mestra'!$A$20:$A$94,0)),0)</f>
        <v/>
      </c>
      <c r="H43" s="128">
        <f>INDEX($B$5:$B$12,MATCH($B43,$A$5:$A$12,0))</f>
        <v/>
      </c>
      <c r="I43" s="128">
        <f>ROUND(G43*H43*K43,0)</f>
        <v/>
      </c>
      <c r="J43" s="153">
        <f>ROUND(G43*H43*K43*INDEX($B$19:$B$21,MATCH("Raro",$A$19:$A$21,0)),0)</f>
        <v/>
      </c>
      <c r="K43" s="115" t="n">
        <v>1</v>
      </c>
      <c r="L43" s="115">
        <f>ROUND(I43*8,0)</f>
        <v/>
      </c>
      <c r="M43" s="115">
        <f>ROUND(J43*10,0)</f>
        <v/>
      </c>
    </row>
    <row r="44" ht="15" customHeight="1" s="116">
      <c r="A44" s="128" t="inlineStr">
        <is>
          <t>Bronze</t>
        </is>
      </c>
      <c r="B44" s="135" t="inlineStr">
        <is>
          <t>Peitoral</t>
        </is>
      </c>
      <c r="C44" s="128" t="inlineStr">
        <is>
          <t>Peitoral do Capataz</t>
        </is>
      </c>
      <c r="D44" s="128" t="n"/>
      <c r="E44" s="135" t="inlineStr">
        <is>
          <t>Reforçado o bastante pra sobreviver a uma revolta — quase.</t>
        </is>
      </c>
      <c r="F44" s="128">
        <f>INDEX(Tiers!$E$9:$E$22,MATCH($A44,Tiers!$B$9:$B$22,0))</f>
        <v/>
      </c>
      <c r="G44" s="128">
        <f>ROUND(INDEX('Curva Mestra'!$D$20:$D$94,MATCH(F44,'Curva Mestra'!$A$20:$A$94,0)),0)</f>
        <v/>
      </c>
      <c r="H44" s="128">
        <f>INDEX($B$5:$B$12,MATCH($B44,$A$5:$A$12,0))</f>
        <v/>
      </c>
      <c r="I44" s="128">
        <f>ROUND(G44*H44*K44,0)</f>
        <v/>
      </c>
      <c r="J44" s="153">
        <f>ROUND(G44*H44*K44*INDEX($B$19:$B$21,MATCH("Raro",$A$19:$A$21,0)),0)</f>
        <v/>
      </c>
      <c r="K44" s="115" t="n">
        <v>1</v>
      </c>
      <c r="L44" s="115">
        <f>ROUND(I44*8,0)</f>
        <v/>
      </c>
      <c r="M44" s="115">
        <f>ROUND(J44*10,0)</f>
        <v/>
      </c>
    </row>
    <row r="45" ht="15" customHeight="1" s="116">
      <c r="A45" s="128" t="inlineStr">
        <is>
          <t>Bronze</t>
        </is>
      </c>
      <c r="B45" s="135" t="inlineStr">
        <is>
          <t>Peitoral</t>
        </is>
      </c>
      <c r="C45" s="128" t="inlineStr">
        <is>
          <t>Peitoral Selado da Guilda</t>
        </is>
      </c>
      <c r="D45" s="128" t="n"/>
      <c r="E45" s="135" t="inlineStr">
        <is>
          <t>Tem o número do lote gravado nas costas.</t>
        </is>
      </c>
      <c r="F45" s="128">
        <f>INDEX(Tiers!$E$9:$E$22,MATCH($A45,Tiers!$B$9:$B$22,0))</f>
        <v/>
      </c>
      <c r="G45" s="128">
        <f>ROUND(INDEX('Curva Mestra'!$D$20:$D$94,MATCH(F45,'Curva Mestra'!$A$20:$A$94,0)),0)</f>
        <v/>
      </c>
      <c r="H45" s="128">
        <f>INDEX($B$5:$B$12,MATCH($B45,$A$5:$A$12,0))</f>
        <v/>
      </c>
      <c r="I45" s="128">
        <f>ROUND(G45*H45*K45,0)</f>
        <v/>
      </c>
      <c r="J45" s="153">
        <f>ROUND(G45*H45*K45*INDEX($B$19:$B$21,MATCH("Raro",$A$19:$A$21,0)),0)</f>
        <v/>
      </c>
      <c r="K45" s="115" t="n">
        <v>1.05</v>
      </c>
      <c r="L45" s="115">
        <f>ROUND(I45*8,0)</f>
        <v/>
      </c>
      <c r="M45" s="115">
        <f>ROUND(J45*10,0)</f>
        <v/>
      </c>
    </row>
    <row r="46" ht="15" customHeight="1" s="116">
      <c r="A46" s="128" t="inlineStr">
        <is>
          <t>Bronze</t>
        </is>
      </c>
      <c r="B46" s="135" t="inlineStr">
        <is>
          <t>Escudo</t>
        </is>
      </c>
      <c r="C46" s="128" t="inlineStr">
        <is>
          <t>Escudo de Bronze</t>
        </is>
      </c>
      <c r="D46" s="128" t="n"/>
      <c r="E46" s="135" t="inlineStr">
        <is>
          <t>Redondo, simples, feito pra durar mais que quem carrega.</t>
        </is>
      </c>
      <c r="F46" s="128">
        <f>INDEX(Tiers!$E$9:$E$22,MATCH($A46,Tiers!$B$9:$B$22,0))</f>
        <v/>
      </c>
      <c r="G46" s="128">
        <f>ROUND(INDEX('Curva Mestra'!$D$20:$D$94,MATCH(F46,'Curva Mestra'!$A$20:$A$94,0)),0)</f>
        <v/>
      </c>
      <c r="H46" s="128">
        <f>INDEX($B$5:$B$12,MATCH($B46,$A$5:$A$12,0))</f>
        <v/>
      </c>
      <c r="I46" s="128">
        <f>ROUND(G46*H46*K46,0)</f>
        <v/>
      </c>
      <c r="J46" s="153">
        <f>ROUND(G46*H46*K46*INDEX($B$19:$B$21,MATCH("Raro",$A$19:$A$21,0)),0)</f>
        <v/>
      </c>
      <c r="K46" s="115" t="n">
        <v>1</v>
      </c>
      <c r="L46" s="115">
        <f>ROUND(I46*8,0)</f>
        <v/>
      </c>
      <c r="M46" s="115">
        <f>ROUND(J46*10,0)</f>
        <v/>
      </c>
    </row>
    <row r="47" ht="15" customHeight="1" s="116">
      <c r="A47" s="128" t="inlineStr">
        <is>
          <t>Bronze</t>
        </is>
      </c>
      <c r="B47" s="135" t="inlineStr">
        <is>
          <t>Escudo</t>
        </is>
      </c>
      <c r="C47" s="128" t="inlineStr">
        <is>
          <t>Escudo do Poço Inundado</t>
        </is>
      </c>
      <c r="D47" s="128" t="n"/>
      <c r="E47" s="135" t="inlineStr">
        <is>
          <t>Recuperado do fundo do poço da mina — ainda pinga água às vezes.</t>
        </is>
      </c>
      <c r="F47" s="128">
        <f>INDEX(Tiers!$E$9:$E$22,MATCH($A47,Tiers!$B$9:$B$22,0))</f>
        <v/>
      </c>
      <c r="G47" s="128">
        <f>ROUND(INDEX('Curva Mestra'!$D$20:$D$94,MATCH(F47,'Curva Mestra'!$A$20:$A$94,0)),0)</f>
        <v/>
      </c>
      <c r="H47" s="128">
        <f>INDEX($B$5:$B$12,MATCH($B47,$A$5:$A$12,0))</f>
        <v/>
      </c>
      <c r="I47" s="128">
        <f>ROUND(G47*H47*K47,0)</f>
        <v/>
      </c>
      <c r="J47" s="153">
        <f>ROUND(G47*H47*K47*INDEX($B$19:$B$21,MATCH("Raro",$A$19:$A$21,0)),0)</f>
        <v/>
      </c>
      <c r="K47" s="115" t="n">
        <v>1</v>
      </c>
      <c r="L47" s="115">
        <f>ROUND(I47*8,0)</f>
        <v/>
      </c>
      <c r="M47" s="115">
        <f>ROUND(J47*10,0)</f>
        <v/>
      </c>
    </row>
    <row r="48" ht="15" customHeight="1" s="116">
      <c r="A48" s="128" t="inlineStr">
        <is>
          <t>Bronze</t>
        </is>
      </c>
      <c r="B48" s="135" t="inlineStr">
        <is>
          <t>Escudo</t>
        </is>
      </c>
      <c r="C48" s="128" t="inlineStr">
        <is>
          <t>Escudo Gravado com o Selo da Guilda</t>
        </is>
      </c>
      <c r="D48" s="128" t="n"/>
      <c r="E48" s="135" t="inlineStr">
        <is>
          <t>Marca de propriedade da Guilda dos Picaretas Negros, bem no centro.</t>
        </is>
      </c>
      <c r="F48" s="128">
        <f>INDEX(Tiers!$E$9:$E$22,MATCH($A48,Tiers!$B$9:$B$22,0))</f>
        <v/>
      </c>
      <c r="G48" s="128">
        <f>ROUND(INDEX('Curva Mestra'!$D$20:$D$94,MATCH(F48,'Curva Mestra'!$A$20:$A$94,0)),0)</f>
        <v/>
      </c>
      <c r="H48" s="128">
        <f>INDEX($B$5:$B$12,MATCH($B48,$A$5:$A$12,0))</f>
        <v/>
      </c>
      <c r="I48" s="128">
        <f>ROUND(G48*H48*K48,0)</f>
        <v/>
      </c>
      <c r="J48" s="153">
        <f>ROUND(G48*H48*K48*INDEX($B$19:$B$21,MATCH("Raro",$A$19:$A$21,0)),0)</f>
        <v/>
      </c>
      <c r="K48" s="115" t="n">
        <v>1</v>
      </c>
      <c r="L48" s="115">
        <f>ROUND(I48*8,0)</f>
        <v/>
      </c>
      <c r="M48" s="115">
        <f>ROUND(J48*10,0)</f>
        <v/>
      </c>
    </row>
    <row r="49" ht="15" customHeight="1" s="116">
      <c r="A49" s="128" t="inlineStr">
        <is>
          <t>Bronze</t>
        </is>
      </c>
      <c r="B49" s="135" t="inlineStr">
        <is>
          <t>Elmo</t>
        </is>
      </c>
      <c r="C49" s="128" t="inlineStr">
        <is>
          <t>Elmo de Bronze</t>
        </is>
      </c>
      <c r="D49" s="128" t="n"/>
      <c r="E49" s="135" t="inlineStr">
        <is>
          <t>Redondo, sem viseira — a Guilda prefere visão a proteção total.</t>
        </is>
      </c>
      <c r="F49" s="128">
        <f>INDEX(Tiers!$E$9:$E$22,MATCH($A49,Tiers!$B$9:$B$22,0))</f>
        <v/>
      </c>
      <c r="G49" s="128">
        <f>ROUND(INDEX('Curva Mestra'!$D$20:$D$94,MATCH(F49,'Curva Mestra'!$A$20:$A$94,0)),0)</f>
        <v/>
      </c>
      <c r="H49" s="128">
        <f>INDEX($B$5:$B$12,MATCH($B49,$A$5:$A$12,0))</f>
        <v/>
      </c>
      <c r="I49" s="128">
        <f>ROUND(G49*H49*K49,0)</f>
        <v/>
      </c>
      <c r="J49" s="153">
        <f>ROUND(G49*H49*K49*INDEX($B$19:$B$21,MATCH("Raro",$A$19:$A$21,0)),0)</f>
        <v/>
      </c>
      <c r="K49" s="115" t="n">
        <v>1</v>
      </c>
      <c r="L49" s="115">
        <f>ROUND(I49*8,0)</f>
        <v/>
      </c>
      <c r="M49" s="115">
        <f>ROUND(J49*10,0)</f>
        <v/>
      </c>
    </row>
    <row r="50" ht="15" customHeight="1" s="116">
      <c r="A50" s="128" t="inlineStr">
        <is>
          <t>Bronze</t>
        </is>
      </c>
      <c r="B50" s="135" t="inlineStr">
        <is>
          <t>Elmo</t>
        </is>
      </c>
      <c r="C50" s="128" t="inlineStr">
        <is>
          <t>Elmo do Vigia</t>
        </is>
      </c>
      <c r="D50" s="128" t="n"/>
      <c r="E50" s="135" t="inlineStr">
        <is>
          <t>Usado por quem ficava de olho na entrada da mina.</t>
        </is>
      </c>
      <c r="F50" s="128">
        <f>INDEX(Tiers!$E$9:$E$22,MATCH($A50,Tiers!$B$9:$B$22,0))</f>
        <v/>
      </c>
      <c r="G50" s="128">
        <f>ROUND(INDEX('Curva Mestra'!$D$20:$D$94,MATCH(F50,'Curva Mestra'!$A$20:$A$94,0)),0)</f>
        <v/>
      </c>
      <c r="H50" s="128">
        <f>INDEX($B$5:$B$12,MATCH($B50,$A$5:$A$12,0))</f>
        <v/>
      </c>
      <c r="I50" s="128">
        <f>ROUND(G50*H50*K50,0)</f>
        <v/>
      </c>
      <c r="J50" s="153">
        <f>ROUND(G50*H50*K50*INDEX($B$19:$B$21,MATCH("Raro",$A$19:$A$21,0)),0)</f>
        <v/>
      </c>
      <c r="K50" s="115" t="n">
        <v>1</v>
      </c>
      <c r="L50" s="115">
        <f>ROUND(I50*8,0)</f>
        <v/>
      </c>
      <c r="M50" s="115">
        <f>ROUND(J50*10,0)</f>
        <v/>
      </c>
    </row>
    <row r="51" ht="15" customHeight="1" s="116">
      <c r="A51" s="128" t="inlineStr">
        <is>
          <t>Bronze</t>
        </is>
      </c>
      <c r="B51" s="135" t="inlineStr">
        <is>
          <t>Calca</t>
        </is>
      </c>
      <c r="C51" s="128" t="inlineStr">
        <is>
          <t>Calça de Couro e Bronze</t>
        </is>
      </c>
      <c r="D51" s="128" t="n"/>
      <c r="E51" s="135" t="inlineStr">
        <is>
          <t>Placas leves nas coxas — o suficiente pra correr de um desabamento.</t>
        </is>
      </c>
      <c r="F51" s="128">
        <f>INDEX(Tiers!$E$9:$E$22,MATCH($A51,Tiers!$B$9:$B$22,0))</f>
        <v/>
      </c>
      <c r="G51" s="128">
        <f>ROUND(INDEX('Curva Mestra'!$D$20:$D$94,MATCH(F51,'Curva Mestra'!$A$20:$A$94,0)),0)</f>
        <v/>
      </c>
      <c r="H51" s="128">
        <f>INDEX($B$5:$B$12,MATCH($B51,$A$5:$A$12,0))</f>
        <v/>
      </c>
      <c r="I51" s="128">
        <f>ROUND(G51*H51*K51,0)</f>
        <v/>
      </c>
      <c r="J51" s="153">
        <f>ROUND(G51*H51*K51*INDEX($B$19:$B$21,MATCH("Raro",$A$19:$A$21,0)),0)</f>
        <v/>
      </c>
      <c r="K51" s="115" t="n">
        <v>1</v>
      </c>
      <c r="L51" s="115">
        <f>ROUND(I51*8,0)</f>
        <v/>
      </c>
      <c r="M51" s="115">
        <f>ROUND(J51*10,0)</f>
        <v/>
      </c>
    </row>
    <row r="52" ht="15" customHeight="1" s="116">
      <c r="A52" s="128" t="inlineStr">
        <is>
          <t>Bronze</t>
        </is>
      </c>
      <c r="B52" s="135" t="inlineStr">
        <is>
          <t>Calca</t>
        </is>
      </c>
      <c r="C52" s="128" t="inlineStr">
        <is>
          <t>Calça de Mineiro Reforçada</t>
        </is>
      </c>
      <c r="D52" s="128" t="n"/>
      <c r="E52" s="135" t="inlineStr">
        <is>
          <t>Reforçada nos joelhos, do tanto que se ajoelha numa mina.</t>
        </is>
      </c>
      <c r="F52" s="128">
        <f>INDEX(Tiers!$E$9:$E$22,MATCH($A52,Tiers!$B$9:$B$22,0))</f>
        <v/>
      </c>
      <c r="G52" s="128">
        <f>ROUND(INDEX('Curva Mestra'!$D$20:$D$94,MATCH(F52,'Curva Mestra'!$A$20:$A$94,0)),0)</f>
        <v/>
      </c>
      <c r="H52" s="128">
        <f>INDEX($B$5:$B$12,MATCH($B52,$A$5:$A$12,0))</f>
        <v/>
      </c>
      <c r="I52" s="128">
        <f>ROUND(G52*H52*K52,0)</f>
        <v/>
      </c>
      <c r="J52" s="153">
        <f>ROUND(G52*H52*K52*INDEX($B$19:$B$21,MATCH("Raro",$A$19:$A$21,0)),0)</f>
        <v/>
      </c>
      <c r="K52" s="115" t="n">
        <v>1.05</v>
      </c>
      <c r="L52" s="115">
        <f>ROUND(I52*8,0)</f>
        <v/>
      </c>
      <c r="M52" s="115">
        <f>ROUND(J52*10,0)</f>
        <v/>
      </c>
    </row>
    <row r="53" ht="15" customHeight="1" s="116">
      <c r="A53" s="128" t="inlineStr">
        <is>
          <t>Bronze</t>
        </is>
      </c>
      <c r="B53" s="135" t="inlineStr">
        <is>
          <t>Bota</t>
        </is>
      </c>
      <c r="C53" s="128" t="inlineStr">
        <is>
          <t>Bota de Bronze</t>
        </is>
      </c>
      <c r="D53" s="128" t="n"/>
      <c r="E53" s="135" t="inlineStr">
        <is>
          <t>Sola reforçada com metal — o mesmo som de passo em qualquer túnel.</t>
        </is>
      </c>
      <c r="F53" s="128">
        <f>INDEX(Tiers!$E$9:$E$22,MATCH($A53,Tiers!$B$9:$B$22,0))</f>
        <v/>
      </c>
      <c r="G53" s="128">
        <f>ROUND(INDEX('Curva Mestra'!$D$20:$D$94,MATCH(F53,'Curva Mestra'!$A$20:$A$94,0)),0)</f>
        <v/>
      </c>
      <c r="H53" s="128">
        <f>INDEX($B$5:$B$12,MATCH($B53,$A$5:$A$12,0))</f>
        <v/>
      </c>
      <c r="I53" s="128">
        <f>ROUND(G53*H53*K53,0)</f>
        <v/>
      </c>
      <c r="J53" s="153">
        <f>ROUND(G53*H53*K53*INDEX($B$19:$B$21,MATCH("Raro",$A$19:$A$21,0)),0)</f>
        <v/>
      </c>
      <c r="K53" s="115" t="n">
        <v>1</v>
      </c>
      <c r="L53" s="115">
        <f>ROUND(I53*8,0)</f>
        <v/>
      </c>
      <c r="M53" s="115">
        <f>ROUND(J53*10,0)</f>
        <v/>
      </c>
    </row>
    <row r="54" ht="15" customHeight="1" s="116">
      <c r="A54" s="128" t="inlineStr">
        <is>
          <t>Bronze</t>
        </is>
      </c>
      <c r="B54" s="135" t="inlineStr">
        <is>
          <t>Bota</t>
        </is>
      </c>
      <c r="C54" s="128" t="inlineStr">
        <is>
          <t>Bota de Mineiro</t>
        </is>
      </c>
      <c r="D54" s="128" t="n"/>
      <c r="E54" s="135" t="inlineStr">
        <is>
          <t>Já pisou em coisa que não devia. Continua andando.</t>
        </is>
      </c>
      <c r="F54" s="128">
        <f>INDEX(Tiers!$E$9:$E$22,MATCH($A54,Tiers!$B$9:$B$22,0))</f>
        <v/>
      </c>
      <c r="G54" s="128">
        <f>ROUND(INDEX('Curva Mestra'!$D$20:$D$94,MATCH(F54,'Curva Mestra'!$A$20:$A$94,0)),0)</f>
        <v/>
      </c>
      <c r="H54" s="128">
        <f>INDEX($B$5:$B$12,MATCH($B54,$A$5:$A$12,0))</f>
        <v/>
      </c>
      <c r="I54" s="128">
        <f>ROUND(G54*H54*K54,0)</f>
        <v/>
      </c>
      <c r="J54" s="153">
        <f>ROUND(G54*H54*K54*INDEX($B$19:$B$21,MATCH("Raro",$A$19:$A$21,0)),0)</f>
        <v/>
      </c>
      <c r="K54" s="115" t="n">
        <v>1</v>
      </c>
      <c r="L54" s="115">
        <f>ROUND(I54*8,0)</f>
        <v/>
      </c>
      <c r="M54" s="115">
        <f>ROUND(J54*10,0)</f>
        <v/>
      </c>
    </row>
    <row r="55" ht="15" customHeight="1" s="116">
      <c r="A55" s="128" t="inlineStr">
        <is>
          <t>Bronze</t>
        </is>
      </c>
      <c r="B55" s="135" t="inlineStr">
        <is>
          <t>Luvas</t>
        </is>
      </c>
      <c r="C55" s="128" t="inlineStr">
        <is>
          <t>Luvas de Bronze</t>
        </is>
      </c>
      <c r="D55" s="128" t="n"/>
      <c r="E55" s="135" t="inlineStr">
        <is>
          <t>Placas nos nós dos dedos, boas pra picareta e pra briga.</t>
        </is>
      </c>
      <c r="F55" s="128">
        <f>INDEX(Tiers!$E$9:$E$22,MATCH($A55,Tiers!$B$9:$B$22,0))</f>
        <v/>
      </c>
      <c r="G55" s="128">
        <f>ROUND(INDEX('Curva Mestra'!$D$20:$D$94,MATCH(F55,'Curva Mestra'!$A$20:$A$94,0)),0)</f>
        <v/>
      </c>
      <c r="H55" s="128">
        <f>INDEX($B$5:$B$12,MATCH($B55,$A$5:$A$12,0))</f>
        <v/>
      </c>
      <c r="I55" s="128">
        <f>ROUND(G55*H55*K55,0)</f>
        <v/>
      </c>
      <c r="J55" s="153">
        <f>ROUND(G55*H55*K55*INDEX($B$19:$B$21,MATCH("Raro",$A$19:$A$21,0)),0)</f>
        <v/>
      </c>
      <c r="K55" s="115" t="n">
        <v>1</v>
      </c>
      <c r="L55" s="115">
        <f>ROUND(I55*8,0)</f>
        <v/>
      </c>
      <c r="M55" s="115">
        <f>ROUND(J55*10,0)</f>
        <v/>
      </c>
    </row>
    <row r="56" ht="15" customHeight="1" s="116">
      <c r="A56" s="128" t="inlineStr">
        <is>
          <t>Bronze</t>
        </is>
      </c>
      <c r="B56" s="135" t="inlineStr">
        <is>
          <t>Luvas</t>
        </is>
      </c>
      <c r="C56" s="128" t="inlineStr">
        <is>
          <t>Luvas do Escrivão</t>
        </is>
      </c>
      <c r="D56" s="128" t="n"/>
      <c r="E56" s="135" t="inlineStr">
        <is>
          <t>Finas demais pra combate de verdade — mas ninguém reparou até ser tarde.</t>
        </is>
      </c>
      <c r="F56" s="128">
        <f>INDEX(Tiers!$E$9:$E$22,MATCH($A56,Tiers!$B$9:$B$22,0))</f>
        <v/>
      </c>
      <c r="G56" s="128">
        <f>ROUND(INDEX('Curva Mestra'!$D$20:$D$94,MATCH(F56,'Curva Mestra'!$A$20:$A$94,0)),0)</f>
        <v/>
      </c>
      <c r="H56" s="128">
        <f>INDEX($B$5:$B$12,MATCH($B56,$A$5:$A$12,0))</f>
        <v/>
      </c>
      <c r="I56" s="128">
        <f>ROUND(G56*H56*K56,0)</f>
        <v/>
      </c>
      <c r="J56" s="153">
        <f>ROUND(G56*H56*K56*INDEX($B$19:$B$21,MATCH("Raro",$A$19:$A$21,0)),0)</f>
        <v/>
      </c>
      <c r="K56" s="115" t="n">
        <v>1</v>
      </c>
      <c r="L56" s="115">
        <f>ROUND(I56*8,0)</f>
        <v/>
      </c>
      <c r="M56" s="115">
        <f>ROUND(J56*10,0)</f>
        <v/>
      </c>
    </row>
    <row r="57" ht="15" customHeight="1" s="116">
      <c r="A57" s="128" t="inlineStr">
        <is>
          <t>Bronze</t>
        </is>
      </c>
      <c r="B57" s="135" t="inlineStr">
        <is>
          <t>Amuleto</t>
        </is>
      </c>
      <c r="C57" s="128" t="inlineStr">
        <is>
          <t>Amuleto de Bronze</t>
        </is>
      </c>
      <c r="D57" s="128" t="n"/>
      <c r="E57" s="135" t="inlineStr">
        <is>
          <t>Moldado às pressas, sem desenho definido.</t>
        </is>
      </c>
      <c r="F57" s="128">
        <f>INDEX(Tiers!$E$9:$E$22,MATCH($A57,Tiers!$B$9:$B$22,0))</f>
        <v/>
      </c>
      <c r="G57" s="128">
        <f>ROUND(INDEX('Curva Mestra'!$D$20:$D$94,MATCH(F57,'Curva Mestra'!$A$20:$A$94,0)),0)</f>
        <v/>
      </c>
      <c r="H57" s="128">
        <f>INDEX($B$5:$B$12,MATCH($B57,$A$5:$A$12,0))</f>
        <v/>
      </c>
      <c r="I57" s="128">
        <f>ROUND(G57*H57*K57,0)</f>
        <v/>
      </c>
      <c r="J57" s="153">
        <f>ROUND(G57*H57*K57*INDEX($B$19:$B$21,MATCH("Raro",$A$19:$A$21,0)),0)</f>
        <v/>
      </c>
      <c r="K57" s="115" t="n">
        <v>1</v>
      </c>
      <c r="L57" s="115">
        <f>ROUND(I57*8,0)</f>
        <v/>
      </c>
      <c r="M57" s="115">
        <f>ROUND(J57*10,0)</f>
        <v/>
      </c>
    </row>
    <row r="58" ht="15" customHeight="1" s="116">
      <c r="A58" s="128" t="inlineStr">
        <is>
          <t>Bronze</t>
        </is>
      </c>
      <c r="B58" s="135" t="inlineStr">
        <is>
          <t>Amuleto</t>
        </is>
      </c>
      <c r="C58" s="128" t="inlineStr">
        <is>
          <t>Amuleto com o Selo da Guilda</t>
        </is>
      </c>
      <c r="D58" s="128" t="n"/>
      <c r="E58" s="135" t="inlineStr">
        <is>
          <t>Usado por quem confia mais na Guilda do que em si mesmo.</t>
        </is>
      </c>
      <c r="F58" s="128">
        <f>INDEX(Tiers!$E$9:$E$22,MATCH($A58,Tiers!$B$9:$B$22,0))</f>
        <v/>
      </c>
      <c r="G58" s="128">
        <f>ROUND(INDEX('Curva Mestra'!$D$20:$D$94,MATCH(F58,'Curva Mestra'!$A$20:$A$94,0)),0)</f>
        <v/>
      </c>
      <c r="H58" s="128">
        <f>INDEX($B$5:$B$12,MATCH($B58,$A$5:$A$12,0))</f>
        <v/>
      </c>
      <c r="I58" s="128">
        <f>ROUND(G58*H58*K58,0)</f>
        <v/>
      </c>
      <c r="J58" s="153">
        <f>ROUND(G58*H58*K58*INDEX($B$19:$B$21,MATCH("Raro",$A$19:$A$21,0)),0)</f>
        <v/>
      </c>
      <c r="K58" s="115" t="n">
        <v>1</v>
      </c>
      <c r="L58" s="115">
        <f>ROUND(I58*8,0)</f>
        <v/>
      </c>
      <c r="M58" s="115">
        <f>ROUND(J58*10,0)</f>
        <v/>
      </c>
    </row>
    <row r="59" ht="15" customHeight="1" s="116">
      <c r="A59" s="128" t="inlineStr">
        <is>
          <t>Bronze</t>
        </is>
      </c>
      <c r="B59" s="135" t="inlineStr">
        <is>
          <t>Anel</t>
        </is>
      </c>
      <c r="C59" s="128" t="inlineStr">
        <is>
          <t>Anel de Bronze</t>
        </is>
      </c>
      <c r="D59" s="128" t="n"/>
      <c r="E59" s="135" t="inlineStr">
        <is>
          <t>Simples, sem gema — o tipo de anel que ninguém rouba.</t>
        </is>
      </c>
      <c r="F59" s="128">
        <f>INDEX(Tiers!$E$9:$E$22,MATCH($A59,Tiers!$B$9:$B$22,0))</f>
        <v/>
      </c>
      <c r="G59" s="128">
        <f>ROUND(INDEX('Curva Mestra'!$D$20:$D$94,MATCH(F59,'Curva Mestra'!$A$20:$A$94,0)),0)</f>
        <v/>
      </c>
      <c r="H59" s="128">
        <f>INDEX($B$5:$B$12,MATCH($B59,$A$5:$A$12,0))</f>
        <v/>
      </c>
      <c r="I59" s="128">
        <f>ROUND(G59*H59*K59,0)</f>
        <v/>
      </c>
      <c r="J59" s="153">
        <f>ROUND(G59*H59*K59*INDEX($B$19:$B$21,MATCH("Raro",$A$19:$A$21,0)),0)</f>
        <v/>
      </c>
      <c r="K59" s="115" t="n">
        <v>1</v>
      </c>
      <c r="L59" s="115">
        <f>ROUND(I59*8,0)</f>
        <v/>
      </c>
      <c r="M59" s="115">
        <f>ROUND(J59*10,0)</f>
        <v/>
      </c>
    </row>
    <row r="60" ht="15" customHeight="1" s="116">
      <c r="A60" s="128" t="inlineStr">
        <is>
          <t>Bronze</t>
        </is>
      </c>
      <c r="B60" s="135" t="inlineStr">
        <is>
          <t>Anel</t>
        </is>
      </c>
      <c r="C60" s="128" t="inlineStr">
        <is>
          <t>Anel do Contrato</t>
        </is>
      </c>
      <c r="D60" s="128" t="n"/>
      <c r="E60" s="135" t="inlineStr">
        <is>
          <t>Marca quem deve à Guilda. Tirar não paga a dívida.</t>
        </is>
      </c>
      <c r="F60" s="128">
        <f>INDEX(Tiers!$E$9:$E$22,MATCH($A60,Tiers!$B$9:$B$22,0))</f>
        <v/>
      </c>
      <c r="G60" s="128">
        <f>ROUND(INDEX('Curva Mestra'!$D$20:$D$94,MATCH(F60,'Curva Mestra'!$A$20:$A$94,0)),0)</f>
        <v/>
      </c>
      <c r="H60" s="128">
        <f>INDEX($B$5:$B$12,MATCH($B60,$A$5:$A$12,0))</f>
        <v/>
      </c>
      <c r="I60" s="128">
        <f>ROUND(G60*H60*K60,0)</f>
        <v/>
      </c>
      <c r="J60" s="153">
        <f>ROUND(G60*H60*K60*INDEX($B$19:$B$21,MATCH("Raro",$A$19:$A$21,0)),0)</f>
        <v/>
      </c>
      <c r="K60" s="115" t="n">
        <v>1</v>
      </c>
      <c r="L60" s="115">
        <f>ROUND(I60*8,0)</f>
        <v/>
      </c>
      <c r="M60" s="115">
        <f>ROUND(J60*10,0)</f>
        <v/>
      </c>
    </row>
    <row r="61" ht="15" customHeight="1" s="116">
      <c r="A61" s="128" t="inlineStr">
        <is>
          <t>Ferro</t>
        </is>
      </c>
      <c r="B61" s="135" t="inlineStr">
        <is>
          <t>Peitoral</t>
        </is>
      </c>
      <c r="C61" s="128" t="inlineStr">
        <is>
          <t>Peitoral de Ferro</t>
        </is>
      </c>
      <c r="D61" s="128" t="n"/>
      <c r="E61" s="135" t="inlineStr">
        <is>
          <t>Armadura pesada de placas laminadas — segura golpe, cansa quem carrega.</t>
        </is>
      </c>
      <c r="F61" s="128">
        <f>INDEX(Tiers!$E$9:$E$22,MATCH($A61,Tiers!$B$9:$B$22,0))</f>
        <v/>
      </c>
      <c r="G61" s="128">
        <f>ROUND(INDEX('Curva Mestra'!$D$20:$D$94,MATCH(F61,'Curva Mestra'!$A$20:$A$94,0)),0)</f>
        <v/>
      </c>
      <c r="H61" s="128">
        <f>INDEX($B$5:$B$12,MATCH($B61,$A$5:$A$12,0))</f>
        <v/>
      </c>
      <c r="I61" s="128">
        <f>ROUND(G61*H61*K61,0)</f>
        <v/>
      </c>
      <c r="J61" s="153">
        <f>ROUND(G61*H61*K61*INDEX($B$19:$B$21,MATCH("Raro",$A$19:$A$21,0)),0)</f>
        <v/>
      </c>
      <c r="K61" s="115" t="n">
        <v>1</v>
      </c>
      <c r="L61" s="115">
        <f>ROUND(I61*8,0)</f>
        <v/>
      </c>
      <c r="M61" s="115">
        <f>ROUND(J61*10,0)</f>
        <v/>
      </c>
    </row>
    <row r="62" ht="15" customHeight="1" s="116">
      <c r="A62" s="128" t="inlineStr">
        <is>
          <t>Ferro</t>
        </is>
      </c>
      <c r="B62" s="135" t="inlineStr">
        <is>
          <t>Peitoral</t>
        </is>
      </c>
      <c r="C62" s="128" t="inlineStr">
        <is>
          <t>Peitoral da Guarnição</t>
        </is>
      </c>
      <c r="D62" s="128" t="n"/>
      <c r="E62" s="135" t="inlineStr">
        <is>
          <t>Usado pela guarda de fronteira em turno — o brasão ainda dá pra ver, se limpar direito.</t>
        </is>
      </c>
      <c r="F62" s="128">
        <f>INDEX(Tiers!$E$9:$E$22,MATCH($A62,Tiers!$B$9:$B$22,0))</f>
        <v/>
      </c>
      <c r="G62" s="128">
        <f>ROUND(INDEX('Curva Mestra'!$D$20:$D$94,MATCH(F62,'Curva Mestra'!$A$20:$A$94,0)),0)</f>
        <v/>
      </c>
      <c r="H62" s="128">
        <f>INDEX($B$5:$B$12,MATCH($B62,$A$5:$A$12,0))</f>
        <v/>
      </c>
      <c r="I62" s="128">
        <f>ROUND(G62*H62*K62,0)</f>
        <v/>
      </c>
      <c r="J62" s="153">
        <f>ROUND(G62*H62*K62*INDEX($B$19:$B$21,MATCH("Raro",$A$19:$A$21,0)),0)</f>
        <v/>
      </c>
      <c r="K62" s="115" t="n">
        <v>1</v>
      </c>
      <c r="L62" s="115">
        <f>ROUND(I62*8,0)</f>
        <v/>
      </c>
      <c r="M62" s="115">
        <f>ROUND(J62*10,0)</f>
        <v/>
      </c>
    </row>
    <row r="63" ht="15" customHeight="1" s="116">
      <c r="A63" s="128" t="inlineStr">
        <is>
          <t>Ferro</t>
        </is>
      </c>
      <c r="B63" s="135" t="inlineStr">
        <is>
          <t>Peitoral</t>
        </is>
      </c>
      <c r="C63" s="128" t="inlineStr">
        <is>
          <t>Peitoral Rachado</t>
        </is>
      </c>
      <c r="D63" s="128" t="n"/>
      <c r="E63" s="135" t="inlineStr">
        <is>
          <t>Tem uma rachadura funda no peito — sobreviveu ao golpe que devia ter matado o dono.</t>
        </is>
      </c>
      <c r="F63" s="128">
        <f>INDEX(Tiers!$E$9:$E$22,MATCH($A63,Tiers!$B$9:$B$22,0))</f>
        <v/>
      </c>
      <c r="G63" s="128">
        <f>ROUND(INDEX('Curva Mestra'!$D$20:$D$94,MATCH(F63,'Curva Mestra'!$A$20:$A$94,0)),0)</f>
        <v/>
      </c>
      <c r="H63" s="128">
        <f>INDEX($B$5:$B$12,MATCH($B63,$A$5:$A$12,0))</f>
        <v/>
      </c>
      <c r="I63" s="128">
        <f>ROUND(G63*H63*K63,0)</f>
        <v/>
      </c>
      <c r="J63" s="153">
        <f>ROUND(G63*H63*K63*INDEX($B$19:$B$21,MATCH("Raro",$A$19:$A$21,0)),0)</f>
        <v/>
      </c>
      <c r="K63" s="115" t="n">
        <v>1</v>
      </c>
      <c r="L63" s="115">
        <f>ROUND(I63*8,0)</f>
        <v/>
      </c>
      <c r="M63" s="115">
        <f>ROUND(J63*10,0)</f>
        <v/>
      </c>
    </row>
    <row r="64" ht="15" customHeight="1" s="116">
      <c r="A64" s="128" t="inlineStr">
        <is>
          <t>Ferro</t>
        </is>
      </c>
      <c r="B64" s="135" t="inlineStr">
        <is>
          <t>Escudo</t>
        </is>
      </c>
      <c r="C64" s="128" t="inlineStr">
        <is>
          <t>Escudo de Ferro</t>
        </is>
      </c>
      <c r="D64" s="128" t="n"/>
      <c r="E64" s="135" t="inlineStr">
        <is>
          <t>Pesado, redondo, feito pra parar golpe de espada sem reclamar.</t>
        </is>
      </c>
      <c r="F64" s="128">
        <f>INDEX(Tiers!$E$9:$E$22,MATCH($A64,Tiers!$B$9:$B$22,0))</f>
        <v/>
      </c>
      <c r="G64" s="128">
        <f>ROUND(INDEX('Curva Mestra'!$D$20:$D$94,MATCH(F64,'Curva Mestra'!$A$20:$A$94,0)),0)</f>
        <v/>
      </c>
      <c r="H64" s="128">
        <f>INDEX($B$5:$B$12,MATCH($B64,$A$5:$A$12,0))</f>
        <v/>
      </c>
      <c r="I64" s="128">
        <f>ROUND(G64*H64*K64,0)</f>
        <v/>
      </c>
      <c r="J64" s="153">
        <f>ROUND(G64*H64*K64*INDEX($B$19:$B$21,MATCH("Raro",$A$19:$A$21,0)),0)</f>
        <v/>
      </c>
      <c r="K64" s="115" t="n">
        <v>1</v>
      </c>
      <c r="L64" s="115">
        <f>ROUND(I64*8,0)</f>
        <v/>
      </c>
      <c r="M64" s="115">
        <f>ROUND(J64*10,0)</f>
        <v/>
      </c>
    </row>
    <row r="65" ht="15" customHeight="1" s="116">
      <c r="A65" s="128" t="inlineStr">
        <is>
          <t>Ferro</t>
        </is>
      </c>
      <c r="B65" s="135" t="inlineStr">
        <is>
          <t>Escudo</t>
        </is>
      </c>
      <c r="C65" s="128" t="inlineStr">
        <is>
          <t>Escudo da Muralha</t>
        </is>
      </c>
      <c r="D65" s="128" t="n"/>
      <c r="E65" s="135" t="inlineStr">
        <is>
          <t>Usado nas ameias da fortaleza, antes da fortaleza cair.</t>
        </is>
      </c>
      <c r="F65" s="128">
        <f>INDEX(Tiers!$E$9:$E$22,MATCH($A65,Tiers!$B$9:$B$22,0))</f>
        <v/>
      </c>
      <c r="G65" s="128">
        <f>ROUND(INDEX('Curva Mestra'!$D$20:$D$94,MATCH(F65,'Curva Mestra'!$A$20:$A$94,0)),0)</f>
        <v/>
      </c>
      <c r="H65" s="128">
        <f>INDEX($B$5:$B$12,MATCH($B65,$A$5:$A$12,0))</f>
        <v/>
      </c>
      <c r="I65" s="128">
        <f>ROUND(G65*H65*K65,0)</f>
        <v/>
      </c>
      <c r="J65" s="153">
        <f>ROUND(G65*H65*K65*INDEX($B$19:$B$21,MATCH("Raro",$A$19:$A$21,0)),0)</f>
        <v/>
      </c>
      <c r="K65" s="115" t="n">
        <v>1</v>
      </c>
      <c r="L65" s="115">
        <f>ROUND(I65*8,0)</f>
        <v/>
      </c>
      <c r="M65" s="115">
        <f>ROUND(J65*10,0)</f>
        <v/>
      </c>
    </row>
    <row r="66" ht="15" customHeight="1" s="116">
      <c r="A66" s="128" t="inlineStr">
        <is>
          <t>Ferro</t>
        </is>
      </c>
      <c r="B66" s="135" t="inlineStr">
        <is>
          <t>Escudo</t>
        </is>
      </c>
      <c r="C66" s="128" t="inlineStr">
        <is>
          <t>Escudo com Brasão Apagado</t>
        </is>
      </c>
      <c r="D66" s="128" t="n"/>
      <c r="E66" s="135" t="inlineStr">
        <is>
          <t>O símbolo já não dá pra reconhecer. Ninguém mais lembra de qual guarda era.</t>
        </is>
      </c>
      <c r="F66" s="128">
        <f>INDEX(Tiers!$E$9:$E$22,MATCH($A66,Tiers!$B$9:$B$22,0))</f>
        <v/>
      </c>
      <c r="G66" s="128">
        <f>ROUND(INDEX('Curva Mestra'!$D$20:$D$94,MATCH(F66,'Curva Mestra'!$A$20:$A$94,0)),0)</f>
        <v/>
      </c>
      <c r="H66" s="128">
        <f>INDEX($B$5:$B$12,MATCH($B66,$A$5:$A$12,0))</f>
        <v/>
      </c>
      <c r="I66" s="128">
        <f>ROUND(G66*H66*K66,0)</f>
        <v/>
      </c>
      <c r="J66" s="153">
        <f>ROUND(G66*H66*K66*INDEX($B$19:$B$21,MATCH("Raro",$A$19:$A$21,0)),0)</f>
        <v/>
      </c>
      <c r="K66" s="115" t="n">
        <v>1</v>
      </c>
      <c r="L66" s="115">
        <f>ROUND(I66*8,0)</f>
        <v/>
      </c>
      <c r="M66" s="115">
        <f>ROUND(J66*10,0)</f>
        <v/>
      </c>
    </row>
    <row r="67" ht="15" customHeight="1" s="116">
      <c r="A67" s="128" t="inlineStr">
        <is>
          <t>Ferro</t>
        </is>
      </c>
      <c r="B67" s="135" t="inlineStr">
        <is>
          <t>Elmo</t>
        </is>
      </c>
      <c r="C67" s="128" t="inlineStr">
        <is>
          <t>Elmo de Ferro</t>
        </is>
      </c>
      <c r="D67" s="128" t="n"/>
      <c r="E67" s="135" t="inlineStr">
        <is>
          <t>Fechado na frente, visão estreita — protege mais do que deixa ver.</t>
        </is>
      </c>
      <c r="F67" s="128">
        <f>INDEX(Tiers!$E$9:$E$22,MATCH($A67,Tiers!$B$9:$B$22,0))</f>
        <v/>
      </c>
      <c r="G67" s="128">
        <f>ROUND(INDEX('Curva Mestra'!$D$20:$D$94,MATCH(F67,'Curva Mestra'!$A$20:$A$94,0)),0)</f>
        <v/>
      </c>
      <c r="H67" s="128">
        <f>INDEX($B$5:$B$12,MATCH($B67,$A$5:$A$12,0))</f>
        <v/>
      </c>
      <c r="I67" s="128">
        <f>ROUND(G67*H67*K67,0)</f>
        <v/>
      </c>
      <c r="J67" s="153">
        <f>ROUND(G67*H67*K67*INDEX($B$19:$B$21,MATCH("Raro",$A$19:$A$21,0)),0)</f>
        <v/>
      </c>
      <c r="K67" s="115" t="n">
        <v>1</v>
      </c>
      <c r="L67" s="115">
        <f>ROUND(I67*8,0)</f>
        <v/>
      </c>
      <c r="M67" s="115">
        <f>ROUND(J67*10,0)</f>
        <v/>
      </c>
    </row>
    <row r="68" ht="15" customHeight="1" s="116">
      <c r="A68" s="128" t="inlineStr">
        <is>
          <t>Ferro</t>
        </is>
      </c>
      <c r="B68" s="135" t="inlineStr">
        <is>
          <t>Elmo</t>
        </is>
      </c>
      <c r="C68" s="128" t="inlineStr">
        <is>
          <t>Elmo de Sentinela</t>
        </is>
      </c>
      <c r="D68" s="128" t="n"/>
      <c r="E68" s="135" t="inlineStr">
        <is>
          <t>Usado em rondas noturnas — o metal ainda guarda o frio das madrugadas.</t>
        </is>
      </c>
      <c r="F68" s="128">
        <f>INDEX(Tiers!$E$9:$E$22,MATCH($A68,Tiers!$B$9:$B$22,0))</f>
        <v/>
      </c>
      <c r="G68" s="128">
        <f>ROUND(INDEX('Curva Mestra'!$D$20:$D$94,MATCH(F68,'Curva Mestra'!$A$20:$A$94,0)),0)</f>
        <v/>
      </c>
      <c r="H68" s="128">
        <f>INDEX($B$5:$B$12,MATCH($B68,$A$5:$A$12,0))</f>
        <v/>
      </c>
      <c r="I68" s="128">
        <f>ROUND(G68*H68*K68,0)</f>
        <v/>
      </c>
      <c r="J68" s="153">
        <f>ROUND(G68*H68*K68*INDEX($B$19:$B$21,MATCH("Raro",$A$19:$A$21,0)),0)</f>
        <v/>
      </c>
      <c r="K68" s="115" t="n">
        <v>1</v>
      </c>
      <c r="L68" s="115">
        <f>ROUND(I68*8,0)</f>
        <v/>
      </c>
      <c r="M68" s="115">
        <f>ROUND(J68*10,0)</f>
        <v/>
      </c>
    </row>
    <row r="69" ht="15" customHeight="1" s="116">
      <c r="A69" s="128" t="inlineStr">
        <is>
          <t>Ferro</t>
        </is>
      </c>
      <c r="B69" s="135" t="inlineStr">
        <is>
          <t>Calca</t>
        </is>
      </c>
      <c r="C69" s="128" t="inlineStr">
        <is>
          <t>Calça de Ferro e Couro</t>
        </is>
      </c>
      <c r="D69" s="128" t="n"/>
      <c r="E69" s="135" t="inlineStr">
        <is>
          <t>Placas nas coxas, couro no resto — equilíbrio entre proteção e conseguir correr.</t>
        </is>
      </c>
      <c r="F69" s="128">
        <f>INDEX(Tiers!$E$9:$E$22,MATCH($A69,Tiers!$B$9:$B$22,0))</f>
        <v/>
      </c>
      <c r="G69" s="128">
        <f>ROUND(INDEX('Curva Mestra'!$D$20:$D$94,MATCH(F69,'Curva Mestra'!$A$20:$A$94,0)),0)</f>
        <v/>
      </c>
      <c r="H69" s="128">
        <f>INDEX($B$5:$B$12,MATCH($B69,$A$5:$A$12,0))</f>
        <v/>
      </c>
      <c r="I69" s="128">
        <f>ROUND(G69*H69*K69,0)</f>
        <v/>
      </c>
      <c r="J69" s="153">
        <f>ROUND(G69*H69*K69*INDEX($B$19:$B$21,MATCH("Raro",$A$19:$A$21,0)),0)</f>
        <v/>
      </c>
      <c r="K69" s="115" t="n">
        <v>1</v>
      </c>
      <c r="L69" s="115">
        <f>ROUND(I69*8,0)</f>
        <v/>
      </c>
      <c r="M69" s="115">
        <f>ROUND(J69*10,0)</f>
        <v/>
      </c>
    </row>
    <row r="70" ht="15" customHeight="1" s="116">
      <c r="A70" s="128" t="inlineStr">
        <is>
          <t>Ferro</t>
        </is>
      </c>
      <c r="B70" s="135" t="inlineStr">
        <is>
          <t>Calca</t>
        </is>
      </c>
      <c r="C70" s="128" t="inlineStr">
        <is>
          <t>Calça de Guarnição</t>
        </is>
      </c>
      <c r="D70" s="128" t="n"/>
      <c r="E70" s="135" t="inlineStr">
        <is>
          <t>Padrão de guarda de fronteira — nada de especial, e é exatamente o ponto.</t>
        </is>
      </c>
      <c r="F70" s="128">
        <f>INDEX(Tiers!$E$9:$E$22,MATCH($A70,Tiers!$B$9:$B$22,0))</f>
        <v/>
      </c>
      <c r="G70" s="128">
        <f>ROUND(INDEX('Curva Mestra'!$D$20:$D$94,MATCH(F70,'Curva Mestra'!$A$20:$A$94,0)),0)</f>
        <v/>
      </c>
      <c r="H70" s="128">
        <f>INDEX($B$5:$B$12,MATCH($B70,$A$5:$A$12,0))</f>
        <v/>
      </c>
      <c r="I70" s="128">
        <f>ROUND(G70*H70*K70,0)</f>
        <v/>
      </c>
      <c r="J70" s="153">
        <f>ROUND(G70*H70*K70*INDEX($B$19:$B$21,MATCH("Raro",$A$19:$A$21,0)),0)</f>
        <v/>
      </c>
      <c r="K70" s="115" t="n">
        <v>1</v>
      </c>
      <c r="L70" s="115">
        <f>ROUND(I70*8,0)</f>
        <v/>
      </c>
      <c r="M70" s="115">
        <f>ROUND(J70*10,0)</f>
        <v/>
      </c>
    </row>
    <row r="71" ht="15" customHeight="1" s="116">
      <c r="A71" s="128" t="inlineStr">
        <is>
          <t>Ferro</t>
        </is>
      </c>
      <c r="B71" s="135" t="inlineStr">
        <is>
          <t>Bota</t>
        </is>
      </c>
      <c r="C71" s="128" t="inlineStr">
        <is>
          <t>Bota de Ferro</t>
        </is>
      </c>
      <c r="D71" s="128" t="n"/>
      <c r="E71" s="135" t="inlineStr">
        <is>
          <t>Sola reforçada, pesada — o som do passo já era um aviso.</t>
        </is>
      </c>
      <c r="F71" s="128">
        <f>INDEX(Tiers!$E$9:$E$22,MATCH($A71,Tiers!$B$9:$B$22,0))</f>
        <v/>
      </c>
      <c r="G71" s="128">
        <f>ROUND(INDEX('Curva Mestra'!$D$20:$D$94,MATCH(F71,'Curva Mestra'!$A$20:$A$94,0)),0)</f>
        <v/>
      </c>
      <c r="H71" s="128">
        <f>INDEX($B$5:$B$12,MATCH($B71,$A$5:$A$12,0))</f>
        <v/>
      </c>
      <c r="I71" s="128">
        <f>ROUND(G71*H71*K71,0)</f>
        <v/>
      </c>
      <c r="J71" s="153">
        <f>ROUND(G71*H71*K71*INDEX($B$19:$B$21,MATCH("Raro",$A$19:$A$21,0)),0)</f>
        <v/>
      </c>
      <c r="K71" s="115" t="n">
        <v>1</v>
      </c>
      <c r="L71" s="115">
        <f>ROUND(I71*8,0)</f>
        <v/>
      </c>
      <c r="M71" s="115">
        <f>ROUND(J71*10,0)</f>
        <v/>
      </c>
    </row>
    <row r="72" ht="15" customHeight="1" s="116">
      <c r="A72" s="128" t="inlineStr">
        <is>
          <t>Ferro</t>
        </is>
      </c>
      <c r="B72" s="135" t="inlineStr">
        <is>
          <t>Bota</t>
        </is>
      </c>
      <c r="C72" s="128" t="inlineStr">
        <is>
          <t>Bota de Ronda</t>
        </is>
      </c>
      <c r="D72" s="128" t="n"/>
      <c r="E72" s="135" t="inlineStr">
        <is>
          <t>Gastas na sola de tanto patrulhar o mesmo trecho de muro, noite após noite.</t>
        </is>
      </c>
      <c r="F72" s="128">
        <f>INDEX(Tiers!$E$9:$E$22,MATCH($A72,Tiers!$B$9:$B$22,0))</f>
        <v/>
      </c>
      <c r="G72" s="128">
        <f>ROUND(INDEX('Curva Mestra'!$D$20:$D$94,MATCH(F72,'Curva Mestra'!$A$20:$A$94,0)),0)</f>
        <v/>
      </c>
      <c r="H72" s="128">
        <f>INDEX($B$5:$B$12,MATCH($B72,$A$5:$A$12,0))</f>
        <v/>
      </c>
      <c r="I72" s="128">
        <f>ROUND(G72*H72*K72,0)</f>
        <v/>
      </c>
      <c r="J72" s="153">
        <f>ROUND(G72*H72*K72*INDEX($B$19:$B$21,MATCH("Raro",$A$19:$A$21,0)),0)</f>
        <v/>
      </c>
      <c r="K72" s="115" t="n">
        <v>1</v>
      </c>
      <c r="L72" s="115">
        <f>ROUND(I72*8,0)</f>
        <v/>
      </c>
      <c r="M72" s="115">
        <f>ROUND(J72*10,0)</f>
        <v/>
      </c>
    </row>
    <row r="73" ht="15" customHeight="1" s="116">
      <c r="A73" s="128" t="inlineStr">
        <is>
          <t>Ferro</t>
        </is>
      </c>
      <c r="B73" s="135" t="inlineStr">
        <is>
          <t>Luvas</t>
        </is>
      </c>
      <c r="C73" s="128" t="inlineStr">
        <is>
          <t>Luvas de Ferro</t>
        </is>
      </c>
      <c r="D73" s="128" t="n"/>
      <c r="E73" s="135" t="inlineStr">
        <is>
          <t>Placas articuladas nos dedos — seguram espada mesmo com a mão cansada.</t>
        </is>
      </c>
      <c r="F73" s="128">
        <f>INDEX(Tiers!$E$9:$E$22,MATCH($A73,Tiers!$B$9:$B$22,0))</f>
        <v/>
      </c>
      <c r="G73" s="128">
        <f>ROUND(INDEX('Curva Mestra'!$D$20:$D$94,MATCH(F73,'Curva Mestra'!$A$20:$A$94,0)),0)</f>
        <v/>
      </c>
      <c r="H73" s="128">
        <f>INDEX($B$5:$B$12,MATCH($B73,$A$5:$A$12,0))</f>
        <v/>
      </c>
      <c r="I73" s="128">
        <f>ROUND(G73*H73*K73,0)</f>
        <v/>
      </c>
      <c r="J73" s="153">
        <f>ROUND(G73*H73*K73*INDEX($B$19:$B$21,MATCH("Raro",$A$19:$A$21,0)),0)</f>
        <v/>
      </c>
      <c r="K73" s="115" t="n">
        <v>1</v>
      </c>
      <c r="L73" s="115">
        <f>ROUND(I73*8,0)</f>
        <v/>
      </c>
      <c r="M73" s="115">
        <f>ROUND(J73*10,0)</f>
        <v/>
      </c>
    </row>
    <row r="74" ht="15" customHeight="1" s="116">
      <c r="A74" s="128" t="inlineStr">
        <is>
          <t>Ferro</t>
        </is>
      </c>
      <c r="B74" s="135" t="inlineStr">
        <is>
          <t>Luvas</t>
        </is>
      </c>
      <c r="C74" s="128" t="inlineStr">
        <is>
          <t>Luvas de Oficial</t>
        </is>
      </c>
      <c r="D74" s="128" t="n"/>
      <c r="E74" s="135" t="inlineStr">
        <is>
          <t>Mais finas que as de um soldado raso — feitas pra quem dava ordem.</t>
        </is>
      </c>
      <c r="F74" s="128">
        <f>INDEX(Tiers!$E$9:$E$22,MATCH($A74,Tiers!$B$9:$B$22,0))</f>
        <v/>
      </c>
      <c r="G74" s="128">
        <f>ROUND(INDEX('Curva Mestra'!$D$20:$D$94,MATCH(F74,'Curva Mestra'!$A$20:$A$94,0)),0)</f>
        <v/>
      </c>
      <c r="H74" s="128">
        <f>INDEX($B$5:$B$12,MATCH($B74,$A$5:$A$12,0))</f>
        <v/>
      </c>
      <c r="I74" s="128">
        <f>ROUND(G74*H74*K74,0)</f>
        <v/>
      </c>
      <c r="J74" s="153">
        <f>ROUND(G74*H74*K74*INDEX($B$19:$B$21,MATCH("Raro",$A$19:$A$21,0)),0)</f>
        <v/>
      </c>
      <c r="K74" s="115" t="n">
        <v>1</v>
      </c>
      <c r="L74" s="115">
        <f>ROUND(I74*8,0)</f>
        <v/>
      </c>
      <c r="M74" s="115">
        <f>ROUND(J74*10,0)</f>
        <v/>
      </c>
    </row>
    <row r="75" ht="15" customHeight="1" s="116">
      <c r="A75" s="128" t="inlineStr">
        <is>
          <t>Ferro</t>
        </is>
      </c>
      <c r="B75" s="135" t="inlineStr">
        <is>
          <t>Amuleto</t>
        </is>
      </c>
      <c r="C75" s="128" t="inlineStr">
        <is>
          <t>Amuleto de Ferro</t>
        </is>
      </c>
      <c r="D75" s="128" t="n"/>
      <c r="E75" s="135" t="inlineStr">
        <is>
          <t>Peça simples, sem desenho — serve de sorte pra quem não tem mais nada.</t>
        </is>
      </c>
      <c r="F75" s="128">
        <f>INDEX(Tiers!$E$9:$E$22,MATCH($A75,Tiers!$B$9:$B$22,0))</f>
        <v/>
      </c>
      <c r="G75" s="128">
        <f>ROUND(INDEX('Curva Mestra'!$D$20:$D$94,MATCH(F75,'Curva Mestra'!$A$20:$A$94,0)),0)</f>
        <v/>
      </c>
      <c r="H75" s="128">
        <f>INDEX($B$5:$B$12,MATCH($B75,$A$5:$A$12,0))</f>
        <v/>
      </c>
      <c r="I75" s="128">
        <f>ROUND(G75*H75*K75,0)</f>
        <v/>
      </c>
      <c r="J75" s="153">
        <f>ROUND(G75*H75*K75*INDEX($B$19:$B$21,MATCH("Raro",$A$19:$A$21,0)),0)</f>
        <v/>
      </c>
      <c r="K75" s="115" t="n">
        <v>1</v>
      </c>
      <c r="L75" s="115">
        <f>ROUND(I75*8,0)</f>
        <v/>
      </c>
      <c r="M75" s="115">
        <f>ROUND(J75*10,0)</f>
        <v/>
      </c>
    </row>
    <row r="76" ht="15" customHeight="1" s="116">
      <c r="A76" s="128" t="inlineStr">
        <is>
          <t>Ferro</t>
        </is>
      </c>
      <c r="B76" s="135" t="inlineStr">
        <is>
          <t>Amuleto</t>
        </is>
      </c>
      <c r="C76" s="128" t="inlineStr">
        <is>
          <t>Amuleto do Capelão</t>
        </is>
      </c>
      <c r="D76" s="128" t="n"/>
      <c r="E76" s="135" t="inlineStr">
        <is>
          <t>Abençoado antes de cada turno de guarda. Ninguém sabe se ainda funciona.</t>
        </is>
      </c>
      <c r="F76" s="128">
        <f>INDEX(Tiers!$E$9:$E$22,MATCH($A76,Tiers!$B$9:$B$22,0))</f>
        <v/>
      </c>
      <c r="G76" s="128">
        <f>ROUND(INDEX('Curva Mestra'!$D$20:$D$94,MATCH(F76,'Curva Mestra'!$A$20:$A$94,0)),0)</f>
        <v/>
      </c>
      <c r="H76" s="128">
        <f>INDEX($B$5:$B$12,MATCH($B76,$A$5:$A$12,0))</f>
        <v/>
      </c>
      <c r="I76" s="128">
        <f>ROUND(G76*H76*K76,0)</f>
        <v/>
      </c>
      <c r="J76" s="153">
        <f>ROUND(G76*H76*K76*INDEX($B$19:$B$21,MATCH("Raro",$A$19:$A$21,0)),0)</f>
        <v/>
      </c>
      <c r="K76" s="115" t="n">
        <v>1</v>
      </c>
      <c r="L76" s="115">
        <f>ROUND(I76*8,0)</f>
        <v/>
      </c>
      <c r="M76" s="115">
        <f>ROUND(J76*10,0)</f>
        <v/>
      </c>
    </row>
    <row r="77" ht="15" customHeight="1" s="116">
      <c r="A77" s="128" t="inlineStr">
        <is>
          <t>Ferro</t>
        </is>
      </c>
      <c r="B77" s="135" t="inlineStr">
        <is>
          <t>Anel</t>
        </is>
      </c>
      <c r="C77" s="128" t="inlineStr">
        <is>
          <t>Anel de Ferro</t>
        </is>
      </c>
      <c r="D77" s="128" t="n"/>
      <c r="E77" s="135" t="inlineStr">
        <is>
          <t>Sem gema, sem enfeite — anel de trabalho, não de cerimônia.</t>
        </is>
      </c>
      <c r="F77" s="128">
        <f>INDEX(Tiers!$E$9:$E$22,MATCH($A77,Tiers!$B$9:$B$22,0))</f>
        <v/>
      </c>
      <c r="G77" s="128">
        <f>ROUND(INDEX('Curva Mestra'!$D$20:$D$94,MATCH(F77,'Curva Mestra'!$A$20:$A$94,0)),0)</f>
        <v/>
      </c>
      <c r="H77" s="128">
        <f>INDEX($B$5:$B$12,MATCH($B77,$A$5:$A$12,0))</f>
        <v/>
      </c>
      <c r="I77" s="128">
        <f>ROUND(G77*H77*K77,0)</f>
        <v/>
      </c>
      <c r="J77" s="153">
        <f>ROUND(G77*H77*K77*INDEX($B$19:$B$21,MATCH("Raro",$A$19:$A$21,0)),0)</f>
        <v/>
      </c>
      <c r="K77" s="115" t="n">
        <v>1</v>
      </c>
      <c r="L77" s="115">
        <f>ROUND(I77*8,0)</f>
        <v/>
      </c>
      <c r="M77" s="115">
        <f>ROUND(J77*10,0)</f>
        <v/>
      </c>
    </row>
    <row r="78" ht="15" customHeight="1" s="116">
      <c r="A78" s="128" t="inlineStr">
        <is>
          <t>Ferro</t>
        </is>
      </c>
      <c r="B78" s="135" t="inlineStr">
        <is>
          <t>Anel</t>
        </is>
      </c>
      <c r="C78" s="128" t="inlineStr">
        <is>
          <t>Anel de Sentinela</t>
        </is>
      </c>
      <c r="D78" s="128" t="n"/>
      <c r="E78" s="135" t="inlineStr">
        <is>
          <t>Gravado com um número de posto — a guarda contava tudo, até os próprios homens.</t>
        </is>
      </c>
      <c r="F78" s="128">
        <f>INDEX(Tiers!$E$9:$E$22,MATCH($A78,Tiers!$B$9:$B$22,0))</f>
        <v/>
      </c>
      <c r="G78" s="128">
        <f>ROUND(INDEX('Curva Mestra'!$D$20:$D$94,MATCH(F78,'Curva Mestra'!$A$20:$A$94,0)),0)</f>
        <v/>
      </c>
      <c r="H78" s="128">
        <f>INDEX($B$5:$B$12,MATCH($B78,$A$5:$A$12,0))</f>
        <v/>
      </c>
      <c r="I78" s="128">
        <f>ROUND(G78*H78*K78,0)</f>
        <v/>
      </c>
      <c r="J78" s="153">
        <f>ROUND(G78*H78*K78*INDEX($B$19:$B$21,MATCH("Raro",$A$19:$A$21,0)),0)</f>
        <v/>
      </c>
      <c r="K78" s="115" t="n">
        <v>1</v>
      </c>
      <c r="L78" s="115">
        <f>ROUND(I78*8,0)</f>
        <v/>
      </c>
      <c r="M78" s="115">
        <f>ROUND(J78*10,0)</f>
        <v/>
      </c>
    </row>
    <row r="79" ht="15" customHeight="1" s="116">
      <c r="A79" s="128" t="inlineStr">
        <is>
          <t>Prata</t>
        </is>
      </c>
      <c r="B79" s="135" t="inlineStr">
        <is>
          <t>Peitoral</t>
        </is>
      </c>
      <c r="C79" s="128" t="inlineStr">
        <is>
          <t>Peitoral de Prata</t>
        </is>
      </c>
      <c r="D79" s="128" t="n"/>
      <c r="E79" s="135" t="inlineStr">
        <is>
          <t>Peitoral que dissipa energias necróticas ao contato.</t>
        </is>
      </c>
      <c r="F79" s="128">
        <f>INDEX(Tiers!$E$9:$E$22,MATCH($A79,Tiers!$B$9:$B$22,0))</f>
        <v/>
      </c>
      <c r="G79" s="128">
        <f>ROUND(INDEX('Curva Mestra'!$D$20:$D$94,MATCH(F79,'Curva Mestra'!$A$20:$A$94,0)),0)</f>
        <v/>
      </c>
      <c r="H79" s="128">
        <f>INDEX($B$5:$B$12,MATCH($B79,$A$5:$A$12,0))</f>
        <v/>
      </c>
      <c r="I79" s="128">
        <f>ROUND(G79*H79*K79,0)</f>
        <v/>
      </c>
      <c r="J79" s="153">
        <f>ROUND(G79*H79*K79*INDEX($B$19:$B$21,MATCH("Raro",$A$19:$A$21,0)),0)</f>
        <v/>
      </c>
      <c r="K79" s="115" t="n">
        <v>1</v>
      </c>
      <c r="L79" s="115">
        <f>ROUND(I79*8,0)</f>
        <v/>
      </c>
      <c r="M79" s="115">
        <f>ROUND(J79*10,0)</f>
        <v/>
      </c>
    </row>
    <row r="80" ht="15" customHeight="1" s="116">
      <c r="A80" s="128" t="inlineStr">
        <is>
          <t>Prata</t>
        </is>
      </c>
      <c r="B80" s="135" t="inlineStr">
        <is>
          <t>Peitoral</t>
        </is>
      </c>
      <c r="C80" s="128" t="inlineStr">
        <is>
          <t>Peitoral Consagrado</t>
        </is>
      </c>
      <c r="D80" s="128" t="n"/>
      <c r="E80" s="135" t="inlineStr">
        <is>
          <t>Benzido tantas vezes que o metal parece mais claro que devia.</t>
        </is>
      </c>
      <c r="F80" s="128">
        <f>INDEX(Tiers!$E$9:$E$22,MATCH($A80,Tiers!$B$9:$B$22,0))</f>
        <v/>
      </c>
      <c r="G80" s="128">
        <f>ROUND(INDEX('Curva Mestra'!$D$20:$D$94,MATCH(F80,'Curva Mestra'!$A$20:$A$94,0)),0)</f>
        <v/>
      </c>
      <c r="H80" s="128">
        <f>INDEX($B$5:$B$12,MATCH($B80,$A$5:$A$12,0))</f>
        <v/>
      </c>
      <c r="I80" s="128">
        <f>ROUND(G80*H80*K80,0)</f>
        <v/>
      </c>
      <c r="J80" s="153">
        <f>ROUND(G80*H80*K80*INDEX($B$19:$B$21,MATCH("Raro",$A$19:$A$21,0)),0)</f>
        <v/>
      </c>
      <c r="K80" s="115" t="n">
        <v>1.05</v>
      </c>
      <c r="L80" s="115">
        <f>ROUND(I80*8,0)</f>
        <v/>
      </c>
      <c r="M80" s="115">
        <f>ROUND(J80*10,0)</f>
        <v/>
      </c>
    </row>
    <row r="81" ht="15" customHeight="1" s="116">
      <c r="A81" s="128" t="inlineStr">
        <is>
          <t>Prata</t>
        </is>
      </c>
      <c r="B81" s="135" t="inlineStr">
        <is>
          <t>Peitoral</t>
        </is>
      </c>
      <c r="C81" s="128" t="inlineStr">
        <is>
          <t>Peitoral do Guardião da Cripta</t>
        </is>
      </c>
      <c r="D81" s="128" t="n"/>
      <c r="E81" s="135" t="inlineStr">
        <is>
          <t>Usado por quem protegia as catacumbas antes delas ficarem silenciosas demais.</t>
        </is>
      </c>
      <c r="F81" s="128">
        <f>INDEX(Tiers!$E$9:$E$22,MATCH($A81,Tiers!$B$9:$B$22,0))</f>
        <v/>
      </c>
      <c r="G81" s="128">
        <f>ROUND(INDEX('Curva Mestra'!$D$20:$D$94,MATCH(F81,'Curva Mestra'!$A$20:$A$94,0)),0)</f>
        <v/>
      </c>
      <c r="H81" s="128">
        <f>INDEX($B$5:$B$12,MATCH($B81,$A$5:$A$12,0))</f>
        <v/>
      </c>
      <c r="I81" s="128">
        <f>ROUND(G81*H81*K81,0)</f>
        <v/>
      </c>
      <c r="J81" s="153">
        <f>ROUND(G81*H81*K81*INDEX($B$19:$B$21,MATCH("Raro",$A$19:$A$21,0)),0)</f>
        <v/>
      </c>
      <c r="K81" s="115" t="n">
        <v>1</v>
      </c>
      <c r="L81" s="115">
        <f>ROUND(I81*8,0)</f>
        <v/>
      </c>
      <c r="M81" s="115">
        <f>ROUND(J81*10,0)</f>
        <v/>
      </c>
    </row>
    <row r="82" ht="15" customHeight="1" s="116">
      <c r="A82" s="128" t="inlineStr">
        <is>
          <t>Prata</t>
        </is>
      </c>
      <c r="B82" s="135" t="inlineStr">
        <is>
          <t>Escudo</t>
        </is>
      </c>
      <c r="C82" s="128" t="inlineStr">
        <is>
          <t>Escudo de Prata</t>
        </is>
      </c>
      <c r="D82" s="128" t="n"/>
      <c r="E82" s="135" t="inlineStr">
        <is>
          <t>Reflete luz de tocha o bastante pra cegar por um instante.</t>
        </is>
      </c>
      <c r="F82" s="128">
        <f>INDEX(Tiers!$E$9:$E$22,MATCH($A82,Tiers!$B$9:$B$22,0))</f>
        <v/>
      </c>
      <c r="G82" s="128">
        <f>ROUND(INDEX('Curva Mestra'!$D$20:$D$94,MATCH(F82,'Curva Mestra'!$A$20:$A$94,0)),0)</f>
        <v/>
      </c>
      <c r="H82" s="128">
        <f>INDEX($B$5:$B$12,MATCH($B82,$A$5:$A$12,0))</f>
        <v/>
      </c>
      <c r="I82" s="128">
        <f>ROUND(G82*H82*K82,0)</f>
        <v/>
      </c>
      <c r="J82" s="153">
        <f>ROUND(G82*H82*K82*INDEX($B$19:$B$21,MATCH("Raro",$A$19:$A$21,0)),0)</f>
        <v/>
      </c>
      <c r="K82" s="115" t="n">
        <v>1</v>
      </c>
      <c r="L82" s="115">
        <f>ROUND(I82*8,0)</f>
        <v/>
      </c>
      <c r="M82" s="115">
        <f>ROUND(J82*10,0)</f>
        <v/>
      </c>
    </row>
    <row r="83" ht="15" customHeight="1" s="116">
      <c r="A83" s="128" t="inlineStr">
        <is>
          <t>Prata</t>
        </is>
      </c>
      <c r="B83" s="135" t="inlineStr">
        <is>
          <t>Escudo</t>
        </is>
      </c>
      <c r="C83" s="128" t="inlineStr">
        <is>
          <t>Escudo Gravado com Símbolos Sagrados</t>
        </is>
      </c>
      <c r="D83" s="128" t="n"/>
      <c r="E83" s="135" t="inlineStr">
        <is>
          <t>Os símbolos já foram mais nítidos. Ainda funcionam.</t>
        </is>
      </c>
      <c r="F83" s="128">
        <f>INDEX(Tiers!$E$9:$E$22,MATCH($A83,Tiers!$B$9:$B$22,0))</f>
        <v/>
      </c>
      <c r="G83" s="128">
        <f>ROUND(INDEX('Curva Mestra'!$D$20:$D$94,MATCH(F83,'Curva Mestra'!$A$20:$A$94,0)),0)</f>
        <v/>
      </c>
      <c r="H83" s="128">
        <f>INDEX($B$5:$B$12,MATCH($B83,$A$5:$A$12,0))</f>
        <v/>
      </c>
      <c r="I83" s="128">
        <f>ROUND(G83*H83*K83,0)</f>
        <v/>
      </c>
      <c r="J83" s="153">
        <f>ROUND(G83*H83*K83*INDEX($B$19:$B$21,MATCH("Raro",$A$19:$A$21,0)),0)</f>
        <v/>
      </c>
      <c r="K83" s="115" t="n">
        <v>1</v>
      </c>
      <c r="L83" s="115">
        <f>ROUND(I83*8,0)</f>
        <v/>
      </c>
      <c r="M83" s="115">
        <f>ROUND(J83*10,0)</f>
        <v/>
      </c>
    </row>
    <row r="84" ht="15" customHeight="1" s="116">
      <c r="A84" s="128" t="inlineStr">
        <is>
          <t>Prata</t>
        </is>
      </c>
      <c r="B84" s="135" t="inlineStr">
        <is>
          <t>Escudo</t>
        </is>
      </c>
      <c r="C84" s="128" t="inlineStr">
        <is>
          <t>Escudo do Último Sacerdote</t>
        </is>
      </c>
      <c r="D84" s="128" t="n"/>
      <c r="E84" s="135" t="inlineStr">
        <is>
          <t>Pertencia a quem benzia as criptas antes de qualquer um ali ficar em silêncio.</t>
        </is>
      </c>
      <c r="F84" s="128">
        <f>INDEX(Tiers!$E$9:$E$22,MATCH($A84,Tiers!$B$9:$B$22,0))</f>
        <v/>
      </c>
      <c r="G84" s="128">
        <f>ROUND(INDEX('Curva Mestra'!$D$20:$D$94,MATCH(F84,'Curva Mestra'!$A$20:$A$94,0)),0)</f>
        <v/>
      </c>
      <c r="H84" s="128">
        <f>INDEX($B$5:$B$12,MATCH($B84,$A$5:$A$12,0))</f>
        <v/>
      </c>
      <c r="I84" s="128">
        <f>ROUND(G84*H84*K84,0)</f>
        <v/>
      </c>
      <c r="J84" s="153">
        <f>ROUND(G84*H84*K84*INDEX($B$19:$B$21,MATCH("Raro",$A$19:$A$21,0)),0)</f>
        <v/>
      </c>
      <c r="K84" s="115" t="n">
        <v>1</v>
      </c>
      <c r="L84" s="115">
        <f>ROUND(I84*8,0)</f>
        <v/>
      </c>
      <c r="M84" s="115">
        <f>ROUND(J84*10,0)</f>
        <v/>
      </c>
    </row>
    <row r="85" ht="15" customHeight="1" s="116">
      <c r="A85" s="128" t="inlineStr">
        <is>
          <t>Prata</t>
        </is>
      </c>
      <c r="B85" s="135" t="inlineStr">
        <is>
          <t>Elmo</t>
        </is>
      </c>
      <c r="C85" s="128" t="inlineStr">
        <is>
          <t>Elmo de Prata</t>
        </is>
      </c>
      <c r="D85" s="128" t="n"/>
      <c r="E85" s="135" t="inlineStr">
        <is>
          <t>Frio ao toque, mesmo em dia quente — ninguém sabe explicar direito.</t>
        </is>
      </c>
      <c r="F85" s="128">
        <f>INDEX(Tiers!$E$9:$E$22,MATCH($A85,Tiers!$B$9:$B$22,0))</f>
        <v/>
      </c>
      <c r="G85" s="128">
        <f>ROUND(INDEX('Curva Mestra'!$D$20:$D$94,MATCH(F85,'Curva Mestra'!$A$20:$A$94,0)),0)</f>
        <v/>
      </c>
      <c r="H85" s="128">
        <f>INDEX($B$5:$B$12,MATCH($B85,$A$5:$A$12,0))</f>
        <v/>
      </c>
      <c r="I85" s="128">
        <f>ROUND(G85*H85*K85,0)</f>
        <v/>
      </c>
      <c r="J85" s="153">
        <f>ROUND(G85*H85*K85*INDEX($B$19:$B$21,MATCH("Raro",$A$19:$A$21,0)),0)</f>
        <v/>
      </c>
      <c r="K85" s="115" t="n">
        <v>1</v>
      </c>
      <c r="L85" s="115">
        <f>ROUND(I85*8,0)</f>
        <v/>
      </c>
      <c r="M85" s="115">
        <f>ROUND(J85*10,0)</f>
        <v/>
      </c>
    </row>
    <row r="86" ht="15" customHeight="1" s="116">
      <c r="A86" s="128" t="inlineStr">
        <is>
          <t>Prata</t>
        </is>
      </c>
      <c r="B86" s="135" t="inlineStr">
        <is>
          <t>Elmo</t>
        </is>
      </c>
      <c r="C86" s="128" t="inlineStr">
        <is>
          <t>Elmo do Coveiro</t>
        </is>
      </c>
      <c r="D86" s="128" t="n"/>
      <c r="E86" s="135" t="inlineStr">
        <is>
          <t>Usado por quem passava mais tempo com os mortos do que com os vivos.</t>
        </is>
      </c>
      <c r="F86" s="128">
        <f>INDEX(Tiers!$E$9:$E$22,MATCH($A86,Tiers!$B$9:$B$22,0))</f>
        <v/>
      </c>
      <c r="G86" s="128">
        <f>ROUND(INDEX('Curva Mestra'!$D$20:$D$94,MATCH(F86,'Curva Mestra'!$A$20:$A$94,0)),0)</f>
        <v/>
      </c>
      <c r="H86" s="128">
        <f>INDEX($B$5:$B$12,MATCH($B86,$A$5:$A$12,0))</f>
        <v/>
      </c>
      <c r="I86" s="128">
        <f>ROUND(G86*H86*K86,0)</f>
        <v/>
      </c>
      <c r="J86" s="153">
        <f>ROUND(G86*H86*K86*INDEX($B$19:$B$21,MATCH("Raro",$A$19:$A$21,0)),0)</f>
        <v/>
      </c>
      <c r="K86" s="115" t="n">
        <v>1</v>
      </c>
      <c r="L86" s="115">
        <f>ROUND(I86*8,0)</f>
        <v/>
      </c>
      <c r="M86" s="115">
        <f>ROUND(J86*10,0)</f>
        <v/>
      </c>
    </row>
    <row r="87" ht="15" customHeight="1" s="116">
      <c r="A87" s="128" t="inlineStr">
        <is>
          <t>Prata</t>
        </is>
      </c>
      <c r="B87" s="135" t="inlineStr">
        <is>
          <t>Calca</t>
        </is>
      </c>
      <c r="C87" s="128" t="inlineStr">
        <is>
          <t>Calça de Prata e Couro</t>
        </is>
      </c>
      <c r="D87" s="128" t="n"/>
      <c r="E87" s="135" t="inlineStr">
        <is>
          <t>Reforçada nas juntas — protege sem travar o movimento.</t>
        </is>
      </c>
      <c r="F87" s="128">
        <f>INDEX(Tiers!$E$9:$E$22,MATCH($A87,Tiers!$B$9:$B$22,0))</f>
        <v/>
      </c>
      <c r="G87" s="128">
        <f>ROUND(INDEX('Curva Mestra'!$D$20:$D$94,MATCH(F87,'Curva Mestra'!$A$20:$A$94,0)),0)</f>
        <v/>
      </c>
      <c r="H87" s="128">
        <f>INDEX($B$5:$B$12,MATCH($B87,$A$5:$A$12,0))</f>
        <v/>
      </c>
      <c r="I87" s="128">
        <f>ROUND(G87*H87*K87,0)</f>
        <v/>
      </c>
      <c r="J87" s="153">
        <f>ROUND(G87*H87*K87*INDEX($B$19:$B$21,MATCH("Raro",$A$19:$A$21,0)),0)</f>
        <v/>
      </c>
      <c r="K87" s="115" t="n">
        <v>1</v>
      </c>
      <c r="L87" s="115">
        <f>ROUND(I87*8,0)</f>
        <v/>
      </c>
      <c r="M87" s="115">
        <f>ROUND(J87*10,0)</f>
        <v/>
      </c>
    </row>
    <row r="88" ht="15" customHeight="1" s="116">
      <c r="A88" s="128" t="inlineStr">
        <is>
          <t>Prata</t>
        </is>
      </c>
      <c r="B88" s="135" t="inlineStr">
        <is>
          <t>Calca</t>
        </is>
      </c>
      <c r="C88" s="128" t="inlineStr">
        <is>
          <t>Calça Consagrada</t>
        </is>
      </c>
      <c r="D88" s="128" t="n"/>
      <c r="E88" s="135" t="inlineStr">
        <is>
          <t>Benzida antes de cada patrulha pelas criptas.</t>
        </is>
      </c>
      <c r="F88" s="128">
        <f>INDEX(Tiers!$E$9:$E$22,MATCH($A88,Tiers!$B$9:$B$22,0))</f>
        <v/>
      </c>
      <c r="G88" s="128">
        <f>ROUND(INDEX('Curva Mestra'!$D$20:$D$94,MATCH(F88,'Curva Mestra'!$A$20:$A$94,0)),0)</f>
        <v/>
      </c>
      <c r="H88" s="128">
        <f>INDEX($B$5:$B$12,MATCH($B88,$A$5:$A$12,0))</f>
        <v/>
      </c>
      <c r="I88" s="128">
        <f>ROUND(G88*H88*K88,0)</f>
        <v/>
      </c>
      <c r="J88" s="153">
        <f>ROUND(G88*H88*K88*INDEX($B$19:$B$21,MATCH("Raro",$A$19:$A$21,0)),0)</f>
        <v/>
      </c>
      <c r="K88" s="115" t="n">
        <v>1.05</v>
      </c>
      <c r="L88" s="115">
        <f>ROUND(I88*8,0)</f>
        <v/>
      </c>
      <c r="M88" s="115">
        <f>ROUND(J88*10,0)</f>
        <v/>
      </c>
    </row>
    <row r="89" ht="15" customHeight="1" s="116">
      <c r="A89" s="128" t="inlineStr">
        <is>
          <t>Prata</t>
        </is>
      </c>
      <c r="B89" s="135" t="inlineStr">
        <is>
          <t>Bota</t>
        </is>
      </c>
      <c r="C89" s="128" t="inlineStr">
        <is>
          <t>Bota de Prata</t>
        </is>
      </c>
      <c r="D89" s="128" t="n"/>
      <c r="E89" s="135" t="inlineStr">
        <is>
          <t>Sola reforçada, passos quase silenciosos nas pedras da cripta.</t>
        </is>
      </c>
      <c r="F89" s="128">
        <f>INDEX(Tiers!$E$9:$E$22,MATCH($A89,Tiers!$B$9:$B$22,0))</f>
        <v/>
      </c>
      <c r="G89" s="128">
        <f>ROUND(INDEX('Curva Mestra'!$D$20:$D$94,MATCH(F89,'Curva Mestra'!$A$20:$A$94,0)),0)</f>
        <v/>
      </c>
      <c r="H89" s="128">
        <f>INDEX($B$5:$B$12,MATCH($B89,$A$5:$A$12,0))</f>
        <v/>
      </c>
      <c r="I89" s="128">
        <f>ROUND(G89*H89*K89,0)</f>
        <v/>
      </c>
      <c r="J89" s="153">
        <f>ROUND(G89*H89*K89*INDEX($B$19:$B$21,MATCH("Raro",$A$19:$A$21,0)),0)</f>
        <v/>
      </c>
      <c r="K89" s="115" t="n">
        <v>1</v>
      </c>
      <c r="L89" s="115">
        <f>ROUND(I89*8,0)</f>
        <v/>
      </c>
      <c r="M89" s="115">
        <f>ROUND(J89*10,0)</f>
        <v/>
      </c>
    </row>
    <row r="90" ht="15" customHeight="1" s="116">
      <c r="A90" s="128" t="inlineStr">
        <is>
          <t>Prata</t>
        </is>
      </c>
      <c r="B90" s="135" t="inlineStr">
        <is>
          <t>Bota</t>
        </is>
      </c>
      <c r="C90" s="128" t="inlineStr">
        <is>
          <t>Bota do Guardião</t>
        </is>
      </c>
      <c r="D90" s="128" t="n"/>
      <c r="E90" s="135" t="inlineStr">
        <is>
          <t>Já andou por corredor que ninguém mais visita.</t>
        </is>
      </c>
      <c r="F90" s="128">
        <f>INDEX(Tiers!$E$9:$E$22,MATCH($A90,Tiers!$B$9:$B$22,0))</f>
        <v/>
      </c>
      <c r="G90" s="128">
        <f>ROUND(INDEX('Curva Mestra'!$D$20:$D$94,MATCH(F90,'Curva Mestra'!$A$20:$A$94,0)),0)</f>
        <v/>
      </c>
      <c r="H90" s="128">
        <f>INDEX($B$5:$B$12,MATCH($B90,$A$5:$A$12,0))</f>
        <v/>
      </c>
      <c r="I90" s="128">
        <f>ROUND(G90*H90*K90,0)</f>
        <v/>
      </c>
      <c r="J90" s="153">
        <f>ROUND(G90*H90*K90*INDEX($B$19:$B$21,MATCH("Raro",$A$19:$A$21,0)),0)</f>
        <v/>
      </c>
      <c r="K90" s="115" t="n">
        <v>1</v>
      </c>
      <c r="L90" s="115">
        <f>ROUND(I90*8,0)</f>
        <v/>
      </c>
      <c r="M90" s="115">
        <f>ROUND(J90*10,0)</f>
        <v/>
      </c>
    </row>
    <row r="91" ht="15" customHeight="1" s="116">
      <c r="A91" s="128" t="inlineStr">
        <is>
          <t>Prata</t>
        </is>
      </c>
      <c r="B91" s="135" t="inlineStr">
        <is>
          <t>Luvas</t>
        </is>
      </c>
      <c r="C91" s="128" t="inlineStr">
        <is>
          <t>Luvas de Prata</t>
        </is>
      </c>
      <c r="D91" s="128" t="n"/>
      <c r="E91" s="135" t="inlineStr">
        <is>
          <t>Finas, precisas — feitas pra ritual, não pra briga direta.</t>
        </is>
      </c>
      <c r="F91" s="128">
        <f>INDEX(Tiers!$E$9:$E$22,MATCH($A91,Tiers!$B$9:$B$22,0))</f>
        <v/>
      </c>
      <c r="G91" s="128">
        <f>ROUND(INDEX('Curva Mestra'!$D$20:$D$94,MATCH(F91,'Curva Mestra'!$A$20:$A$94,0)),0)</f>
        <v/>
      </c>
      <c r="H91" s="128">
        <f>INDEX($B$5:$B$12,MATCH($B91,$A$5:$A$12,0))</f>
        <v/>
      </c>
      <c r="I91" s="128">
        <f>ROUND(G91*H91*K91,0)</f>
        <v/>
      </c>
      <c r="J91" s="153">
        <f>ROUND(G91*H91*K91*INDEX($B$19:$B$21,MATCH("Raro",$A$19:$A$21,0)),0)</f>
        <v/>
      </c>
      <c r="K91" s="115" t="n">
        <v>1</v>
      </c>
      <c r="L91" s="115">
        <f>ROUND(I91*8,0)</f>
        <v/>
      </c>
      <c r="M91" s="115">
        <f>ROUND(J91*10,0)</f>
        <v/>
      </c>
    </row>
    <row r="92" ht="15" customHeight="1" s="116">
      <c r="A92" s="128" t="inlineStr">
        <is>
          <t>Prata</t>
        </is>
      </c>
      <c r="B92" s="135" t="inlineStr">
        <is>
          <t>Luvas</t>
        </is>
      </c>
      <c r="C92" s="128" t="inlineStr">
        <is>
          <t>Luvas do Purificador</t>
        </is>
      </c>
      <c r="D92" s="128" t="n"/>
      <c r="E92" s="135" t="inlineStr">
        <is>
          <t>Usadas pra tocar o que ninguém mais quer tocar.</t>
        </is>
      </c>
      <c r="F92" s="128">
        <f>INDEX(Tiers!$E$9:$E$22,MATCH($A92,Tiers!$B$9:$B$22,0))</f>
        <v/>
      </c>
      <c r="G92" s="128">
        <f>ROUND(INDEX('Curva Mestra'!$D$20:$D$94,MATCH(F92,'Curva Mestra'!$A$20:$A$94,0)),0)</f>
        <v/>
      </c>
      <c r="H92" s="128">
        <f>INDEX($B$5:$B$12,MATCH($B92,$A$5:$A$12,0))</f>
        <v/>
      </c>
      <c r="I92" s="128">
        <f>ROUND(G92*H92*K92,0)</f>
        <v/>
      </c>
      <c r="J92" s="153">
        <f>ROUND(G92*H92*K92*INDEX($B$19:$B$21,MATCH("Raro",$A$19:$A$21,0)),0)</f>
        <v/>
      </c>
      <c r="K92" s="115" t="n">
        <v>1</v>
      </c>
      <c r="L92" s="115">
        <f>ROUND(I92*8,0)</f>
        <v/>
      </c>
      <c r="M92" s="115">
        <f>ROUND(J92*10,0)</f>
        <v/>
      </c>
    </row>
    <row r="93" ht="15" customHeight="1" s="116">
      <c r="A93" s="128" t="inlineStr">
        <is>
          <t>Prata</t>
        </is>
      </c>
      <c r="B93" s="135" t="inlineStr">
        <is>
          <t>Amuleto</t>
        </is>
      </c>
      <c r="C93" s="128" t="inlineStr">
        <is>
          <t>Amuleto de Prata</t>
        </is>
      </c>
      <c r="D93" s="128" t="n"/>
      <c r="E93" s="135" t="inlineStr">
        <is>
          <t>Peça simples, prateada — protege mais por costume do que por magia de verdade.</t>
        </is>
      </c>
      <c r="F93" s="128">
        <f>INDEX(Tiers!$E$9:$E$22,MATCH($A93,Tiers!$B$9:$B$22,0))</f>
        <v/>
      </c>
      <c r="G93" s="128">
        <f>ROUND(INDEX('Curva Mestra'!$D$20:$D$94,MATCH(F93,'Curva Mestra'!$A$20:$A$94,0)),0)</f>
        <v/>
      </c>
      <c r="H93" s="128">
        <f>INDEX($B$5:$B$12,MATCH($B93,$A$5:$A$12,0))</f>
        <v/>
      </c>
      <c r="I93" s="128">
        <f>ROUND(G93*H93*K93,0)</f>
        <v/>
      </c>
      <c r="J93" s="153">
        <f>ROUND(G93*H93*K93*INDEX($B$19:$B$21,MATCH("Raro",$A$19:$A$21,0)),0)</f>
        <v/>
      </c>
      <c r="K93" s="115" t="n">
        <v>1</v>
      </c>
      <c r="L93" s="115">
        <f>ROUND(I93*8,0)</f>
        <v/>
      </c>
      <c r="M93" s="115">
        <f>ROUND(J93*10,0)</f>
        <v/>
      </c>
    </row>
    <row r="94" ht="15" customHeight="1" s="116">
      <c r="A94" s="128" t="inlineStr">
        <is>
          <t>Prata</t>
        </is>
      </c>
      <c r="B94" s="135" t="inlineStr">
        <is>
          <t>Amuleto</t>
        </is>
      </c>
      <c r="C94" s="128" t="inlineStr">
        <is>
          <t>Amuleto Consagrado</t>
        </is>
      </c>
      <c r="D94" s="128" t="n"/>
      <c r="E94" s="135" t="inlineStr">
        <is>
          <t>Benzido num altar que ainda funciona, mesmo esquecido.</t>
        </is>
      </c>
      <c r="F94" s="128">
        <f>INDEX(Tiers!$E$9:$E$22,MATCH($A94,Tiers!$B$9:$B$22,0))</f>
        <v/>
      </c>
      <c r="G94" s="128">
        <f>ROUND(INDEX('Curva Mestra'!$D$20:$D$94,MATCH(F94,'Curva Mestra'!$A$20:$A$94,0)),0)</f>
        <v/>
      </c>
      <c r="H94" s="128">
        <f>INDEX($B$5:$B$12,MATCH($B94,$A$5:$A$12,0))</f>
        <v/>
      </c>
      <c r="I94" s="128">
        <f>ROUND(G94*H94*K94,0)</f>
        <v/>
      </c>
      <c r="J94" s="153">
        <f>ROUND(G94*H94*K94*INDEX($B$19:$B$21,MATCH("Raro",$A$19:$A$21,0)),0)</f>
        <v/>
      </c>
      <c r="K94" s="115" t="n">
        <v>1.05</v>
      </c>
      <c r="L94" s="115">
        <f>ROUND(I94*8,0)</f>
        <v/>
      </c>
      <c r="M94" s="115">
        <f>ROUND(J94*10,0)</f>
        <v/>
      </c>
    </row>
    <row r="95" ht="15" customHeight="1" s="116">
      <c r="A95" s="128" t="inlineStr">
        <is>
          <t>Prata</t>
        </is>
      </c>
      <c r="B95" s="135" t="inlineStr">
        <is>
          <t>Anel</t>
        </is>
      </c>
      <c r="C95" s="128" t="inlineStr">
        <is>
          <t>Anel de Prata</t>
        </is>
      </c>
      <c r="D95" s="128" t="n"/>
      <c r="E95" s="135" t="inlineStr">
        <is>
          <t>Sem gema, sem enfeite — só prata pura, na medida certa.</t>
        </is>
      </c>
      <c r="F95" s="128">
        <f>INDEX(Tiers!$E$9:$E$22,MATCH($A95,Tiers!$B$9:$B$22,0))</f>
        <v/>
      </c>
      <c r="G95" s="128">
        <f>ROUND(INDEX('Curva Mestra'!$D$20:$D$94,MATCH(F95,'Curva Mestra'!$A$20:$A$94,0)),0)</f>
        <v/>
      </c>
      <c r="H95" s="128">
        <f>INDEX($B$5:$B$12,MATCH($B95,$A$5:$A$12,0))</f>
        <v/>
      </c>
      <c r="I95" s="128">
        <f>ROUND(G95*H95*K95,0)</f>
        <v/>
      </c>
      <c r="J95" s="153">
        <f>ROUND(G95*H95*K95*INDEX($B$19:$B$21,MATCH("Raro",$A$19:$A$21,0)),0)</f>
        <v/>
      </c>
      <c r="K95" s="115" t="n">
        <v>1</v>
      </c>
      <c r="L95" s="115">
        <f>ROUND(I95*8,0)</f>
        <v/>
      </c>
      <c r="M95" s="115">
        <f>ROUND(J95*10,0)</f>
        <v/>
      </c>
    </row>
    <row r="96" ht="15" customHeight="1" s="116">
      <c r="A96" s="128" t="inlineStr">
        <is>
          <t>Prata</t>
        </is>
      </c>
      <c r="B96" s="135" t="inlineStr">
        <is>
          <t>Anel</t>
        </is>
      </c>
      <c r="C96" s="128" t="inlineStr">
        <is>
          <t>Anel do Voto Quebrado</t>
        </is>
      </c>
      <c r="D96" s="128" t="n"/>
      <c r="E96" s="135" t="inlineStr">
        <is>
          <t>Pertencia a alguém da Fraternidade que decidiu voltar a falar.</t>
        </is>
      </c>
      <c r="F96" s="128">
        <f>INDEX(Tiers!$E$9:$E$22,MATCH($A96,Tiers!$B$9:$B$22,0))</f>
        <v/>
      </c>
      <c r="G96" s="128">
        <f>ROUND(INDEX('Curva Mestra'!$D$20:$D$94,MATCH(F96,'Curva Mestra'!$A$20:$A$94,0)),0)</f>
        <v/>
      </c>
      <c r="H96" s="128">
        <f>INDEX($B$5:$B$12,MATCH($B96,$A$5:$A$12,0))</f>
        <v/>
      </c>
      <c r="I96" s="128">
        <f>ROUND(G96*H96*K96,0)</f>
        <v/>
      </c>
      <c r="J96" s="153">
        <f>ROUND(G96*H96*K96*INDEX($B$19:$B$21,MATCH("Raro",$A$19:$A$21,0)),0)</f>
        <v/>
      </c>
      <c r="K96" s="115" t="n">
        <v>1</v>
      </c>
      <c r="L96" s="115">
        <f>ROUND(I96*8,0)</f>
        <v/>
      </c>
      <c r="M96" s="115">
        <f>ROUND(J96*10,0)</f>
        <v/>
      </c>
    </row>
    <row r="97" ht="15" customHeight="1" s="116">
      <c r="A97" s="128" t="inlineStr">
        <is>
          <t>Aco Elfico</t>
        </is>
      </c>
      <c r="B97" s="135" t="inlineStr">
        <is>
          <t>Peitoral</t>
        </is>
      </c>
      <c r="C97" s="128" t="inlineStr">
        <is>
          <t>Peitoral de Aço Élfico</t>
        </is>
      </c>
      <c r="D97" s="128" t="n"/>
      <c r="E97" s="135" t="inlineStr">
        <is>
          <t>Leve como seda e resistente a perfurações de flechas arcanas.</t>
        </is>
      </c>
      <c r="F97" s="128">
        <f>INDEX(Tiers!$E$9:$E$22,MATCH($A97,Tiers!$B$9:$B$22,0))</f>
        <v/>
      </c>
      <c r="G97" s="128">
        <f>ROUND(INDEX('Curva Mestra'!$D$20:$D$94,MATCH(F97,'Curva Mestra'!$A$20:$A$94,0)),0)</f>
        <v/>
      </c>
      <c r="H97" s="128">
        <f>INDEX($B$5:$B$12,MATCH($B97,$A$5:$A$12,0))</f>
        <v/>
      </c>
      <c r="I97" s="128">
        <f>ROUND(G97*H97*K97,0)</f>
        <v/>
      </c>
      <c r="J97" s="153">
        <f>ROUND(G97*H97*K97*INDEX($B$19:$B$21,MATCH("Raro",$A$19:$A$21,0)),0)</f>
        <v/>
      </c>
      <c r="K97" s="115" t="n">
        <v>1</v>
      </c>
      <c r="L97" s="115">
        <f>ROUND(I97*8,0)</f>
        <v/>
      </c>
      <c r="M97" s="115">
        <f>ROUND(J97*10,0)</f>
        <v/>
      </c>
    </row>
    <row r="98" ht="15" customHeight="1" s="116">
      <c r="A98" s="128" t="inlineStr">
        <is>
          <t>Aco Elfico</t>
        </is>
      </c>
      <c r="B98" s="135" t="inlineStr">
        <is>
          <t>Peitoral</t>
        </is>
      </c>
      <c r="C98" s="128" t="inlineStr">
        <is>
          <t>Peitoral da Vigília</t>
        </is>
      </c>
      <c r="D98" s="128" t="n"/>
      <c r="E98" s="135" t="inlineStr">
        <is>
          <t>Usado pelas sentinelas que protegem o que restou da floresta sagrada.</t>
        </is>
      </c>
      <c r="F98" s="128">
        <f>INDEX(Tiers!$E$9:$E$22,MATCH($A98,Tiers!$B$9:$B$22,0))</f>
        <v/>
      </c>
      <c r="G98" s="128">
        <f>ROUND(INDEX('Curva Mestra'!$D$20:$D$94,MATCH(F98,'Curva Mestra'!$A$20:$A$94,0)),0)</f>
        <v/>
      </c>
      <c r="H98" s="128">
        <f>INDEX($B$5:$B$12,MATCH($B98,$A$5:$A$12,0))</f>
        <v/>
      </c>
      <c r="I98" s="128">
        <f>ROUND(G98*H98*K98,0)</f>
        <v/>
      </c>
      <c r="J98" s="153">
        <f>ROUND(G98*H98*K98*INDEX($B$19:$B$21,MATCH("Raro",$A$19:$A$21,0)),0)</f>
        <v/>
      </c>
      <c r="K98" s="115" t="n">
        <v>1</v>
      </c>
      <c r="L98" s="115">
        <f>ROUND(I98*8,0)</f>
        <v/>
      </c>
      <c r="M98" s="115">
        <f>ROUND(J98*10,0)</f>
        <v/>
      </c>
    </row>
    <row r="99" ht="15" customHeight="1" s="116">
      <c r="A99" s="128" t="inlineStr">
        <is>
          <t>Aco Elfico</t>
        </is>
      </c>
      <c r="B99" s="135" t="inlineStr">
        <is>
          <t>Peitoral</t>
        </is>
      </c>
      <c r="C99" s="128" t="inlineStr">
        <is>
          <t>Peitoral Ressonante</t>
        </is>
      </c>
      <c r="D99" s="128" t="n"/>
      <c r="E99" s="135" t="inlineStr">
        <is>
          <t>Vibra fraco perto de magia ativa, como um aviso silencioso.</t>
        </is>
      </c>
      <c r="F99" s="128">
        <f>INDEX(Tiers!$E$9:$E$22,MATCH($A99,Tiers!$B$9:$B$22,0))</f>
        <v/>
      </c>
      <c r="G99" s="128">
        <f>ROUND(INDEX('Curva Mestra'!$D$20:$D$94,MATCH(F99,'Curva Mestra'!$A$20:$A$94,0)),0)</f>
        <v/>
      </c>
      <c r="H99" s="128">
        <f>INDEX($B$5:$B$12,MATCH($B99,$A$5:$A$12,0))</f>
        <v/>
      </c>
      <c r="I99" s="128">
        <f>ROUND(G99*H99*K99,0)</f>
        <v/>
      </c>
      <c r="J99" s="153">
        <f>ROUND(G99*H99*K99*INDEX($B$19:$B$21,MATCH("Raro",$A$19:$A$21,0)),0)</f>
        <v/>
      </c>
      <c r="K99" s="115" t="n">
        <v>1</v>
      </c>
      <c r="L99" s="115">
        <f>ROUND(I99*8,0)</f>
        <v/>
      </c>
      <c r="M99" s="115">
        <f>ROUND(J99*10,0)</f>
        <v/>
      </c>
    </row>
    <row r="100" ht="15" customHeight="1" s="116">
      <c r="A100" s="128" t="inlineStr">
        <is>
          <t>Aco Elfico</t>
        </is>
      </c>
      <c r="B100" s="135" t="inlineStr">
        <is>
          <t>Escudo</t>
        </is>
      </c>
      <c r="C100" s="128" t="inlineStr">
        <is>
          <t>Escudo de Aço Élfico</t>
        </is>
      </c>
      <c r="D100" s="128" t="n"/>
      <c r="E100" s="135" t="inlineStr">
        <is>
          <t>Leve o bastante pra não atrapalhar o arco, forte o bastante pra bloquear flecha.</t>
        </is>
      </c>
      <c r="F100" s="128">
        <f>INDEX(Tiers!$E$9:$E$22,MATCH($A100,Tiers!$B$9:$B$22,0))</f>
        <v/>
      </c>
      <c r="G100" s="128">
        <f>ROUND(INDEX('Curva Mestra'!$D$20:$D$94,MATCH(F100,'Curva Mestra'!$A$20:$A$94,0)),0)</f>
        <v/>
      </c>
      <c r="H100" s="128">
        <f>INDEX($B$5:$B$12,MATCH($B100,$A$5:$A$12,0))</f>
        <v/>
      </c>
      <c r="I100" s="128">
        <f>ROUND(G100*H100*K100,0)</f>
        <v/>
      </c>
      <c r="J100" s="153">
        <f>ROUND(G100*H100*K100*INDEX($B$19:$B$21,MATCH("Raro",$A$19:$A$21,0)),0)</f>
        <v/>
      </c>
      <c r="K100" s="115" t="n">
        <v>1</v>
      </c>
      <c r="L100" s="115">
        <f>ROUND(I100*8,0)</f>
        <v/>
      </c>
      <c r="M100" s="115">
        <f>ROUND(J100*10,0)</f>
        <v/>
      </c>
    </row>
    <row r="101" ht="15" customHeight="1" s="116">
      <c r="A101" s="128" t="inlineStr">
        <is>
          <t>Aco Elfico</t>
        </is>
      </c>
      <c r="B101" s="135" t="inlineStr">
        <is>
          <t>Escudo</t>
        </is>
      </c>
      <c r="C101" s="128" t="inlineStr">
        <is>
          <t>Escudo Gravado com Runas Élficas</t>
        </is>
      </c>
      <c r="D101" s="128" t="n"/>
      <c r="E101" s="135" t="inlineStr">
        <is>
          <t>As runas não fazem nada sozinhas. Juntas ao escudo, ajudam.</t>
        </is>
      </c>
      <c r="F101" s="128">
        <f>INDEX(Tiers!$E$9:$E$22,MATCH($A101,Tiers!$B$9:$B$22,0))</f>
        <v/>
      </c>
      <c r="G101" s="128">
        <f>ROUND(INDEX('Curva Mestra'!$D$20:$D$94,MATCH(F101,'Curva Mestra'!$A$20:$A$94,0)),0)</f>
        <v/>
      </c>
      <c r="H101" s="128">
        <f>INDEX($B$5:$B$12,MATCH($B101,$A$5:$A$12,0))</f>
        <v/>
      </c>
      <c r="I101" s="128">
        <f>ROUND(G101*H101*K101,0)</f>
        <v/>
      </c>
      <c r="J101" s="153">
        <f>ROUND(G101*H101*K101*INDEX($B$19:$B$21,MATCH("Raro",$A$19:$A$21,0)),0)</f>
        <v/>
      </c>
      <c r="K101" s="115" t="n">
        <v>1</v>
      </c>
      <c r="L101" s="115">
        <f>ROUND(I101*8,0)</f>
        <v/>
      </c>
      <c r="M101" s="115">
        <f>ROUND(J101*10,0)</f>
        <v/>
      </c>
    </row>
    <row r="102" ht="15" customHeight="1" s="116">
      <c r="A102" s="128" t="inlineStr">
        <is>
          <t>Aco Elfico</t>
        </is>
      </c>
      <c r="B102" s="135" t="inlineStr">
        <is>
          <t>Escudo</t>
        </is>
      </c>
      <c r="C102" s="128" t="inlineStr">
        <is>
          <t>Escudo da Sentinela Perdida</t>
        </is>
      </c>
      <c r="D102" s="128" t="n"/>
      <c r="E102" s="135" t="inlineStr">
        <is>
          <t>Pertencia a quem vigiava a fronteira do bosque sagrado.</t>
        </is>
      </c>
      <c r="F102" s="128">
        <f>INDEX(Tiers!$E$9:$E$22,MATCH($A102,Tiers!$B$9:$B$22,0))</f>
        <v/>
      </c>
      <c r="G102" s="128">
        <f>ROUND(INDEX('Curva Mestra'!$D$20:$D$94,MATCH(F102,'Curva Mestra'!$A$20:$A$94,0)),0)</f>
        <v/>
      </c>
      <c r="H102" s="128">
        <f>INDEX($B$5:$B$12,MATCH($B102,$A$5:$A$12,0))</f>
        <v/>
      </c>
      <c r="I102" s="128">
        <f>ROUND(G102*H102*K102,0)</f>
        <v/>
      </c>
      <c r="J102" s="153">
        <f>ROUND(G102*H102*K102*INDEX($B$19:$B$21,MATCH("Raro",$A$19:$A$21,0)),0)</f>
        <v/>
      </c>
      <c r="K102" s="115" t="n">
        <v>1</v>
      </c>
      <c r="L102" s="115">
        <f>ROUND(I102*8,0)</f>
        <v/>
      </c>
      <c r="M102" s="115">
        <f>ROUND(J102*10,0)</f>
        <v/>
      </c>
    </row>
    <row r="103" ht="15" customHeight="1" s="116">
      <c r="A103" s="128" t="inlineStr">
        <is>
          <t>Aco Elfico</t>
        </is>
      </c>
      <c r="B103" s="135" t="inlineStr">
        <is>
          <t>Elmo</t>
        </is>
      </c>
      <c r="C103" s="128" t="inlineStr">
        <is>
          <t>Elmo de Aço Élfico</t>
        </is>
      </c>
      <c r="D103" s="128" t="n"/>
      <c r="E103" s="135" t="inlineStr">
        <is>
          <t>Fino, quase sem peso — feito pra não atrapalhar a visão periférica.</t>
        </is>
      </c>
      <c r="F103" s="128">
        <f>INDEX(Tiers!$E$9:$E$22,MATCH($A103,Tiers!$B$9:$B$22,0))</f>
        <v/>
      </c>
      <c r="G103" s="128">
        <f>ROUND(INDEX('Curva Mestra'!$D$20:$D$94,MATCH(F103,'Curva Mestra'!$A$20:$A$94,0)),0)</f>
        <v/>
      </c>
      <c r="H103" s="128">
        <f>INDEX($B$5:$B$12,MATCH($B103,$A$5:$A$12,0))</f>
        <v/>
      </c>
      <c r="I103" s="128">
        <f>ROUND(G103*H103*K103,0)</f>
        <v/>
      </c>
      <c r="J103" s="153">
        <f>ROUND(G103*H103*K103*INDEX($B$19:$B$21,MATCH("Raro",$A$19:$A$21,0)),0)</f>
        <v/>
      </c>
      <c r="K103" s="115" t="n">
        <v>1</v>
      </c>
      <c r="L103" s="115">
        <f>ROUND(I103*8,0)</f>
        <v/>
      </c>
      <c r="M103" s="115">
        <f>ROUND(J103*10,0)</f>
        <v/>
      </c>
    </row>
    <row r="104" ht="15" customHeight="1" s="116">
      <c r="A104" s="128" t="inlineStr">
        <is>
          <t>Aco Elfico</t>
        </is>
      </c>
      <c r="B104" s="135" t="inlineStr">
        <is>
          <t>Elmo</t>
        </is>
      </c>
      <c r="C104" s="128" t="inlineStr">
        <is>
          <t>Elmo da Vigília</t>
        </is>
      </c>
      <c r="D104" s="128" t="n"/>
      <c r="E104" s="135" t="inlineStr">
        <is>
          <t>Usado nas rondas noturnas pela borda do bosque.</t>
        </is>
      </c>
      <c r="F104" s="128">
        <f>INDEX(Tiers!$E$9:$E$22,MATCH($A104,Tiers!$B$9:$B$22,0))</f>
        <v/>
      </c>
      <c r="G104" s="128">
        <f>ROUND(INDEX('Curva Mestra'!$D$20:$D$94,MATCH(F104,'Curva Mestra'!$A$20:$A$94,0)),0)</f>
        <v/>
      </c>
      <c r="H104" s="128">
        <f>INDEX($B$5:$B$12,MATCH($B104,$A$5:$A$12,0))</f>
        <v/>
      </c>
      <c r="I104" s="128">
        <f>ROUND(G104*H104*K104,0)</f>
        <v/>
      </c>
      <c r="J104" s="153">
        <f>ROUND(G104*H104*K104*INDEX($B$19:$B$21,MATCH("Raro",$A$19:$A$21,0)),0)</f>
        <v/>
      </c>
      <c r="K104" s="115" t="n">
        <v>1</v>
      </c>
      <c r="L104" s="115">
        <f>ROUND(I104*8,0)</f>
        <v/>
      </c>
      <c r="M104" s="115">
        <f>ROUND(J104*10,0)</f>
        <v/>
      </c>
    </row>
    <row r="105" ht="15" customHeight="1" s="116">
      <c r="A105" s="128" t="inlineStr">
        <is>
          <t>Aco Elfico</t>
        </is>
      </c>
      <c r="B105" s="135" t="inlineStr">
        <is>
          <t>Calca</t>
        </is>
      </c>
      <c r="C105" s="128" t="inlineStr">
        <is>
          <t>Calça de Aço Élfico</t>
        </is>
      </c>
      <c r="D105" s="128" t="n"/>
      <c r="E105" s="135" t="inlineStr">
        <is>
          <t>Leve, flexível — feita pra quem precisa correr tanto quanto lutar.</t>
        </is>
      </c>
      <c r="F105" s="128">
        <f>INDEX(Tiers!$E$9:$E$22,MATCH($A105,Tiers!$B$9:$B$22,0))</f>
        <v/>
      </c>
      <c r="G105" s="128">
        <f>ROUND(INDEX('Curva Mestra'!$D$20:$D$94,MATCH(F105,'Curva Mestra'!$A$20:$A$94,0)),0)</f>
        <v/>
      </c>
      <c r="H105" s="128">
        <f>INDEX($B$5:$B$12,MATCH($B105,$A$5:$A$12,0))</f>
        <v/>
      </c>
      <c r="I105" s="128">
        <f>ROUND(G105*H105*K105,0)</f>
        <v/>
      </c>
      <c r="J105" s="153">
        <f>ROUND(G105*H105*K105*INDEX($B$19:$B$21,MATCH("Raro",$A$19:$A$21,0)),0)</f>
        <v/>
      </c>
      <c r="K105" s="115" t="n">
        <v>1</v>
      </c>
      <c r="L105" s="115">
        <f>ROUND(I105*8,0)</f>
        <v/>
      </c>
      <c r="M105" s="115">
        <f>ROUND(J105*10,0)</f>
        <v/>
      </c>
    </row>
    <row r="106" ht="15" customHeight="1" s="116">
      <c r="A106" s="128" t="inlineStr">
        <is>
          <t>Aco Elfico</t>
        </is>
      </c>
      <c r="B106" s="135" t="inlineStr">
        <is>
          <t>Calca</t>
        </is>
      </c>
      <c r="C106" s="128" t="inlineStr">
        <is>
          <t>Calça da Guarda Florestal</t>
        </is>
      </c>
      <c r="D106" s="128" t="n"/>
      <c r="E106" s="135" t="inlineStr">
        <is>
          <t>Reforçada só onde precisa, pra não pesar onde não precisa.</t>
        </is>
      </c>
      <c r="F106" s="128">
        <f>INDEX(Tiers!$E$9:$E$22,MATCH($A106,Tiers!$B$9:$B$22,0))</f>
        <v/>
      </c>
      <c r="G106" s="128">
        <f>ROUND(INDEX('Curva Mestra'!$D$20:$D$94,MATCH(F106,'Curva Mestra'!$A$20:$A$94,0)),0)</f>
        <v/>
      </c>
      <c r="H106" s="128">
        <f>INDEX($B$5:$B$12,MATCH($B106,$A$5:$A$12,0))</f>
        <v/>
      </c>
      <c r="I106" s="128">
        <f>ROUND(G106*H106*K106,0)</f>
        <v/>
      </c>
      <c r="J106" s="153">
        <f>ROUND(G106*H106*K106*INDEX($B$19:$B$21,MATCH("Raro",$A$19:$A$21,0)),0)</f>
        <v/>
      </c>
      <c r="K106" s="115" t="n">
        <v>1</v>
      </c>
      <c r="L106" s="115">
        <f>ROUND(I106*8,0)</f>
        <v/>
      </c>
      <c r="M106" s="115">
        <f>ROUND(J106*10,0)</f>
        <v/>
      </c>
    </row>
    <row r="107" ht="15" customHeight="1" s="116">
      <c r="A107" s="128" t="inlineStr">
        <is>
          <t>Aco Elfico</t>
        </is>
      </c>
      <c r="B107" s="135" t="inlineStr">
        <is>
          <t>Bota</t>
        </is>
      </c>
      <c r="C107" s="128" t="inlineStr">
        <is>
          <t>Bota de Aço Élfico</t>
        </is>
      </c>
      <c r="D107" s="128" t="n"/>
      <c r="E107" s="135" t="inlineStr">
        <is>
          <t>Sola fina, quase silenciosa sobre folhas secas.</t>
        </is>
      </c>
      <c r="F107" s="128">
        <f>INDEX(Tiers!$E$9:$E$22,MATCH($A107,Tiers!$B$9:$B$22,0))</f>
        <v/>
      </c>
      <c r="G107" s="128">
        <f>ROUND(INDEX('Curva Mestra'!$D$20:$D$94,MATCH(F107,'Curva Mestra'!$A$20:$A$94,0)),0)</f>
        <v/>
      </c>
      <c r="H107" s="128">
        <f>INDEX($B$5:$B$12,MATCH($B107,$A$5:$A$12,0))</f>
        <v/>
      </c>
      <c r="I107" s="128">
        <f>ROUND(G107*H107*K107,0)</f>
        <v/>
      </c>
      <c r="J107" s="153">
        <f>ROUND(G107*H107*K107*INDEX($B$19:$B$21,MATCH("Raro",$A$19:$A$21,0)),0)</f>
        <v/>
      </c>
      <c r="K107" s="115" t="n">
        <v>1</v>
      </c>
      <c r="L107" s="115">
        <f>ROUND(I107*8,0)</f>
        <v/>
      </c>
      <c r="M107" s="115">
        <f>ROUND(J107*10,0)</f>
        <v/>
      </c>
    </row>
    <row r="108" ht="15" customHeight="1" s="116">
      <c r="A108" s="128" t="inlineStr">
        <is>
          <t>Aco Elfico</t>
        </is>
      </c>
      <c r="B108" s="135" t="inlineStr">
        <is>
          <t>Bota</t>
        </is>
      </c>
      <c r="C108" s="128" t="inlineStr">
        <is>
          <t>Bota da Vigília</t>
        </is>
      </c>
      <c r="D108" s="128" t="n"/>
      <c r="E108" s="135" t="inlineStr">
        <is>
          <t>Já andou por trilha que não existe em mapa nenhum.</t>
        </is>
      </c>
      <c r="F108" s="128">
        <f>INDEX(Tiers!$E$9:$E$22,MATCH($A108,Tiers!$B$9:$B$22,0))</f>
        <v/>
      </c>
      <c r="G108" s="128">
        <f>ROUND(INDEX('Curva Mestra'!$D$20:$D$94,MATCH(F108,'Curva Mestra'!$A$20:$A$94,0)),0)</f>
        <v/>
      </c>
      <c r="H108" s="128">
        <f>INDEX($B$5:$B$12,MATCH($B108,$A$5:$A$12,0))</f>
        <v/>
      </c>
      <c r="I108" s="128">
        <f>ROUND(G108*H108*K108,0)</f>
        <v/>
      </c>
      <c r="J108" s="153">
        <f>ROUND(G108*H108*K108*INDEX($B$19:$B$21,MATCH("Raro",$A$19:$A$21,0)),0)</f>
        <v/>
      </c>
      <c r="K108" s="115" t="n">
        <v>1</v>
      </c>
      <c r="L108" s="115">
        <f>ROUND(I108*8,0)</f>
        <v/>
      </c>
      <c r="M108" s="115">
        <f>ROUND(J108*10,0)</f>
        <v/>
      </c>
    </row>
    <row r="109" ht="15" customHeight="1" s="116">
      <c r="A109" s="128" t="inlineStr">
        <is>
          <t>Aco Elfico</t>
        </is>
      </c>
      <c r="B109" s="135" t="inlineStr">
        <is>
          <t>Luvas</t>
        </is>
      </c>
      <c r="C109" s="128" t="inlineStr">
        <is>
          <t>Luvas de Aço Élfico</t>
        </is>
      </c>
      <c r="D109" s="128" t="n"/>
      <c r="E109" s="135" t="inlineStr">
        <is>
          <t>Finas o bastante pra sentir a corda do arco perfeitamente.</t>
        </is>
      </c>
      <c r="F109" s="128">
        <f>INDEX(Tiers!$E$9:$E$22,MATCH($A109,Tiers!$B$9:$B$22,0))</f>
        <v/>
      </c>
      <c r="G109" s="128">
        <f>ROUND(INDEX('Curva Mestra'!$D$20:$D$94,MATCH(F109,'Curva Mestra'!$A$20:$A$94,0)),0)</f>
        <v/>
      </c>
      <c r="H109" s="128">
        <f>INDEX($B$5:$B$12,MATCH($B109,$A$5:$A$12,0))</f>
        <v/>
      </c>
      <c r="I109" s="128">
        <f>ROUND(G109*H109*K109,0)</f>
        <v/>
      </c>
      <c r="J109" s="153">
        <f>ROUND(G109*H109*K109*INDEX($B$19:$B$21,MATCH("Raro",$A$19:$A$21,0)),0)</f>
        <v/>
      </c>
      <c r="K109" s="115" t="n">
        <v>1</v>
      </c>
      <c r="L109" s="115">
        <f>ROUND(I109*8,0)</f>
        <v/>
      </c>
      <c r="M109" s="115">
        <f>ROUND(J109*10,0)</f>
        <v/>
      </c>
    </row>
    <row r="110" ht="15" customHeight="1" s="116">
      <c r="A110" s="128" t="inlineStr">
        <is>
          <t>Aco Elfico</t>
        </is>
      </c>
      <c r="B110" s="135" t="inlineStr">
        <is>
          <t>Luvas</t>
        </is>
      </c>
      <c r="C110" s="128" t="inlineStr">
        <is>
          <t>Luvas Ressonantes</t>
        </is>
      </c>
      <c r="D110" s="128" t="n"/>
      <c r="E110" s="135" t="inlineStr">
        <is>
          <t>Vibram de leve quando perto de magia élfica ativa.</t>
        </is>
      </c>
      <c r="F110" s="128">
        <f>INDEX(Tiers!$E$9:$E$22,MATCH($A110,Tiers!$B$9:$B$22,0))</f>
        <v/>
      </c>
      <c r="G110" s="128">
        <f>ROUND(INDEX('Curva Mestra'!$D$20:$D$94,MATCH(F110,'Curva Mestra'!$A$20:$A$94,0)),0)</f>
        <v/>
      </c>
      <c r="H110" s="128">
        <f>INDEX($B$5:$B$12,MATCH($B110,$A$5:$A$12,0))</f>
        <v/>
      </c>
      <c r="I110" s="128">
        <f>ROUND(G110*H110*K110,0)</f>
        <v/>
      </c>
      <c r="J110" s="153">
        <f>ROUND(G110*H110*K110*INDEX($B$19:$B$21,MATCH("Raro",$A$19:$A$21,0)),0)</f>
        <v/>
      </c>
      <c r="K110" s="115" t="n">
        <v>1</v>
      </c>
      <c r="L110" s="115">
        <f>ROUND(I110*8,0)</f>
        <v/>
      </c>
      <c r="M110" s="115">
        <f>ROUND(J110*10,0)</f>
        <v/>
      </c>
    </row>
    <row r="111" ht="15" customHeight="1" s="116">
      <c r="A111" s="128" t="inlineStr">
        <is>
          <t>Aco Elfico</t>
        </is>
      </c>
      <c r="B111" s="135" t="inlineStr">
        <is>
          <t>Amuleto</t>
        </is>
      </c>
      <c r="C111" s="128" t="inlineStr">
        <is>
          <t>Amuleto de Aço Élfico</t>
        </is>
      </c>
      <c r="D111" s="128" t="n"/>
      <c r="E111" s="135" t="inlineStr">
        <is>
          <t>Peça simples, gravada com um símbolo que já foi mais claro.</t>
        </is>
      </c>
      <c r="F111" s="128">
        <f>INDEX(Tiers!$E$9:$E$22,MATCH($A111,Tiers!$B$9:$B$22,0))</f>
        <v/>
      </c>
      <c r="G111" s="128">
        <f>ROUND(INDEX('Curva Mestra'!$D$20:$D$94,MATCH(F111,'Curva Mestra'!$A$20:$A$94,0)),0)</f>
        <v/>
      </c>
      <c r="H111" s="128">
        <f>INDEX($B$5:$B$12,MATCH($B111,$A$5:$A$12,0))</f>
        <v/>
      </c>
      <c r="I111" s="128">
        <f>ROUND(G111*H111*K111,0)</f>
        <v/>
      </c>
      <c r="J111" s="153">
        <f>ROUND(G111*H111*K111*INDEX($B$19:$B$21,MATCH("Raro",$A$19:$A$21,0)),0)</f>
        <v/>
      </c>
      <c r="K111" s="115" t="n">
        <v>1</v>
      </c>
      <c r="L111" s="115">
        <f>ROUND(I111*8,0)</f>
        <v/>
      </c>
      <c r="M111" s="115">
        <f>ROUND(J111*10,0)</f>
        <v/>
      </c>
    </row>
    <row r="112" ht="15" customHeight="1" s="116">
      <c r="A112" s="128" t="inlineStr">
        <is>
          <t>Aco Elfico</t>
        </is>
      </c>
      <c r="B112" s="135" t="inlineStr">
        <is>
          <t>Amuleto</t>
        </is>
      </c>
      <c r="C112" s="128" t="inlineStr">
        <is>
          <t>Amuleto dos Ecos</t>
        </is>
      </c>
      <c r="D112" s="128" t="n"/>
      <c r="E112" s="135" t="inlineStr">
        <is>
          <t>Ressoa fraco, quase inaudível, perto de qualquer som antigo.</t>
        </is>
      </c>
      <c r="F112" s="128">
        <f>INDEX(Tiers!$E$9:$E$22,MATCH($A112,Tiers!$B$9:$B$22,0))</f>
        <v/>
      </c>
      <c r="G112" s="128">
        <f>ROUND(INDEX('Curva Mestra'!$D$20:$D$94,MATCH(F112,'Curva Mestra'!$A$20:$A$94,0)),0)</f>
        <v/>
      </c>
      <c r="H112" s="128">
        <f>INDEX($B$5:$B$12,MATCH($B112,$A$5:$A$12,0))</f>
        <v/>
      </c>
      <c r="I112" s="128">
        <f>ROUND(G112*H112*K112,0)</f>
        <v/>
      </c>
      <c r="J112" s="153">
        <f>ROUND(G112*H112*K112*INDEX($B$19:$B$21,MATCH("Raro",$A$19:$A$21,0)),0)</f>
        <v/>
      </c>
      <c r="K112" s="115" t="n">
        <v>1</v>
      </c>
      <c r="L112" s="115">
        <f>ROUND(I112*8,0)</f>
        <v/>
      </c>
      <c r="M112" s="115">
        <f>ROUND(J112*10,0)</f>
        <v/>
      </c>
    </row>
    <row r="113" ht="15" customHeight="1" s="116">
      <c r="A113" s="128" t="inlineStr">
        <is>
          <t>Aco Elfico</t>
        </is>
      </c>
      <c r="B113" s="135" t="inlineStr">
        <is>
          <t>Anel</t>
        </is>
      </c>
      <c r="C113" s="128" t="inlineStr">
        <is>
          <t>Anel de Aço Élfico</t>
        </is>
      </c>
      <c r="D113" s="128" t="n"/>
      <c r="E113" s="135" t="inlineStr">
        <is>
          <t>Fino, elegante, sem gema — elfos preferem sutileza a ostentação.</t>
        </is>
      </c>
      <c r="F113" s="128">
        <f>INDEX(Tiers!$E$9:$E$22,MATCH($A113,Tiers!$B$9:$B$22,0))</f>
        <v/>
      </c>
      <c r="G113" s="128">
        <f>ROUND(INDEX('Curva Mestra'!$D$20:$D$94,MATCH(F113,'Curva Mestra'!$A$20:$A$94,0)),0)</f>
        <v/>
      </c>
      <c r="H113" s="128">
        <f>INDEX($B$5:$B$12,MATCH($B113,$A$5:$A$12,0))</f>
        <v/>
      </c>
      <c r="I113" s="128">
        <f>ROUND(G113*H113*K113,0)</f>
        <v/>
      </c>
      <c r="J113" s="153">
        <f>ROUND(G113*H113*K113*INDEX($B$19:$B$21,MATCH("Raro",$A$19:$A$21,0)),0)</f>
        <v/>
      </c>
      <c r="K113" s="115" t="n">
        <v>1</v>
      </c>
      <c r="L113" s="115">
        <f>ROUND(I113*8,0)</f>
        <v/>
      </c>
      <c r="M113" s="115">
        <f>ROUND(J113*10,0)</f>
        <v/>
      </c>
    </row>
    <row r="114" ht="15" customHeight="1" s="116">
      <c r="A114" s="128" t="inlineStr">
        <is>
          <t>Aco Elfico</t>
        </is>
      </c>
      <c r="B114" s="135" t="inlineStr">
        <is>
          <t>Anel</t>
        </is>
      </c>
      <c r="C114" s="128" t="inlineStr">
        <is>
          <t>Anel da Vigília</t>
        </is>
      </c>
      <c r="D114" s="128" t="n"/>
      <c r="E114" s="135" t="inlineStr">
        <is>
          <t>Usado por quem jurou proteger o bosque, geração após geração.</t>
        </is>
      </c>
      <c r="F114" s="128">
        <f>INDEX(Tiers!$E$9:$E$22,MATCH($A114,Tiers!$B$9:$B$22,0))</f>
        <v/>
      </c>
      <c r="G114" s="128">
        <f>ROUND(INDEX('Curva Mestra'!$D$20:$D$94,MATCH(F114,'Curva Mestra'!$A$20:$A$94,0)),0)</f>
        <v/>
      </c>
      <c r="H114" s="128">
        <f>INDEX($B$5:$B$12,MATCH($B114,$A$5:$A$12,0))</f>
        <v/>
      </c>
      <c r="I114" s="128">
        <f>ROUND(G114*H114*K114,0)</f>
        <v/>
      </c>
      <c r="J114" s="153">
        <f>ROUND(G114*H114*K114*INDEX($B$19:$B$21,MATCH("Raro",$A$19:$A$21,0)),0)</f>
        <v/>
      </c>
      <c r="K114" s="115" t="n">
        <v>1</v>
      </c>
      <c r="L114" s="115">
        <f>ROUND(I114*8,0)</f>
        <v/>
      </c>
      <c r="M114" s="115">
        <f>ROUND(J114*10,0)</f>
        <v/>
      </c>
    </row>
    <row r="115" ht="15" customHeight="1" s="116">
      <c r="A115" s="128" t="inlineStr">
        <is>
          <t>Mecanismo Anao</t>
        </is>
      </c>
      <c r="B115" s="135" t="inlineStr">
        <is>
          <t>Peitoral</t>
        </is>
      </c>
      <c r="C115" s="128" t="inlineStr">
        <is>
          <t>Peitoral de Mecanismo Anão</t>
        </is>
      </c>
      <c r="D115" s="128" t="n"/>
      <c r="E115" s="135" t="inlineStr">
        <is>
          <t>Armadura com pistões pneumáticos que auxiliam a sustentar golpes pesados.</t>
        </is>
      </c>
      <c r="F115" s="128">
        <f>INDEX(Tiers!$E$9:$E$22,MATCH($A115,Tiers!$B$9:$B$22,0))</f>
        <v/>
      </c>
      <c r="G115" s="128">
        <f>ROUND(INDEX('Curva Mestra'!$D$20:$D$94,MATCH(F115,'Curva Mestra'!$A$20:$A$94,0)),0)</f>
        <v/>
      </c>
      <c r="H115" s="128">
        <f>INDEX($B$5:$B$12,MATCH($B115,$A$5:$A$12,0))</f>
        <v/>
      </c>
      <c r="I115" s="128">
        <f>ROUND(G115*H115*K115,0)</f>
        <v/>
      </c>
      <c r="J115" s="153">
        <f>ROUND(G115*H115*K115*INDEX($B$19:$B$21,MATCH("Raro",$A$19:$A$21,0)),0)</f>
        <v/>
      </c>
      <c r="K115" s="115" t="n">
        <v>1</v>
      </c>
      <c r="L115" s="115">
        <f>ROUND(I115*8,0)</f>
        <v/>
      </c>
      <c r="M115" s="115">
        <f>ROUND(J115*10,0)</f>
        <v/>
      </c>
    </row>
    <row r="116" ht="15" customHeight="1" s="116">
      <c r="A116" s="128" t="inlineStr">
        <is>
          <t>Mecanismo Anao</t>
        </is>
      </c>
      <c r="B116" s="135" t="inlineStr">
        <is>
          <t>Peitoral</t>
        </is>
      </c>
      <c r="C116" s="128" t="inlineStr">
        <is>
          <t>Peitoral com Pistões de Sustentação</t>
        </is>
      </c>
      <c r="D116" s="128" t="n"/>
      <c r="E116" s="135" t="inlineStr">
        <is>
          <t>Ajuda a manter a postura mesmo sob peso — os pistões fazem parte do esforço.</t>
        </is>
      </c>
      <c r="F116" s="128">
        <f>INDEX(Tiers!$E$9:$E$22,MATCH($A116,Tiers!$B$9:$B$22,0))</f>
        <v/>
      </c>
      <c r="G116" s="128">
        <f>ROUND(INDEX('Curva Mestra'!$D$20:$D$94,MATCH(F116,'Curva Mestra'!$A$20:$A$94,0)),0)</f>
        <v/>
      </c>
      <c r="H116" s="128">
        <f>INDEX($B$5:$B$12,MATCH($B116,$A$5:$A$12,0))</f>
        <v/>
      </c>
      <c r="I116" s="128">
        <f>ROUND(G116*H116*K116,0)</f>
        <v/>
      </c>
      <c r="J116" s="153">
        <f>ROUND(G116*H116*K116*INDEX($B$19:$B$21,MATCH("Raro",$A$19:$A$21,0)),0)</f>
        <v/>
      </c>
      <c r="K116" s="115" t="n">
        <v>1</v>
      </c>
      <c r="L116" s="115">
        <f>ROUND(I116*8,0)</f>
        <v/>
      </c>
      <c r="M116" s="115">
        <f>ROUND(J116*10,0)</f>
        <v/>
      </c>
    </row>
    <row r="117" ht="15" customHeight="1" s="116">
      <c r="A117" s="128" t="inlineStr">
        <is>
          <t>Mecanismo Anao</t>
        </is>
      </c>
      <c r="B117" s="135" t="inlineStr">
        <is>
          <t>Peitoral</t>
        </is>
      </c>
      <c r="C117" s="128" t="inlineStr">
        <is>
          <t>Peitoral Blindado a Vapor</t>
        </is>
      </c>
      <c r="D117" s="128" t="n"/>
      <c r="E117" s="135" t="inlineStr">
        <is>
          <t>Uma câmara interna libera vapor sob impacto forte, amortecendo o golpe.</t>
        </is>
      </c>
      <c r="F117" s="128">
        <f>INDEX(Tiers!$E$9:$E$22,MATCH($A117,Tiers!$B$9:$B$22,0))</f>
        <v/>
      </c>
      <c r="G117" s="128">
        <f>ROUND(INDEX('Curva Mestra'!$D$20:$D$94,MATCH(F117,'Curva Mestra'!$A$20:$A$94,0)),0)</f>
        <v/>
      </c>
      <c r="H117" s="128">
        <f>INDEX($B$5:$B$12,MATCH($B117,$A$5:$A$12,0))</f>
        <v/>
      </c>
      <c r="I117" s="128">
        <f>ROUND(G117*H117*K117,0)</f>
        <v/>
      </c>
      <c r="J117" s="153">
        <f>ROUND(G117*H117*K117*INDEX($B$19:$B$21,MATCH("Raro",$A$19:$A$21,0)),0)</f>
        <v/>
      </c>
      <c r="K117" s="115" t="n">
        <v>1</v>
      </c>
      <c r="L117" s="115">
        <f>ROUND(I117*8,0)</f>
        <v/>
      </c>
      <c r="M117" s="115">
        <f>ROUND(J117*10,0)</f>
        <v/>
      </c>
    </row>
    <row r="118" ht="15" customHeight="1" s="116">
      <c r="A118" s="128" t="inlineStr">
        <is>
          <t>Mecanismo Anao</t>
        </is>
      </c>
      <c r="B118" s="135" t="inlineStr">
        <is>
          <t>Escudo</t>
        </is>
      </c>
      <c r="C118" s="128" t="inlineStr">
        <is>
          <t>Escudo de Mecanismo Anão</t>
        </is>
      </c>
      <c r="D118" s="128" t="n"/>
      <c r="E118" s="135" t="inlineStr">
        <is>
          <t>Trava numa dobradiça reforçada — resiste mais do que parece.</t>
        </is>
      </c>
      <c r="F118" s="128">
        <f>INDEX(Tiers!$E$9:$E$22,MATCH($A118,Tiers!$B$9:$B$22,0))</f>
        <v/>
      </c>
      <c r="G118" s="128">
        <f>ROUND(INDEX('Curva Mestra'!$D$20:$D$94,MATCH(F118,'Curva Mestra'!$A$20:$A$94,0)),0)</f>
        <v/>
      </c>
      <c r="H118" s="128">
        <f>INDEX($B$5:$B$12,MATCH($B118,$A$5:$A$12,0))</f>
        <v/>
      </c>
      <c r="I118" s="128">
        <f>ROUND(G118*H118*K118,0)</f>
        <v/>
      </c>
      <c r="J118" s="153">
        <f>ROUND(G118*H118*K118*INDEX($B$19:$B$21,MATCH("Raro",$A$19:$A$21,0)),0)</f>
        <v/>
      </c>
      <c r="K118" s="115" t="n">
        <v>1</v>
      </c>
      <c r="L118" s="115">
        <f>ROUND(I118*8,0)</f>
        <v/>
      </c>
      <c r="M118" s="115">
        <f>ROUND(J118*10,0)</f>
        <v/>
      </c>
    </row>
    <row r="119" ht="15" customHeight="1" s="116">
      <c r="A119" s="128" t="inlineStr">
        <is>
          <t>Mecanismo Anao</t>
        </is>
      </c>
      <c r="B119" s="135" t="inlineStr">
        <is>
          <t>Escudo</t>
        </is>
      </c>
      <c r="C119" s="128" t="inlineStr">
        <is>
          <t>Escudo de Engrenagem Giratória</t>
        </is>
      </c>
      <c r="D119" s="128" t="n"/>
      <c r="E119" s="135" t="inlineStr">
        <is>
          <t>Uma engrenagem no centro gira sozinha, sem propósito aparente — ou talvez com.</t>
        </is>
      </c>
      <c r="F119" s="128">
        <f>INDEX(Tiers!$E$9:$E$22,MATCH($A119,Tiers!$B$9:$B$22,0))</f>
        <v/>
      </c>
      <c r="G119" s="128">
        <f>ROUND(INDEX('Curva Mestra'!$D$20:$D$94,MATCH(F119,'Curva Mestra'!$A$20:$A$94,0)),0)</f>
        <v/>
      </c>
      <c r="H119" s="128">
        <f>INDEX($B$5:$B$12,MATCH($B119,$A$5:$A$12,0))</f>
        <v/>
      </c>
      <c r="I119" s="128">
        <f>ROUND(G119*H119*K119,0)</f>
        <v/>
      </c>
      <c r="J119" s="153">
        <f>ROUND(G119*H119*K119*INDEX($B$19:$B$21,MATCH("Raro",$A$19:$A$21,0)),0)</f>
        <v/>
      </c>
      <c r="K119" s="115" t="n">
        <v>1</v>
      </c>
      <c r="L119" s="115">
        <f>ROUND(I119*8,0)</f>
        <v/>
      </c>
      <c r="M119" s="115">
        <f>ROUND(J119*10,0)</f>
        <v/>
      </c>
    </row>
    <row r="120" ht="15" customHeight="1" s="116">
      <c r="A120" s="128" t="inlineStr">
        <is>
          <t>Mecanismo Anao</t>
        </is>
      </c>
      <c r="B120" s="135" t="inlineStr">
        <is>
          <t>Escudo</t>
        </is>
      </c>
      <c r="C120" s="128" t="inlineStr">
        <is>
          <t>Escudo Amortecido a Mola</t>
        </is>
      </c>
      <c r="D120" s="128" t="n"/>
      <c r="E120" s="135" t="inlineStr">
        <is>
          <t>Absorve parte do impacto antes de repassar o resto pro braço.</t>
        </is>
      </c>
      <c r="F120" s="128">
        <f>INDEX(Tiers!$E$9:$E$22,MATCH($A120,Tiers!$B$9:$B$22,0))</f>
        <v/>
      </c>
      <c r="G120" s="128">
        <f>ROUND(INDEX('Curva Mestra'!$D$20:$D$94,MATCH(F120,'Curva Mestra'!$A$20:$A$94,0)),0)</f>
        <v/>
      </c>
      <c r="H120" s="128">
        <f>INDEX($B$5:$B$12,MATCH($B120,$A$5:$A$12,0))</f>
        <v/>
      </c>
      <c r="I120" s="128">
        <f>ROUND(G120*H120*K120,0)</f>
        <v/>
      </c>
      <c r="J120" s="153">
        <f>ROUND(G120*H120*K120*INDEX($B$19:$B$21,MATCH("Raro",$A$19:$A$21,0)),0)</f>
        <v/>
      </c>
      <c r="K120" s="115" t="n">
        <v>1</v>
      </c>
      <c r="L120" s="115">
        <f>ROUND(I120*8,0)</f>
        <v/>
      </c>
      <c r="M120" s="115">
        <f>ROUND(J120*10,0)</f>
        <v/>
      </c>
    </row>
    <row r="121" ht="15" customHeight="1" s="116">
      <c r="A121" s="128" t="inlineStr">
        <is>
          <t>Mecanismo Anao</t>
        </is>
      </c>
      <c r="B121" s="135" t="inlineStr">
        <is>
          <t>Elmo</t>
        </is>
      </c>
      <c r="C121" s="128" t="inlineStr">
        <is>
          <t>Elmo de Mecanismo Anão</t>
        </is>
      </c>
      <c r="D121" s="128" t="n"/>
      <c r="E121" s="135" t="inlineStr">
        <is>
          <t>Visor ajustável por uma pequena alavanca lateral.</t>
        </is>
      </c>
      <c r="F121" s="128">
        <f>INDEX(Tiers!$E$9:$E$22,MATCH($A121,Tiers!$B$9:$B$22,0))</f>
        <v/>
      </c>
      <c r="G121" s="128">
        <f>ROUND(INDEX('Curva Mestra'!$D$20:$D$94,MATCH(F121,'Curva Mestra'!$A$20:$A$94,0)),0)</f>
        <v/>
      </c>
      <c r="H121" s="128">
        <f>INDEX($B$5:$B$12,MATCH($B121,$A$5:$A$12,0))</f>
        <v/>
      </c>
      <c r="I121" s="128">
        <f>ROUND(G121*H121*K121,0)</f>
        <v/>
      </c>
      <c r="J121" s="153">
        <f>ROUND(G121*H121*K121*INDEX($B$19:$B$21,MATCH("Raro",$A$19:$A$21,0)),0)</f>
        <v/>
      </c>
      <c r="K121" s="115" t="n">
        <v>1</v>
      </c>
      <c r="L121" s="115">
        <f>ROUND(I121*8,0)</f>
        <v/>
      </c>
      <c r="M121" s="115">
        <f>ROUND(J121*10,0)</f>
        <v/>
      </c>
    </row>
    <row r="122" ht="15" customHeight="1" s="116">
      <c r="A122" s="128" t="inlineStr">
        <is>
          <t>Mecanismo Anao</t>
        </is>
      </c>
      <c r="B122" s="135" t="inlineStr">
        <is>
          <t>Elmo</t>
        </is>
      </c>
      <c r="C122" s="128" t="inlineStr">
        <is>
          <t>Elmo com Visor de Latão</t>
        </is>
      </c>
      <c r="D122" s="128" t="n"/>
      <c r="E122" s="135" t="inlineStr">
        <is>
          <t>O visor range ao abrir, mas nunca falhou em fechar.</t>
        </is>
      </c>
      <c r="F122" s="128">
        <f>INDEX(Tiers!$E$9:$E$22,MATCH($A122,Tiers!$B$9:$B$22,0))</f>
        <v/>
      </c>
      <c r="G122" s="128">
        <f>ROUND(INDEX('Curva Mestra'!$D$20:$D$94,MATCH(F122,'Curva Mestra'!$A$20:$A$94,0)),0)</f>
        <v/>
      </c>
      <c r="H122" s="128">
        <f>INDEX($B$5:$B$12,MATCH($B122,$A$5:$A$12,0))</f>
        <v/>
      </c>
      <c r="I122" s="128">
        <f>ROUND(G122*H122*K122,0)</f>
        <v/>
      </c>
      <c r="J122" s="153">
        <f>ROUND(G122*H122*K122*INDEX($B$19:$B$21,MATCH("Raro",$A$19:$A$21,0)),0)</f>
        <v/>
      </c>
      <c r="K122" s="115" t="n">
        <v>1</v>
      </c>
      <c r="L122" s="115">
        <f>ROUND(I122*8,0)</f>
        <v/>
      </c>
      <c r="M122" s="115">
        <f>ROUND(J122*10,0)</f>
        <v/>
      </c>
    </row>
    <row r="123" ht="15" customHeight="1" s="116">
      <c r="A123" s="128" t="inlineStr">
        <is>
          <t>Mecanismo Anao</t>
        </is>
      </c>
      <c r="B123" s="135" t="inlineStr">
        <is>
          <t>Calca</t>
        </is>
      </c>
      <c r="C123" s="128" t="inlineStr">
        <is>
          <t>Calça de Mecanismo Anão</t>
        </is>
      </c>
      <c r="D123" s="128" t="n"/>
      <c r="E123" s="135" t="inlineStr">
        <is>
          <t>Articulações reforçadas nos joelhos, com pequenas dobradiças de metal.</t>
        </is>
      </c>
      <c r="F123" s="128">
        <f>INDEX(Tiers!$E$9:$E$22,MATCH($A123,Tiers!$B$9:$B$22,0))</f>
        <v/>
      </c>
      <c r="G123" s="128">
        <f>ROUND(INDEX('Curva Mestra'!$D$20:$D$94,MATCH(F123,'Curva Mestra'!$A$20:$A$94,0)),0)</f>
        <v/>
      </c>
      <c r="H123" s="128">
        <f>INDEX($B$5:$B$12,MATCH($B123,$A$5:$A$12,0))</f>
        <v/>
      </c>
      <c r="I123" s="128">
        <f>ROUND(G123*H123*K123,0)</f>
        <v/>
      </c>
      <c r="J123" s="153">
        <f>ROUND(G123*H123*K123*INDEX($B$19:$B$21,MATCH("Raro",$A$19:$A$21,0)),0)</f>
        <v/>
      </c>
      <c r="K123" s="115" t="n">
        <v>1</v>
      </c>
      <c r="L123" s="115">
        <f>ROUND(I123*8,0)</f>
        <v/>
      </c>
      <c r="M123" s="115">
        <f>ROUND(J123*10,0)</f>
        <v/>
      </c>
    </row>
    <row r="124" ht="15" customHeight="1" s="116">
      <c r="A124" s="128" t="inlineStr">
        <is>
          <t>Mecanismo Anao</t>
        </is>
      </c>
      <c r="B124" s="135" t="inlineStr">
        <is>
          <t>Calca</t>
        </is>
      </c>
      <c r="C124" s="128" t="inlineStr">
        <is>
          <t>Calça Reforçada com Placas Articuladas</t>
        </is>
      </c>
      <c r="D124" s="128" t="n"/>
      <c r="E124" s="135" t="inlineStr">
        <is>
          <t>Move-se com o corpo em vez de contra ele.</t>
        </is>
      </c>
      <c r="F124" s="128">
        <f>INDEX(Tiers!$E$9:$E$22,MATCH($A124,Tiers!$B$9:$B$22,0))</f>
        <v/>
      </c>
      <c r="G124" s="128">
        <f>ROUND(INDEX('Curva Mestra'!$D$20:$D$94,MATCH(F124,'Curva Mestra'!$A$20:$A$94,0)),0)</f>
        <v/>
      </c>
      <c r="H124" s="128">
        <f>INDEX($B$5:$B$12,MATCH($B124,$A$5:$A$12,0))</f>
        <v/>
      </c>
      <c r="I124" s="128">
        <f>ROUND(G124*H124*K124,0)</f>
        <v/>
      </c>
      <c r="J124" s="153">
        <f>ROUND(G124*H124*K124*INDEX($B$19:$B$21,MATCH("Raro",$A$19:$A$21,0)),0)</f>
        <v/>
      </c>
      <c r="K124" s="115" t="n">
        <v>1.05</v>
      </c>
      <c r="L124" s="115">
        <f>ROUND(I124*8,0)</f>
        <v/>
      </c>
      <c r="M124" s="115">
        <f>ROUND(J124*10,0)</f>
        <v/>
      </c>
    </row>
    <row r="125" ht="15" customHeight="1" s="116">
      <c r="A125" s="128" t="inlineStr">
        <is>
          <t>Mecanismo Anao</t>
        </is>
      </c>
      <c r="B125" s="135" t="inlineStr">
        <is>
          <t>Bota</t>
        </is>
      </c>
      <c r="C125" s="128" t="inlineStr">
        <is>
          <t>Bota de Mecanismo Anão</t>
        </is>
      </c>
      <c r="D125" s="128" t="n"/>
      <c r="E125" s="135" t="inlineStr">
        <is>
          <t>Sola com amortecimento embutido — passos mais firmes em terreno instável.</t>
        </is>
      </c>
      <c r="F125" s="128">
        <f>INDEX(Tiers!$E$9:$E$22,MATCH($A125,Tiers!$B$9:$B$22,0))</f>
        <v/>
      </c>
      <c r="G125" s="128">
        <f>ROUND(INDEX('Curva Mestra'!$D$20:$D$94,MATCH(F125,'Curva Mestra'!$A$20:$A$94,0)),0)</f>
        <v/>
      </c>
      <c r="H125" s="128">
        <f>INDEX($B$5:$B$12,MATCH($B125,$A$5:$A$12,0))</f>
        <v/>
      </c>
      <c r="I125" s="128">
        <f>ROUND(G125*H125*K125,0)</f>
        <v/>
      </c>
      <c r="J125" s="153">
        <f>ROUND(G125*H125*K125*INDEX($B$19:$B$21,MATCH("Raro",$A$19:$A$21,0)),0)</f>
        <v/>
      </c>
      <c r="K125" s="115" t="n">
        <v>1</v>
      </c>
      <c r="L125" s="115">
        <f>ROUND(I125*8,0)</f>
        <v/>
      </c>
      <c r="M125" s="115">
        <f>ROUND(J125*10,0)</f>
        <v/>
      </c>
    </row>
    <row r="126" ht="15" customHeight="1" s="116">
      <c r="A126" s="128" t="inlineStr">
        <is>
          <t>Mecanismo Anao</t>
        </is>
      </c>
      <c r="B126" s="135" t="inlineStr">
        <is>
          <t>Bota</t>
        </is>
      </c>
      <c r="C126" s="128" t="inlineStr">
        <is>
          <t>Bota com Mola nos Calcanhares</t>
        </is>
      </c>
      <c r="D126" s="128" t="n"/>
      <c r="E126" s="135" t="inlineStr">
        <is>
          <t>Um leve impulso a cada passo — ninguém sabe se é útil ou só estranho.</t>
        </is>
      </c>
      <c r="F126" s="128">
        <f>INDEX(Tiers!$E$9:$E$22,MATCH($A126,Tiers!$B$9:$B$22,0))</f>
        <v/>
      </c>
      <c r="G126" s="128">
        <f>ROUND(INDEX('Curva Mestra'!$D$20:$D$94,MATCH(F126,'Curva Mestra'!$A$20:$A$94,0)),0)</f>
        <v/>
      </c>
      <c r="H126" s="128">
        <f>INDEX($B$5:$B$12,MATCH($B126,$A$5:$A$12,0))</f>
        <v/>
      </c>
      <c r="I126" s="128">
        <f>ROUND(G126*H126*K126,0)</f>
        <v/>
      </c>
      <c r="J126" s="153">
        <f>ROUND(G126*H126*K126*INDEX($B$19:$B$21,MATCH("Raro",$A$19:$A$21,0)),0)</f>
        <v/>
      </c>
      <c r="K126" s="115" t="n">
        <v>1</v>
      </c>
      <c r="L126" s="115">
        <f>ROUND(I126*8,0)</f>
        <v/>
      </c>
      <c r="M126" s="115">
        <f>ROUND(J126*10,0)</f>
        <v/>
      </c>
    </row>
    <row r="127" ht="15" customHeight="1" s="116">
      <c r="A127" s="128" t="inlineStr">
        <is>
          <t>Mecanismo Anao</t>
        </is>
      </c>
      <c r="B127" s="135" t="inlineStr">
        <is>
          <t>Luvas</t>
        </is>
      </c>
      <c r="C127" s="128" t="inlineStr">
        <is>
          <t>Luvas de Mecanismo Anão</t>
        </is>
      </c>
      <c r="D127" s="128" t="n"/>
      <c r="E127" s="135" t="inlineStr">
        <is>
          <t>Dedos com pequenas articulações de metal, mais precisas que a mão nua.</t>
        </is>
      </c>
      <c r="F127" s="128">
        <f>INDEX(Tiers!$E$9:$E$22,MATCH($A127,Tiers!$B$9:$B$22,0))</f>
        <v/>
      </c>
      <c r="G127" s="128">
        <f>ROUND(INDEX('Curva Mestra'!$D$20:$D$94,MATCH(F127,'Curva Mestra'!$A$20:$A$94,0)),0)</f>
        <v/>
      </c>
      <c r="H127" s="128">
        <f>INDEX($B$5:$B$12,MATCH($B127,$A$5:$A$12,0))</f>
        <v/>
      </c>
      <c r="I127" s="128">
        <f>ROUND(G127*H127*K127,0)</f>
        <v/>
      </c>
      <c r="J127" s="153">
        <f>ROUND(G127*H127*K127*INDEX($B$19:$B$21,MATCH("Raro",$A$19:$A$21,0)),0)</f>
        <v/>
      </c>
      <c r="K127" s="115" t="n">
        <v>1</v>
      </c>
      <c r="L127" s="115">
        <f>ROUND(I127*8,0)</f>
        <v/>
      </c>
      <c r="M127" s="115">
        <f>ROUND(J127*10,0)</f>
        <v/>
      </c>
    </row>
    <row r="128" ht="15" customHeight="1" s="116">
      <c r="A128" s="128" t="inlineStr">
        <is>
          <t>Mecanismo Anao</t>
        </is>
      </c>
      <c r="B128" s="135" t="inlineStr">
        <is>
          <t>Luvas</t>
        </is>
      </c>
      <c r="C128" s="128" t="inlineStr">
        <is>
          <t>Luvas com Dedos Articulados</t>
        </is>
      </c>
      <c r="D128" s="128" t="n"/>
      <c r="E128" s="135" t="inlineStr">
        <is>
          <t>Cada dedo se move de forma independente — leva tempo pra se acostumar.</t>
        </is>
      </c>
      <c r="F128" s="128">
        <f>INDEX(Tiers!$E$9:$E$22,MATCH($A128,Tiers!$B$9:$B$22,0))</f>
        <v/>
      </c>
      <c r="G128" s="128">
        <f>ROUND(INDEX('Curva Mestra'!$D$20:$D$94,MATCH(F128,'Curva Mestra'!$A$20:$A$94,0)),0)</f>
        <v/>
      </c>
      <c r="H128" s="128">
        <f>INDEX($B$5:$B$12,MATCH($B128,$A$5:$A$12,0))</f>
        <v/>
      </c>
      <c r="I128" s="128">
        <f>ROUND(G128*H128*K128,0)</f>
        <v/>
      </c>
      <c r="J128" s="153">
        <f>ROUND(G128*H128*K128*INDEX($B$19:$B$21,MATCH("Raro",$A$19:$A$21,0)),0)</f>
        <v/>
      </c>
      <c r="K128" s="115" t="n">
        <v>1</v>
      </c>
      <c r="L128" s="115">
        <f>ROUND(I128*8,0)</f>
        <v/>
      </c>
      <c r="M128" s="115">
        <f>ROUND(J128*10,0)</f>
        <v/>
      </c>
    </row>
    <row r="129" ht="15" customHeight="1" s="116">
      <c r="A129" s="128" t="inlineStr">
        <is>
          <t>Mecanismo Anao</t>
        </is>
      </c>
      <c r="B129" s="135" t="inlineStr">
        <is>
          <t>Amuleto</t>
        </is>
      </c>
      <c r="C129" s="128" t="inlineStr">
        <is>
          <t>Amuleto de Mecanismo Anão</t>
        </is>
      </c>
      <c r="D129" s="128" t="n"/>
      <c r="E129" s="135" t="inlineStr">
        <is>
          <t>Uma peça de engrenagem parada, presa num cordão de couro.</t>
        </is>
      </c>
      <c r="F129" s="128">
        <f>INDEX(Tiers!$E$9:$E$22,MATCH($A129,Tiers!$B$9:$B$22,0))</f>
        <v/>
      </c>
      <c r="G129" s="128">
        <f>ROUND(INDEX('Curva Mestra'!$D$20:$D$94,MATCH(F129,'Curva Mestra'!$A$20:$A$94,0)),0)</f>
        <v/>
      </c>
      <c r="H129" s="128">
        <f>INDEX($B$5:$B$12,MATCH($B129,$A$5:$A$12,0))</f>
        <v/>
      </c>
      <c r="I129" s="128">
        <f>ROUND(G129*H129*K129,0)</f>
        <v/>
      </c>
      <c r="J129" s="153">
        <f>ROUND(G129*H129*K129*INDEX($B$19:$B$21,MATCH("Raro",$A$19:$A$21,0)),0)</f>
        <v/>
      </c>
      <c r="K129" s="115" t="n">
        <v>1</v>
      </c>
      <c r="L129" s="115">
        <f>ROUND(I129*8,0)</f>
        <v/>
      </c>
      <c r="M129" s="115">
        <f>ROUND(J129*10,0)</f>
        <v/>
      </c>
    </row>
    <row r="130" ht="15" customHeight="1" s="116">
      <c r="A130" s="128" t="inlineStr">
        <is>
          <t>Mecanismo Anao</t>
        </is>
      </c>
      <c r="B130" s="135" t="inlineStr">
        <is>
          <t>Amuleto</t>
        </is>
      </c>
      <c r="C130" s="128" t="inlineStr">
        <is>
          <t>Amuleto de Engrenagem Parada</t>
        </is>
      </c>
      <c r="D130" s="128" t="n"/>
      <c r="E130" s="135" t="inlineStr">
        <is>
          <t>Já não gira. Ainda assim, ninguém teve coragem de jogar fora.</t>
        </is>
      </c>
      <c r="F130" s="128">
        <f>INDEX(Tiers!$E$9:$E$22,MATCH($A130,Tiers!$B$9:$B$22,0))</f>
        <v/>
      </c>
      <c r="G130" s="128">
        <f>ROUND(INDEX('Curva Mestra'!$D$20:$D$94,MATCH(F130,'Curva Mestra'!$A$20:$A$94,0)),0)</f>
        <v/>
      </c>
      <c r="H130" s="128">
        <f>INDEX($B$5:$B$12,MATCH($B130,$A$5:$A$12,0))</f>
        <v/>
      </c>
      <c r="I130" s="128">
        <f>ROUND(G130*H130*K130,0)</f>
        <v/>
      </c>
      <c r="J130" s="153">
        <f>ROUND(G130*H130*K130*INDEX($B$19:$B$21,MATCH("Raro",$A$19:$A$21,0)),0)</f>
        <v/>
      </c>
      <c r="K130" s="115" t="n">
        <v>1</v>
      </c>
      <c r="L130" s="115">
        <f>ROUND(I130*8,0)</f>
        <v/>
      </c>
      <c r="M130" s="115">
        <f>ROUND(J130*10,0)</f>
        <v/>
      </c>
    </row>
    <row r="131" ht="15" customHeight="1" s="116">
      <c r="A131" s="128" t="inlineStr">
        <is>
          <t>Mecanismo Anao</t>
        </is>
      </c>
      <c r="B131" s="135" t="inlineStr">
        <is>
          <t>Anel</t>
        </is>
      </c>
      <c r="C131" s="128" t="inlineStr">
        <is>
          <t>Anel de Mecanismo Anão</t>
        </is>
      </c>
      <c r="D131" s="128" t="n"/>
      <c r="E131" s="135" t="inlineStr">
        <is>
          <t>Anel de latão simples, sem função mecânica real — só estilo da Câmara.</t>
        </is>
      </c>
      <c r="F131" s="128">
        <f>INDEX(Tiers!$E$9:$E$22,MATCH($A131,Tiers!$B$9:$B$22,0))</f>
        <v/>
      </c>
      <c r="G131" s="128">
        <f>ROUND(INDEX('Curva Mestra'!$D$20:$D$94,MATCH(F131,'Curva Mestra'!$A$20:$A$94,0)),0)</f>
        <v/>
      </c>
      <c r="H131" s="128">
        <f>INDEX($B$5:$B$12,MATCH($B131,$A$5:$A$12,0))</f>
        <v/>
      </c>
      <c r="I131" s="128">
        <f>ROUND(G131*H131*K131,0)</f>
        <v/>
      </c>
      <c r="J131" s="153">
        <f>ROUND(G131*H131*K131*INDEX($B$19:$B$21,MATCH("Raro",$A$19:$A$21,0)),0)</f>
        <v/>
      </c>
      <c r="K131" s="115" t="n">
        <v>1</v>
      </c>
      <c r="L131" s="115">
        <f>ROUND(I131*8,0)</f>
        <v/>
      </c>
      <c r="M131" s="115">
        <f>ROUND(J131*10,0)</f>
        <v/>
      </c>
    </row>
    <row r="132" ht="15" customHeight="1" s="116">
      <c r="A132" s="128" t="inlineStr">
        <is>
          <t>Mecanismo Anao</t>
        </is>
      </c>
      <c r="B132" s="135" t="inlineStr">
        <is>
          <t>Anel</t>
        </is>
      </c>
      <c r="C132" s="128" t="inlineStr">
        <is>
          <t>Anel de Latão Gravado</t>
        </is>
      </c>
      <c r="D132" s="128" t="n"/>
      <c r="E132" s="135" t="inlineStr">
        <is>
          <t>Gravado com um número de série que ninguém mais consegue ler.</t>
        </is>
      </c>
      <c r="F132" s="128">
        <f>INDEX(Tiers!$E$9:$E$22,MATCH($A132,Tiers!$B$9:$B$22,0))</f>
        <v/>
      </c>
      <c r="G132" s="128">
        <f>ROUND(INDEX('Curva Mestra'!$D$20:$D$94,MATCH(F132,'Curva Mestra'!$A$20:$A$94,0)),0)</f>
        <v/>
      </c>
      <c r="H132" s="128">
        <f>INDEX($B$5:$B$12,MATCH($B132,$A$5:$A$12,0))</f>
        <v/>
      </c>
      <c r="I132" s="128">
        <f>ROUND(G132*H132*K132,0)</f>
        <v/>
      </c>
      <c r="J132" s="153">
        <f>ROUND(G132*H132*K132*INDEX($B$19:$B$21,MATCH("Raro",$A$19:$A$21,0)),0)</f>
        <v/>
      </c>
      <c r="K132" s="115" t="n">
        <v>1</v>
      </c>
      <c r="L132" s="115">
        <f>ROUND(I132*8,0)</f>
        <v/>
      </c>
      <c r="M132" s="115">
        <f>ROUND(J132*10,0)</f>
        <v/>
      </c>
    </row>
    <row r="133" ht="15" customHeight="1" s="116">
      <c r="A133" s="128" t="inlineStr">
        <is>
          <t>Vidro Vulcanico</t>
        </is>
      </c>
      <c r="B133" s="135" t="inlineStr">
        <is>
          <t>Peitoral</t>
        </is>
      </c>
      <c r="C133" s="128" t="inlineStr">
        <is>
          <t>Peitoral de Vidro Vulcânico</t>
        </is>
      </c>
      <c r="D133" s="128" t="n"/>
      <c r="E133" s="135" t="inlineStr">
        <is>
          <t>Placas vítreas que refletem labaredas e dissipam impactos térmicos.</t>
        </is>
      </c>
      <c r="F133" s="128">
        <f>INDEX(Tiers!$E$9:$E$22,MATCH($A133,Tiers!$B$9:$B$22,0))</f>
        <v/>
      </c>
      <c r="G133" s="128">
        <f>ROUND(INDEX('Curva Mestra'!$D$20:$D$94,MATCH(F133,'Curva Mestra'!$A$20:$A$94,0)),0)</f>
        <v/>
      </c>
      <c r="H133" s="128">
        <f>INDEX($B$5:$B$12,MATCH($B133,$A$5:$A$12,0))</f>
        <v/>
      </c>
      <c r="I133" s="128">
        <f>ROUND(G133*H133*K133,0)</f>
        <v/>
      </c>
      <c r="J133" s="153">
        <f>ROUND(G133*H133*K133*INDEX($B$19:$B$21,MATCH("Raro",$A$19:$A$21,0)),0)</f>
        <v/>
      </c>
      <c r="K133" s="115" t="n">
        <v>1</v>
      </c>
      <c r="L133" s="115">
        <f>ROUND(I133*8,0)</f>
        <v/>
      </c>
      <c r="M133" s="115">
        <f>ROUND(J133*10,0)</f>
        <v/>
      </c>
    </row>
    <row r="134" ht="15" customHeight="1" s="116">
      <c r="A134" s="128" t="inlineStr">
        <is>
          <t>Vidro Vulcanico</t>
        </is>
      </c>
      <c r="B134" s="135" t="inlineStr">
        <is>
          <t>Peitoral</t>
        </is>
      </c>
      <c r="C134" s="128" t="inlineStr">
        <is>
          <t>Peitoral de Obsidiana Polida</t>
        </is>
      </c>
      <c r="D134" s="128" t="inlineStr">
        <is>
          <t>Fragilidade</t>
        </is>
      </c>
      <c r="E134" s="135" t="inlineStr">
        <is>
          <t>Brilha fraco à luz de tocha — bonito e perigosamente frágil.</t>
        </is>
      </c>
      <c r="F134" s="128">
        <f>INDEX(Tiers!$E$9:$E$22,MATCH($A134,Tiers!$B$9:$B$22,0))</f>
        <v/>
      </c>
      <c r="G134" s="128">
        <f>ROUND(INDEX('Curva Mestra'!$D$20:$D$94,MATCH(F134,'Curva Mestra'!$A$20:$A$94,0)),0)</f>
        <v/>
      </c>
      <c r="H134" s="128">
        <f>INDEX($B$5:$B$12,MATCH($B134,$A$5:$A$12,0))</f>
        <v/>
      </c>
      <c r="I134" s="128">
        <f>ROUND(G134*H134*K134,0)</f>
        <v/>
      </c>
      <c r="J134" s="153">
        <f>ROUND(G134*H134*K134*INDEX($B$19:$B$21,MATCH("Raro",$A$19:$A$21,0)),0)</f>
        <v/>
      </c>
      <c r="K134" s="115" t="n">
        <v>1.05</v>
      </c>
      <c r="L134" s="115">
        <f>ROUND(I134*8,0)</f>
        <v/>
      </c>
      <c r="M134" s="115">
        <f>ROUND(J134*10,0)</f>
        <v/>
      </c>
    </row>
    <row r="135" ht="15" customHeight="1" s="116">
      <c r="A135" s="128" t="inlineStr">
        <is>
          <t>Vidro Vulcanico</t>
        </is>
      </c>
      <c r="B135" s="135" t="inlineStr">
        <is>
          <t>Peitoral</t>
        </is>
      </c>
      <c r="C135" s="128" t="inlineStr">
        <is>
          <t>Peitoral Forjado na Fenda</t>
        </is>
      </c>
      <c r="D135" s="128" t="n"/>
      <c r="E135" s="135" t="inlineStr">
        <is>
          <t>Moldado tão perto da lava que ainda guarda o calor, meses depois.</t>
        </is>
      </c>
      <c r="F135" s="128">
        <f>INDEX(Tiers!$E$9:$E$22,MATCH($A135,Tiers!$B$9:$B$22,0))</f>
        <v/>
      </c>
      <c r="G135" s="128">
        <f>ROUND(INDEX('Curva Mestra'!$D$20:$D$94,MATCH(F135,'Curva Mestra'!$A$20:$A$94,0)),0)</f>
        <v/>
      </c>
      <c r="H135" s="128">
        <f>INDEX($B$5:$B$12,MATCH($B135,$A$5:$A$12,0))</f>
        <v/>
      </c>
      <c r="I135" s="128">
        <f>ROUND(G135*H135*K135,0)</f>
        <v/>
      </c>
      <c r="J135" s="153">
        <f>ROUND(G135*H135*K135*INDEX($B$19:$B$21,MATCH("Raro",$A$19:$A$21,0)),0)</f>
        <v/>
      </c>
      <c r="K135" s="115" t="n">
        <v>1</v>
      </c>
      <c r="L135" s="115">
        <f>ROUND(I135*8,0)</f>
        <v/>
      </c>
      <c r="M135" s="115">
        <f>ROUND(J135*10,0)</f>
        <v/>
      </c>
    </row>
    <row r="136" ht="15" customHeight="1" s="116">
      <c r="A136" s="128" t="inlineStr">
        <is>
          <t>Vidro Vulcanico</t>
        </is>
      </c>
      <c r="B136" s="135" t="inlineStr">
        <is>
          <t>Escudo</t>
        </is>
      </c>
      <c r="C136" s="128" t="inlineStr">
        <is>
          <t>Escudo de Vidro Vulcânico</t>
        </is>
      </c>
      <c r="D136" s="128" t="n"/>
      <c r="E136" s="135" t="inlineStr">
        <is>
          <t>Redondo, pesado, resistente a impacto térmico direto.</t>
        </is>
      </c>
      <c r="F136" s="128">
        <f>INDEX(Tiers!$E$9:$E$22,MATCH($A136,Tiers!$B$9:$B$22,0))</f>
        <v/>
      </c>
      <c r="G136" s="128">
        <f>ROUND(INDEX('Curva Mestra'!$D$20:$D$94,MATCH(F136,'Curva Mestra'!$A$20:$A$94,0)),0)</f>
        <v/>
      </c>
      <c r="H136" s="128">
        <f>INDEX($B$5:$B$12,MATCH($B136,$A$5:$A$12,0))</f>
        <v/>
      </c>
      <c r="I136" s="128">
        <f>ROUND(G136*H136*K136,0)</f>
        <v/>
      </c>
      <c r="J136" s="153">
        <f>ROUND(G136*H136*K136*INDEX($B$19:$B$21,MATCH("Raro",$A$19:$A$21,0)),0)</f>
        <v/>
      </c>
      <c r="K136" s="115" t="n">
        <v>1</v>
      </c>
      <c r="L136" s="115">
        <f>ROUND(I136*8,0)</f>
        <v/>
      </c>
      <c r="M136" s="115">
        <f>ROUND(J136*10,0)</f>
        <v/>
      </c>
    </row>
    <row r="137" ht="15" customHeight="1" s="116">
      <c r="A137" s="128" t="inlineStr">
        <is>
          <t>Vidro Vulcanico</t>
        </is>
      </c>
      <c r="B137" s="135" t="inlineStr">
        <is>
          <t>Escudo</t>
        </is>
      </c>
      <c r="C137" s="128" t="inlineStr">
        <is>
          <t>Escudo de Obsidiana Lascada</t>
        </is>
      </c>
      <c r="D137" s="128" t="n"/>
      <c r="E137" s="135" t="inlineStr">
        <is>
          <t>Bordas afiadas o bastante pra cortar quem tentar arrancá-lo das mãos.</t>
        </is>
      </c>
      <c r="F137" s="128">
        <f>INDEX(Tiers!$E$9:$E$22,MATCH($A137,Tiers!$B$9:$B$22,0))</f>
        <v/>
      </c>
      <c r="G137" s="128">
        <f>ROUND(INDEX('Curva Mestra'!$D$20:$D$94,MATCH(F137,'Curva Mestra'!$A$20:$A$94,0)),0)</f>
        <v/>
      </c>
      <c r="H137" s="128">
        <f>INDEX($B$5:$B$12,MATCH($B137,$A$5:$A$12,0))</f>
        <v/>
      </c>
      <c r="I137" s="128">
        <f>ROUND(G137*H137*K137,0)</f>
        <v/>
      </c>
      <c r="J137" s="153">
        <f>ROUND(G137*H137*K137*INDEX($B$19:$B$21,MATCH("Raro",$A$19:$A$21,0)),0)</f>
        <v/>
      </c>
      <c r="K137" s="115" t="n">
        <v>1</v>
      </c>
      <c r="L137" s="115">
        <f>ROUND(I137*8,0)</f>
        <v/>
      </c>
      <c r="M137" s="115">
        <f>ROUND(J137*10,0)</f>
        <v/>
      </c>
    </row>
    <row r="138" ht="15" customHeight="1" s="116">
      <c r="A138" s="128" t="inlineStr">
        <is>
          <t>Vidro Vulcanico</t>
        </is>
      </c>
      <c r="B138" s="135" t="inlineStr">
        <is>
          <t>Escudo</t>
        </is>
      </c>
      <c r="C138" s="128" t="inlineStr">
        <is>
          <t>Escudo Rachado pelo Calor</t>
        </is>
      </c>
      <c r="D138" s="128" t="inlineStr">
        <is>
          <t>Fragilidade</t>
        </is>
      </c>
      <c r="E138" s="135" t="inlineStr">
        <is>
          <t>Sobreviveu a uma explosão de vapor — a rachadura é prova disso.</t>
        </is>
      </c>
      <c r="F138" s="128">
        <f>INDEX(Tiers!$E$9:$E$22,MATCH($A138,Tiers!$B$9:$B$22,0))</f>
        <v/>
      </c>
      <c r="G138" s="128">
        <f>ROUND(INDEX('Curva Mestra'!$D$20:$D$94,MATCH(F138,'Curva Mestra'!$A$20:$A$94,0)),0)</f>
        <v/>
      </c>
      <c r="H138" s="128">
        <f>INDEX($B$5:$B$12,MATCH($B138,$A$5:$A$12,0))</f>
        <v/>
      </c>
      <c r="I138" s="128">
        <f>ROUND(G138*H138*K138,0)</f>
        <v/>
      </c>
      <c r="J138" s="153">
        <f>ROUND(G138*H138*K138*INDEX($B$19:$B$21,MATCH("Raro",$A$19:$A$21,0)),0)</f>
        <v/>
      </c>
      <c r="K138" s="115" t="n">
        <v>1.05</v>
      </c>
      <c r="L138" s="115">
        <f>ROUND(I138*8,0)</f>
        <v/>
      </c>
      <c r="M138" s="115">
        <f>ROUND(J138*10,0)</f>
        <v/>
      </c>
    </row>
    <row r="139" ht="15" customHeight="1" s="116">
      <c r="A139" s="128" t="inlineStr">
        <is>
          <t>Vidro Vulcanico</t>
        </is>
      </c>
      <c r="B139" s="135" t="inlineStr">
        <is>
          <t>Elmo</t>
        </is>
      </c>
      <c r="C139" s="128" t="inlineStr">
        <is>
          <t>Elmo de Vidro Vulcânico</t>
        </is>
      </c>
      <c r="D139" s="128" t="n"/>
      <c r="E139" s="135" t="inlineStr">
        <is>
          <t>Fechado na frente, resistente a fagulhas e cinzas.</t>
        </is>
      </c>
      <c r="F139" s="128">
        <f>INDEX(Tiers!$E$9:$E$22,MATCH($A139,Tiers!$B$9:$B$22,0))</f>
        <v/>
      </c>
      <c r="G139" s="128">
        <f>ROUND(INDEX('Curva Mestra'!$D$20:$D$94,MATCH(F139,'Curva Mestra'!$A$20:$A$94,0)),0)</f>
        <v/>
      </c>
      <c r="H139" s="128">
        <f>INDEX($B$5:$B$12,MATCH($B139,$A$5:$A$12,0))</f>
        <v/>
      </c>
      <c r="I139" s="128">
        <f>ROUND(G139*H139*K139,0)</f>
        <v/>
      </c>
      <c r="J139" s="153">
        <f>ROUND(G139*H139*K139*INDEX($B$19:$B$21,MATCH("Raro",$A$19:$A$21,0)),0)</f>
        <v/>
      </c>
      <c r="K139" s="115" t="n">
        <v>1</v>
      </c>
      <c r="L139" s="115">
        <f>ROUND(I139*8,0)</f>
        <v/>
      </c>
      <c r="M139" s="115">
        <f>ROUND(J139*10,0)</f>
        <v/>
      </c>
    </row>
    <row r="140" ht="15" customHeight="1" s="116">
      <c r="A140" s="128" t="inlineStr">
        <is>
          <t>Vidro Vulcanico</t>
        </is>
      </c>
      <c r="B140" s="135" t="inlineStr">
        <is>
          <t>Elmo</t>
        </is>
      </c>
      <c r="C140" s="128" t="inlineStr">
        <is>
          <t>Elmo de Obsidiana</t>
        </is>
      </c>
      <c r="D140" s="128" t="n"/>
      <c r="E140" s="135" t="inlineStr">
        <is>
          <t>Reflete o brilho da lava distante — quase decorativo, quase útil.</t>
        </is>
      </c>
      <c r="F140" s="128">
        <f>INDEX(Tiers!$E$9:$E$22,MATCH($A140,Tiers!$B$9:$B$22,0))</f>
        <v/>
      </c>
      <c r="G140" s="128">
        <f>ROUND(INDEX('Curva Mestra'!$D$20:$D$94,MATCH(F140,'Curva Mestra'!$A$20:$A$94,0)),0)</f>
        <v/>
      </c>
      <c r="H140" s="128">
        <f>INDEX($B$5:$B$12,MATCH($B140,$A$5:$A$12,0))</f>
        <v/>
      </c>
      <c r="I140" s="128">
        <f>ROUND(G140*H140*K140,0)</f>
        <v/>
      </c>
      <c r="J140" s="153">
        <f>ROUND(G140*H140*K140*INDEX($B$19:$B$21,MATCH("Raro",$A$19:$A$21,0)),0)</f>
        <v/>
      </c>
      <c r="K140" s="115" t="n">
        <v>1</v>
      </c>
      <c r="L140" s="115">
        <f>ROUND(I140*8,0)</f>
        <v/>
      </c>
      <c r="M140" s="115">
        <f>ROUND(J140*10,0)</f>
        <v/>
      </c>
    </row>
    <row r="141" ht="15" customHeight="1" s="116">
      <c r="A141" s="128" t="inlineStr">
        <is>
          <t>Vidro Vulcanico</t>
        </is>
      </c>
      <c r="B141" s="135" t="inlineStr">
        <is>
          <t>Calca</t>
        </is>
      </c>
      <c r="C141" s="128" t="inlineStr">
        <is>
          <t>Calça de Vidro Vulcânico e Couro</t>
        </is>
      </c>
      <c r="D141" s="128" t="n"/>
      <c r="E141" s="135" t="inlineStr">
        <is>
          <t>Placas rígidas nas coxas, couro tratado contra o calor.</t>
        </is>
      </c>
      <c r="F141" s="128">
        <f>INDEX(Tiers!$E$9:$E$22,MATCH($A141,Tiers!$B$9:$B$22,0))</f>
        <v/>
      </c>
      <c r="G141" s="128">
        <f>ROUND(INDEX('Curva Mestra'!$D$20:$D$94,MATCH(F141,'Curva Mestra'!$A$20:$A$94,0)),0)</f>
        <v/>
      </c>
      <c r="H141" s="128">
        <f>INDEX($B$5:$B$12,MATCH($B141,$A$5:$A$12,0))</f>
        <v/>
      </c>
      <c r="I141" s="128">
        <f>ROUND(G141*H141*K141,0)</f>
        <v/>
      </c>
      <c r="J141" s="153">
        <f>ROUND(G141*H141*K141*INDEX($B$19:$B$21,MATCH("Raro",$A$19:$A$21,0)),0)</f>
        <v/>
      </c>
      <c r="K141" s="115" t="n">
        <v>1</v>
      </c>
      <c r="L141" s="115">
        <f>ROUND(I141*8,0)</f>
        <v/>
      </c>
      <c r="M141" s="115">
        <f>ROUND(J141*10,0)</f>
        <v/>
      </c>
    </row>
    <row r="142" ht="15" customHeight="1" s="116">
      <c r="A142" s="128" t="inlineStr">
        <is>
          <t>Vidro Vulcanico</t>
        </is>
      </c>
      <c r="B142" s="135" t="inlineStr">
        <is>
          <t>Calca</t>
        </is>
      </c>
      <c r="C142" s="128" t="inlineStr">
        <is>
          <t>Calça Resistente ao Calor</t>
        </is>
      </c>
      <c r="D142" s="128" t="n"/>
      <c r="E142" s="135" t="inlineStr">
        <is>
          <t>Tratada com óleo especial — não pega fogo fácil.</t>
        </is>
      </c>
      <c r="F142" s="128">
        <f>INDEX(Tiers!$E$9:$E$22,MATCH($A142,Tiers!$B$9:$B$22,0))</f>
        <v/>
      </c>
      <c r="G142" s="128">
        <f>ROUND(INDEX('Curva Mestra'!$D$20:$D$94,MATCH(F142,'Curva Mestra'!$A$20:$A$94,0)),0)</f>
        <v/>
      </c>
      <c r="H142" s="128">
        <f>INDEX($B$5:$B$12,MATCH($B142,$A$5:$A$12,0))</f>
        <v/>
      </c>
      <c r="I142" s="128">
        <f>ROUND(G142*H142*K142,0)</f>
        <v/>
      </c>
      <c r="J142" s="153">
        <f>ROUND(G142*H142*K142*INDEX($B$19:$B$21,MATCH("Raro",$A$19:$A$21,0)),0)</f>
        <v/>
      </c>
      <c r="K142" s="115" t="n">
        <v>1</v>
      </c>
      <c r="L142" s="115">
        <f>ROUND(I142*8,0)</f>
        <v/>
      </c>
      <c r="M142" s="115">
        <f>ROUND(J142*10,0)</f>
        <v/>
      </c>
    </row>
    <row r="143" ht="15" customHeight="1" s="116">
      <c r="A143" s="128" t="inlineStr">
        <is>
          <t>Vidro Vulcanico</t>
        </is>
      </c>
      <c r="B143" s="135" t="inlineStr">
        <is>
          <t>Bota</t>
        </is>
      </c>
      <c r="C143" s="128" t="inlineStr">
        <is>
          <t>Bota de Vidro Vulcânico</t>
        </is>
      </c>
      <c r="D143" s="128" t="n"/>
      <c r="E143" s="135" t="inlineStr">
        <is>
          <t>Sola grossa o bastante pra pisar em rocha ainda morna.</t>
        </is>
      </c>
      <c r="F143" s="128">
        <f>INDEX(Tiers!$E$9:$E$22,MATCH($A143,Tiers!$B$9:$B$22,0))</f>
        <v/>
      </c>
      <c r="G143" s="128">
        <f>ROUND(INDEX('Curva Mestra'!$D$20:$D$94,MATCH(F143,'Curva Mestra'!$A$20:$A$94,0)),0)</f>
        <v/>
      </c>
      <c r="H143" s="128">
        <f>INDEX($B$5:$B$12,MATCH($B143,$A$5:$A$12,0))</f>
        <v/>
      </c>
      <c r="I143" s="128">
        <f>ROUND(G143*H143*K143,0)</f>
        <v/>
      </c>
      <c r="J143" s="153">
        <f>ROUND(G143*H143*K143*INDEX($B$19:$B$21,MATCH("Raro",$A$19:$A$21,0)),0)</f>
        <v/>
      </c>
      <c r="K143" s="115" t="n">
        <v>1</v>
      </c>
      <c r="L143" s="115">
        <f>ROUND(I143*8,0)</f>
        <v/>
      </c>
      <c r="M143" s="115">
        <f>ROUND(J143*10,0)</f>
        <v/>
      </c>
    </row>
    <row r="144" ht="15" customHeight="1" s="116">
      <c r="A144" s="128" t="inlineStr">
        <is>
          <t>Vidro Vulcanico</t>
        </is>
      </c>
      <c r="B144" s="135" t="inlineStr">
        <is>
          <t>Bota</t>
        </is>
      </c>
      <c r="C144" s="128" t="inlineStr">
        <is>
          <t>Bota à Prova de Cinzas</t>
        </is>
      </c>
      <c r="D144" s="128" t="n"/>
      <c r="E144" s="135" t="inlineStr">
        <is>
          <t>Selada nas costuras — cinzas vulcânicas não entram fácil.</t>
        </is>
      </c>
      <c r="F144" s="128">
        <f>INDEX(Tiers!$E$9:$E$22,MATCH($A144,Tiers!$B$9:$B$22,0))</f>
        <v/>
      </c>
      <c r="G144" s="128">
        <f>ROUND(INDEX('Curva Mestra'!$D$20:$D$94,MATCH(F144,'Curva Mestra'!$A$20:$A$94,0)),0)</f>
        <v/>
      </c>
      <c r="H144" s="128">
        <f>INDEX($B$5:$B$12,MATCH($B144,$A$5:$A$12,0))</f>
        <v/>
      </c>
      <c r="I144" s="128">
        <f>ROUND(G144*H144*K144,0)</f>
        <v/>
      </c>
      <c r="J144" s="153">
        <f>ROUND(G144*H144*K144*INDEX($B$19:$B$21,MATCH("Raro",$A$19:$A$21,0)),0)</f>
        <v/>
      </c>
      <c r="K144" s="115" t="n">
        <v>1</v>
      </c>
      <c r="L144" s="115">
        <f>ROUND(I144*8,0)</f>
        <v/>
      </c>
      <c r="M144" s="115">
        <f>ROUND(J144*10,0)</f>
        <v/>
      </c>
    </row>
    <row r="145" ht="15" customHeight="1" s="116">
      <c r="A145" s="128" t="inlineStr">
        <is>
          <t>Vidro Vulcanico</t>
        </is>
      </c>
      <c r="B145" s="135" t="inlineStr">
        <is>
          <t>Luvas</t>
        </is>
      </c>
      <c r="C145" s="128" t="inlineStr">
        <is>
          <t>Luvas de Vidro Vulcânico</t>
        </is>
      </c>
      <c r="D145" s="128" t="n"/>
      <c r="E145" s="135" t="inlineStr">
        <is>
          <t>Placas finas nos dedos, resistentes a calor direto.</t>
        </is>
      </c>
      <c r="F145" s="128">
        <f>INDEX(Tiers!$E$9:$E$22,MATCH($A145,Tiers!$B$9:$B$22,0))</f>
        <v/>
      </c>
      <c r="G145" s="128">
        <f>ROUND(INDEX('Curva Mestra'!$D$20:$D$94,MATCH(F145,'Curva Mestra'!$A$20:$A$94,0)),0)</f>
        <v/>
      </c>
      <c r="H145" s="128">
        <f>INDEX($B$5:$B$12,MATCH($B145,$A$5:$A$12,0))</f>
        <v/>
      </c>
      <c r="I145" s="128">
        <f>ROUND(G145*H145*K145,0)</f>
        <v/>
      </c>
      <c r="J145" s="153">
        <f>ROUND(G145*H145*K145*INDEX($B$19:$B$21,MATCH("Raro",$A$19:$A$21,0)),0)</f>
        <v/>
      </c>
      <c r="K145" s="115" t="n">
        <v>1</v>
      </c>
      <c r="L145" s="115">
        <f>ROUND(I145*8,0)</f>
        <v/>
      </c>
      <c r="M145" s="115">
        <f>ROUND(J145*10,0)</f>
        <v/>
      </c>
    </row>
    <row r="146" ht="15" customHeight="1" s="116">
      <c r="A146" s="128" t="inlineStr">
        <is>
          <t>Vidro Vulcanico</t>
        </is>
      </c>
      <c r="B146" s="135" t="inlineStr">
        <is>
          <t>Luvas</t>
        </is>
      </c>
      <c r="C146" s="128" t="inlineStr">
        <is>
          <t>Luvas Forjadas na Fenda</t>
        </is>
      </c>
      <c r="D146" s="128" t="n"/>
      <c r="E146" s="135" t="inlineStr">
        <is>
          <t>Feitas por quem trabalha perto da lava todos os dias.</t>
        </is>
      </c>
      <c r="F146" s="128">
        <f>INDEX(Tiers!$E$9:$E$22,MATCH($A146,Tiers!$B$9:$B$22,0))</f>
        <v/>
      </c>
      <c r="G146" s="128">
        <f>ROUND(INDEX('Curva Mestra'!$D$20:$D$94,MATCH(F146,'Curva Mestra'!$A$20:$A$94,0)),0)</f>
        <v/>
      </c>
      <c r="H146" s="128">
        <f>INDEX($B$5:$B$12,MATCH($B146,$A$5:$A$12,0))</f>
        <v/>
      </c>
      <c r="I146" s="128">
        <f>ROUND(G146*H146*K146,0)</f>
        <v/>
      </c>
      <c r="J146" s="153">
        <f>ROUND(G146*H146*K146*INDEX($B$19:$B$21,MATCH("Raro",$A$19:$A$21,0)),0)</f>
        <v/>
      </c>
      <c r="K146" s="115" t="n">
        <v>1</v>
      </c>
      <c r="L146" s="115">
        <f>ROUND(I146*8,0)</f>
        <v/>
      </c>
      <c r="M146" s="115">
        <f>ROUND(J146*10,0)</f>
        <v/>
      </c>
    </row>
    <row r="147" ht="15" customHeight="1" s="116">
      <c r="A147" s="128" t="inlineStr">
        <is>
          <t>Vidro Vulcanico</t>
        </is>
      </c>
      <c r="B147" s="135" t="inlineStr">
        <is>
          <t>Amuleto</t>
        </is>
      </c>
      <c r="C147" s="128" t="inlineStr">
        <is>
          <t>Amuleto de Vidro Vulcânico</t>
        </is>
      </c>
      <c r="D147" s="128" t="n"/>
      <c r="E147" s="135" t="inlineStr">
        <is>
          <t>Pequeno fragmento de obsidiana pendurado num cordão de couro tratado.</t>
        </is>
      </c>
      <c r="F147" s="128">
        <f>INDEX(Tiers!$E$9:$E$22,MATCH($A147,Tiers!$B$9:$B$22,0))</f>
        <v/>
      </c>
      <c r="G147" s="128">
        <f>ROUND(INDEX('Curva Mestra'!$D$20:$D$94,MATCH(F147,'Curva Mestra'!$A$20:$A$94,0)),0)</f>
        <v/>
      </c>
      <c r="H147" s="128">
        <f>INDEX($B$5:$B$12,MATCH($B147,$A$5:$A$12,0))</f>
        <v/>
      </c>
      <c r="I147" s="128">
        <f>ROUND(G147*H147*K147,0)</f>
        <v/>
      </c>
      <c r="J147" s="153">
        <f>ROUND(G147*H147*K147*INDEX($B$19:$B$21,MATCH("Raro",$A$19:$A$21,0)),0)</f>
        <v/>
      </c>
      <c r="K147" s="115" t="n">
        <v>1</v>
      </c>
      <c r="L147" s="115">
        <f>ROUND(I147*8,0)</f>
        <v/>
      </c>
      <c r="M147" s="115">
        <f>ROUND(J147*10,0)</f>
        <v/>
      </c>
    </row>
    <row r="148" ht="15" customHeight="1" s="116">
      <c r="A148" s="128" t="inlineStr">
        <is>
          <t>Vidro Vulcanico</t>
        </is>
      </c>
      <c r="B148" s="135" t="inlineStr">
        <is>
          <t>Amuleto</t>
        </is>
      </c>
      <c r="C148" s="128" t="inlineStr">
        <is>
          <t>Amuleto da Fenda Ativa</t>
        </is>
      </c>
      <c r="D148" s="128" t="n"/>
      <c r="E148" s="135" t="inlineStr">
        <is>
          <t>Ainda morno ao toque, meses depois de forjado.</t>
        </is>
      </c>
      <c r="F148" s="128">
        <f>INDEX(Tiers!$E$9:$E$22,MATCH($A148,Tiers!$B$9:$B$22,0))</f>
        <v/>
      </c>
      <c r="G148" s="128">
        <f>ROUND(INDEX('Curva Mestra'!$D$20:$D$94,MATCH(F148,'Curva Mestra'!$A$20:$A$94,0)),0)</f>
        <v/>
      </c>
      <c r="H148" s="128">
        <f>INDEX($B$5:$B$12,MATCH($B148,$A$5:$A$12,0))</f>
        <v/>
      </c>
      <c r="I148" s="128">
        <f>ROUND(G148*H148*K148,0)</f>
        <v/>
      </c>
      <c r="J148" s="153">
        <f>ROUND(G148*H148*K148*INDEX($B$19:$B$21,MATCH("Raro",$A$19:$A$21,0)),0)</f>
        <v/>
      </c>
      <c r="K148" s="115" t="n">
        <v>1</v>
      </c>
      <c r="L148" s="115">
        <f>ROUND(I148*8,0)</f>
        <v/>
      </c>
      <c r="M148" s="115">
        <f>ROUND(J148*10,0)</f>
        <v/>
      </c>
    </row>
    <row r="149" ht="15" customHeight="1" s="116">
      <c r="A149" s="128" t="inlineStr">
        <is>
          <t>Vidro Vulcanico</t>
        </is>
      </c>
      <c r="B149" s="135" t="inlineStr">
        <is>
          <t>Anel</t>
        </is>
      </c>
      <c r="C149" s="128" t="inlineStr">
        <is>
          <t>Anel de Vidro Vulcânico</t>
        </is>
      </c>
      <c r="D149" s="128" t="n"/>
      <c r="E149" s="135" t="inlineStr">
        <is>
          <t>Anel escuro, opaco, quase invisível na sombra.</t>
        </is>
      </c>
      <c r="F149" s="128">
        <f>INDEX(Tiers!$E$9:$E$22,MATCH($A149,Tiers!$B$9:$B$22,0))</f>
        <v/>
      </c>
      <c r="G149" s="128">
        <f>ROUND(INDEX('Curva Mestra'!$D$20:$D$94,MATCH(F149,'Curva Mestra'!$A$20:$A$94,0)),0)</f>
        <v/>
      </c>
      <c r="H149" s="128">
        <f>INDEX($B$5:$B$12,MATCH($B149,$A$5:$A$12,0))</f>
        <v/>
      </c>
      <c r="I149" s="128">
        <f>ROUND(G149*H149*K149,0)</f>
        <v/>
      </c>
      <c r="J149" s="153">
        <f>ROUND(G149*H149*K149*INDEX($B$19:$B$21,MATCH("Raro",$A$19:$A$21,0)),0)</f>
        <v/>
      </c>
      <c r="K149" s="115" t="n">
        <v>1</v>
      </c>
      <c r="L149" s="115">
        <f>ROUND(I149*8,0)</f>
        <v/>
      </c>
      <c r="M149" s="115">
        <f>ROUND(J149*10,0)</f>
        <v/>
      </c>
    </row>
    <row r="150" ht="15" customHeight="1" s="116">
      <c r="A150" s="128" t="inlineStr">
        <is>
          <t>Vidro Vulcanico</t>
        </is>
      </c>
      <c r="B150" s="135" t="inlineStr">
        <is>
          <t>Anel</t>
        </is>
      </c>
      <c r="C150" s="128" t="inlineStr">
        <is>
          <t>Anel de Obsidiana Polida</t>
        </is>
      </c>
      <c r="D150" s="128" t="n"/>
      <c r="E150" s="135" t="inlineStr">
        <is>
          <t>Reflete labareda distante — bonito, e um lembrete do que ronda o Sultanato.</t>
        </is>
      </c>
      <c r="F150" s="128">
        <f>INDEX(Tiers!$E$9:$E$22,MATCH($A150,Tiers!$B$9:$B$22,0))</f>
        <v/>
      </c>
      <c r="G150" s="128">
        <f>ROUND(INDEX('Curva Mestra'!$D$20:$D$94,MATCH(F150,'Curva Mestra'!$A$20:$A$94,0)),0)</f>
        <v/>
      </c>
      <c r="H150" s="128">
        <f>INDEX($B$5:$B$12,MATCH($B150,$A$5:$A$12,0))</f>
        <v/>
      </c>
      <c r="I150" s="128">
        <f>ROUND(G150*H150*K150,0)</f>
        <v/>
      </c>
      <c r="J150" s="153">
        <f>ROUND(G150*H150*K150*INDEX($B$19:$B$21,MATCH("Raro",$A$19:$A$21,0)),0)</f>
        <v/>
      </c>
      <c r="K150" s="115" t="n">
        <v>1</v>
      </c>
      <c r="L150" s="115">
        <f>ROUND(I150*8,0)</f>
        <v/>
      </c>
      <c r="M150" s="115">
        <f>ROUND(J150*10,0)</f>
        <v/>
      </c>
    </row>
    <row r="151" ht="15" customHeight="1" s="116">
      <c r="A151" s="128" t="inlineStr">
        <is>
          <t>Ferro Orquico</t>
        </is>
      </c>
      <c r="B151" s="135" t="inlineStr">
        <is>
          <t>Peitoral</t>
        </is>
      </c>
      <c r="C151" s="128" t="inlineStr">
        <is>
          <t>Peitoral de Ferro Órquico</t>
        </is>
      </c>
      <c r="D151" s="128" t="n"/>
      <c r="E151" s="135" t="inlineStr">
        <is>
          <t>Couraça espessa com cravos de contenção e tiras reforçadas.</t>
        </is>
      </c>
      <c r="F151" s="128">
        <f>INDEX(Tiers!$E$9:$E$22,MATCH($A151,Tiers!$B$9:$B$22,0))</f>
        <v/>
      </c>
      <c r="G151" s="128">
        <f>ROUND(INDEX('Curva Mestra'!$D$20:$D$94,MATCH(F151,'Curva Mestra'!$A$20:$A$94,0)),0)</f>
        <v/>
      </c>
      <c r="H151" s="128">
        <f>INDEX($B$5:$B$12,MATCH($B151,$A$5:$A$12,0))</f>
        <v/>
      </c>
      <c r="I151" s="128">
        <f>ROUND(G151*H151*K151,0)</f>
        <v/>
      </c>
      <c r="J151" s="153">
        <f>ROUND(G151*H151*K151*INDEX($B$19:$B$21,MATCH("Raro",$A$19:$A$21,0)),0)</f>
        <v/>
      </c>
      <c r="K151" s="115" t="n">
        <v>1</v>
      </c>
      <c r="L151" s="115">
        <f>ROUND(I151*8,0)</f>
        <v/>
      </c>
      <c r="M151" s="115">
        <f>ROUND(J151*10,0)</f>
        <v/>
      </c>
    </row>
    <row r="152" ht="15" customHeight="1" s="116">
      <c r="A152" s="128" t="inlineStr">
        <is>
          <t>Ferro Orquico</t>
        </is>
      </c>
      <c r="B152" s="135" t="inlineStr">
        <is>
          <t>Peitoral</t>
        </is>
      </c>
      <c r="C152" s="128" t="inlineStr">
        <is>
          <t>Peitoral de Guerra Bárbaro</t>
        </is>
      </c>
      <c r="D152" s="128" t="n"/>
      <c r="E152" s="135" t="inlineStr">
        <is>
          <t>Pesado, feio, funcional — não foi feito pra impressionar.</t>
        </is>
      </c>
      <c r="F152" s="128">
        <f>INDEX(Tiers!$E$9:$E$22,MATCH($A152,Tiers!$B$9:$B$22,0))</f>
        <v/>
      </c>
      <c r="G152" s="128">
        <f>ROUND(INDEX('Curva Mestra'!$D$20:$D$94,MATCH(F152,'Curva Mestra'!$A$20:$A$94,0)),0)</f>
        <v/>
      </c>
      <c r="H152" s="128">
        <f>INDEX($B$5:$B$12,MATCH($B152,$A$5:$A$12,0))</f>
        <v/>
      </c>
      <c r="I152" s="128">
        <f>ROUND(G152*H152*K152,0)</f>
        <v/>
      </c>
      <c r="J152" s="153">
        <f>ROUND(G152*H152*K152*INDEX($B$19:$B$21,MATCH("Raro",$A$19:$A$21,0)),0)</f>
        <v/>
      </c>
      <c r="K152" s="115" t="n">
        <v>1.05</v>
      </c>
      <c r="L152" s="115">
        <f>ROUND(I152*8,0)</f>
        <v/>
      </c>
      <c r="M152" s="115">
        <f>ROUND(J152*10,0)</f>
        <v/>
      </c>
    </row>
    <row r="153" ht="15" customHeight="1" s="116">
      <c r="A153" s="128" t="inlineStr">
        <is>
          <t>Ferro Orquico</t>
        </is>
      </c>
      <c r="B153" s="135" t="inlineStr">
        <is>
          <t>Peitoral</t>
        </is>
      </c>
      <c r="C153" s="128" t="inlineStr">
        <is>
          <t>Peitoral Cravejado de Troféus</t>
        </is>
      </c>
      <c r="D153" s="128" t="n"/>
      <c r="E153" s="135" t="inlineStr">
        <is>
          <t>Ossos e presas de inimigos abatidos, presos na couraça como prova de vitória.</t>
        </is>
      </c>
      <c r="F153" s="128">
        <f>INDEX(Tiers!$E$9:$E$22,MATCH($A153,Tiers!$B$9:$B$22,0))</f>
        <v/>
      </c>
      <c r="G153" s="128">
        <f>ROUND(INDEX('Curva Mestra'!$D$20:$D$94,MATCH(F153,'Curva Mestra'!$A$20:$A$94,0)),0)</f>
        <v/>
      </c>
      <c r="H153" s="128">
        <f>INDEX($B$5:$B$12,MATCH($B153,$A$5:$A$12,0))</f>
        <v/>
      </c>
      <c r="I153" s="128">
        <f>ROUND(G153*H153*K153,0)</f>
        <v/>
      </c>
      <c r="J153" s="153">
        <f>ROUND(G153*H153*K153*INDEX($B$19:$B$21,MATCH("Raro",$A$19:$A$21,0)),0)</f>
        <v/>
      </c>
      <c r="K153" s="115" t="n">
        <v>1.05</v>
      </c>
      <c r="L153" s="115">
        <f>ROUND(I153*8,0)</f>
        <v/>
      </c>
      <c r="M153" s="115">
        <f>ROUND(J153*10,0)</f>
        <v/>
      </c>
    </row>
    <row r="154" ht="15" customHeight="1" s="116">
      <c r="A154" s="128" t="inlineStr">
        <is>
          <t>Ferro Orquico</t>
        </is>
      </c>
      <c r="B154" s="135" t="inlineStr">
        <is>
          <t>Escudo</t>
        </is>
      </c>
      <c r="C154" s="128" t="inlineStr">
        <is>
          <t>Escudo de Ferro Órquico</t>
        </is>
      </c>
      <c r="D154" s="128" t="n"/>
      <c r="E154" s="135" t="inlineStr">
        <is>
          <t>Pesado, cravejado — feito pra bloquear e pra intimidar.</t>
        </is>
      </c>
      <c r="F154" s="128">
        <f>INDEX(Tiers!$E$9:$E$22,MATCH($A154,Tiers!$B$9:$B$22,0))</f>
        <v/>
      </c>
      <c r="G154" s="128">
        <f>ROUND(INDEX('Curva Mestra'!$D$20:$D$94,MATCH(F154,'Curva Mestra'!$A$20:$A$94,0)),0)</f>
        <v/>
      </c>
      <c r="H154" s="128">
        <f>INDEX($B$5:$B$12,MATCH($B154,$A$5:$A$12,0))</f>
        <v/>
      </c>
      <c r="I154" s="128">
        <f>ROUND(G154*H154*K154,0)</f>
        <v/>
      </c>
      <c r="J154" s="153">
        <f>ROUND(G154*H154*K154*INDEX($B$19:$B$21,MATCH("Raro",$A$19:$A$21,0)),0)</f>
        <v/>
      </c>
      <c r="K154" s="115" t="n">
        <v>1</v>
      </c>
      <c r="L154" s="115">
        <f>ROUND(I154*8,0)</f>
        <v/>
      </c>
      <c r="M154" s="115">
        <f>ROUND(J154*10,0)</f>
        <v/>
      </c>
    </row>
    <row r="155" ht="15" customHeight="1" s="116">
      <c r="A155" s="128" t="inlineStr">
        <is>
          <t>Ferro Orquico</t>
        </is>
      </c>
      <c r="B155" s="135" t="inlineStr">
        <is>
          <t>Escudo</t>
        </is>
      </c>
      <c r="C155" s="128" t="inlineStr">
        <is>
          <t>Escudo de Guerra Bárbaro</t>
        </is>
      </c>
      <c r="D155" s="128" t="n"/>
      <c r="E155" s="135" t="inlineStr">
        <is>
          <t>Marcas de golpe cobrem toda a superfície — nenhuma batalha o deixou intacto.</t>
        </is>
      </c>
      <c r="F155" s="128">
        <f>INDEX(Tiers!$E$9:$E$22,MATCH($A155,Tiers!$B$9:$B$22,0))</f>
        <v/>
      </c>
      <c r="G155" s="128">
        <f>ROUND(INDEX('Curva Mestra'!$D$20:$D$94,MATCH(F155,'Curva Mestra'!$A$20:$A$94,0)),0)</f>
        <v/>
      </c>
      <c r="H155" s="128">
        <f>INDEX($B$5:$B$12,MATCH($B155,$A$5:$A$12,0))</f>
        <v/>
      </c>
      <c r="I155" s="128">
        <f>ROUND(G155*H155*K155,0)</f>
        <v/>
      </c>
      <c r="J155" s="153">
        <f>ROUND(G155*H155*K155*INDEX($B$19:$B$21,MATCH("Raro",$A$19:$A$21,0)),0)</f>
        <v/>
      </c>
      <c r="K155" s="115" t="n">
        <v>1.05</v>
      </c>
      <c r="L155" s="115">
        <f>ROUND(I155*8,0)</f>
        <v/>
      </c>
      <c r="M155" s="115">
        <f>ROUND(J155*10,0)</f>
        <v/>
      </c>
    </row>
    <row r="156" ht="15" customHeight="1" s="116">
      <c r="A156" s="128" t="inlineStr">
        <is>
          <t>Ferro Orquico</t>
        </is>
      </c>
      <c r="B156" s="135" t="inlineStr">
        <is>
          <t>Escudo</t>
        </is>
      </c>
      <c r="C156" s="128" t="inlineStr">
        <is>
          <t>Escudo com Crânio Cravado</t>
        </is>
      </c>
      <c r="D156" s="128" t="n"/>
      <c r="E156" s="135" t="inlineStr">
        <is>
          <t>Um crânio de fera preso no centro — aviso pra quem se aproxima.</t>
        </is>
      </c>
      <c r="F156" s="128">
        <f>INDEX(Tiers!$E$9:$E$22,MATCH($A156,Tiers!$B$9:$B$22,0))</f>
        <v/>
      </c>
      <c r="G156" s="128">
        <f>ROUND(INDEX('Curva Mestra'!$D$20:$D$94,MATCH(F156,'Curva Mestra'!$A$20:$A$94,0)),0)</f>
        <v/>
      </c>
      <c r="H156" s="128">
        <f>INDEX($B$5:$B$12,MATCH($B156,$A$5:$A$12,0))</f>
        <v/>
      </c>
      <c r="I156" s="128">
        <f>ROUND(G156*H156*K156,0)</f>
        <v/>
      </c>
      <c r="J156" s="153">
        <f>ROUND(G156*H156*K156*INDEX($B$19:$B$21,MATCH("Raro",$A$19:$A$21,0)),0)</f>
        <v/>
      </c>
      <c r="K156" s="115" t="n">
        <v>1</v>
      </c>
      <c r="L156" s="115">
        <f>ROUND(I156*8,0)</f>
        <v/>
      </c>
      <c r="M156" s="115">
        <f>ROUND(J156*10,0)</f>
        <v/>
      </c>
    </row>
    <row r="157" ht="15" customHeight="1" s="116">
      <c r="A157" s="128" t="inlineStr">
        <is>
          <t>Ferro Orquico</t>
        </is>
      </c>
      <c r="B157" s="135" t="inlineStr">
        <is>
          <t>Elmo</t>
        </is>
      </c>
      <c r="C157" s="128" t="inlineStr">
        <is>
          <t>Elmo de Ferro Órquico</t>
        </is>
      </c>
      <c r="D157" s="128" t="n"/>
      <c r="E157" s="135" t="inlineStr">
        <is>
          <t>Pesado, com chifres improvisados — mais intimidação que proteção real.</t>
        </is>
      </c>
      <c r="F157" s="128">
        <f>INDEX(Tiers!$E$9:$E$22,MATCH($A157,Tiers!$B$9:$B$22,0))</f>
        <v/>
      </c>
      <c r="G157" s="128">
        <f>ROUND(INDEX('Curva Mestra'!$D$20:$D$94,MATCH(F157,'Curva Mestra'!$A$20:$A$94,0)),0)</f>
        <v/>
      </c>
      <c r="H157" s="128">
        <f>INDEX($B$5:$B$12,MATCH($B157,$A$5:$A$12,0))</f>
        <v/>
      </c>
      <c r="I157" s="128">
        <f>ROUND(G157*H157*K157,0)</f>
        <v/>
      </c>
      <c r="J157" s="153">
        <f>ROUND(G157*H157*K157*INDEX($B$19:$B$21,MATCH("Raro",$A$19:$A$21,0)),0)</f>
        <v/>
      </c>
      <c r="K157" s="115" t="n">
        <v>1</v>
      </c>
      <c r="L157" s="115">
        <f>ROUND(I157*8,0)</f>
        <v/>
      </c>
      <c r="M157" s="115">
        <f>ROUND(J157*10,0)</f>
        <v/>
      </c>
    </row>
    <row r="158" ht="15" customHeight="1" s="116">
      <c r="A158" s="128" t="inlineStr">
        <is>
          <t>Ferro Orquico</t>
        </is>
      </c>
      <c r="B158" s="135" t="inlineStr">
        <is>
          <t>Elmo</t>
        </is>
      </c>
      <c r="C158" s="128" t="inlineStr">
        <is>
          <t>Elmo de Guerra Bárbaro</t>
        </is>
      </c>
      <c r="D158" s="128" t="n"/>
      <c r="E158" s="135" t="inlineStr">
        <is>
          <t>Amassado em várias batalhas — ainda protege, do jeito que dá.</t>
        </is>
      </c>
      <c r="F158" s="128">
        <f>INDEX(Tiers!$E$9:$E$22,MATCH($A158,Tiers!$B$9:$B$22,0))</f>
        <v/>
      </c>
      <c r="G158" s="128">
        <f>ROUND(INDEX('Curva Mestra'!$D$20:$D$94,MATCH(F158,'Curva Mestra'!$A$20:$A$94,0)),0)</f>
        <v/>
      </c>
      <c r="H158" s="128">
        <f>INDEX($B$5:$B$12,MATCH($B158,$A$5:$A$12,0))</f>
        <v/>
      </c>
      <c r="I158" s="128">
        <f>ROUND(G158*H158*K158,0)</f>
        <v/>
      </c>
      <c r="J158" s="153">
        <f>ROUND(G158*H158*K158*INDEX($B$19:$B$21,MATCH("Raro",$A$19:$A$21,0)),0)</f>
        <v/>
      </c>
      <c r="K158" s="115" t="n">
        <v>1.05</v>
      </c>
      <c r="L158" s="115">
        <f>ROUND(I158*8,0)</f>
        <v/>
      </c>
      <c r="M158" s="115">
        <f>ROUND(J158*10,0)</f>
        <v/>
      </c>
    </row>
    <row r="159" ht="15" customHeight="1" s="116">
      <c r="A159" s="128" t="inlineStr">
        <is>
          <t>Ferro Orquico</t>
        </is>
      </c>
      <c r="B159" s="135" t="inlineStr">
        <is>
          <t>Calca</t>
        </is>
      </c>
      <c r="C159" s="128" t="inlineStr">
        <is>
          <t>Calça de Ferro Órquico</t>
        </is>
      </c>
      <c r="D159" s="128" t="n"/>
      <c r="E159" s="135" t="inlineStr">
        <is>
          <t>Reforçada nas coxas, pesada — feita pra aguentar impacto, não pra correr.</t>
        </is>
      </c>
      <c r="F159" s="128">
        <f>INDEX(Tiers!$E$9:$E$22,MATCH($A159,Tiers!$B$9:$B$22,0))</f>
        <v/>
      </c>
      <c r="G159" s="128">
        <f>ROUND(INDEX('Curva Mestra'!$D$20:$D$94,MATCH(F159,'Curva Mestra'!$A$20:$A$94,0)),0)</f>
        <v/>
      </c>
      <c r="H159" s="128">
        <f>INDEX($B$5:$B$12,MATCH($B159,$A$5:$A$12,0))</f>
        <v/>
      </c>
      <c r="I159" s="128">
        <f>ROUND(G159*H159*K159,0)</f>
        <v/>
      </c>
      <c r="J159" s="153">
        <f>ROUND(G159*H159*K159*INDEX($B$19:$B$21,MATCH("Raro",$A$19:$A$21,0)),0)</f>
        <v/>
      </c>
      <c r="K159" s="115" t="n">
        <v>1</v>
      </c>
      <c r="L159" s="115">
        <f>ROUND(I159*8,0)</f>
        <v/>
      </c>
      <c r="M159" s="115">
        <f>ROUND(J159*10,0)</f>
        <v/>
      </c>
    </row>
    <row r="160" ht="15" customHeight="1" s="116">
      <c r="A160" s="128" t="inlineStr">
        <is>
          <t>Ferro Orquico</t>
        </is>
      </c>
      <c r="B160" s="135" t="inlineStr">
        <is>
          <t>Calca</t>
        </is>
      </c>
      <c r="C160" s="128" t="inlineStr">
        <is>
          <t>Calça de Guerra</t>
        </is>
      </c>
      <c r="D160" s="128" t="n"/>
      <c r="E160" s="135" t="inlineStr">
        <is>
          <t>Remendada várias vezes com couro de fera — cada remendo é uma história.</t>
        </is>
      </c>
      <c r="F160" s="128">
        <f>INDEX(Tiers!$E$9:$E$22,MATCH($A160,Tiers!$B$9:$B$22,0))</f>
        <v/>
      </c>
      <c r="G160" s="128">
        <f>ROUND(INDEX('Curva Mestra'!$D$20:$D$94,MATCH(F160,'Curva Mestra'!$A$20:$A$94,0)),0)</f>
        <v/>
      </c>
      <c r="H160" s="128">
        <f>INDEX($B$5:$B$12,MATCH($B160,$A$5:$A$12,0))</f>
        <v/>
      </c>
      <c r="I160" s="128">
        <f>ROUND(G160*H160*K160,0)</f>
        <v/>
      </c>
      <c r="J160" s="153">
        <f>ROUND(G160*H160*K160*INDEX($B$19:$B$21,MATCH("Raro",$A$19:$A$21,0)),0)</f>
        <v/>
      </c>
      <c r="K160" s="115" t="n">
        <v>1.05</v>
      </c>
      <c r="L160" s="115">
        <f>ROUND(I160*8,0)</f>
        <v/>
      </c>
      <c r="M160" s="115">
        <f>ROUND(J160*10,0)</f>
        <v/>
      </c>
    </row>
    <row r="161" ht="15" customHeight="1" s="116">
      <c r="A161" s="128" t="inlineStr">
        <is>
          <t>Ferro Orquico</t>
        </is>
      </c>
      <c r="B161" s="135" t="inlineStr">
        <is>
          <t>Bota</t>
        </is>
      </c>
      <c r="C161" s="128" t="inlineStr">
        <is>
          <t>Bota de Ferro Órquico</t>
        </is>
      </c>
      <c r="D161" s="128" t="n"/>
      <c r="E161" s="135" t="inlineStr">
        <is>
          <t>Sola grossa, pesada — cada passo é um aviso.</t>
        </is>
      </c>
      <c r="F161" s="128">
        <f>INDEX(Tiers!$E$9:$E$22,MATCH($A161,Tiers!$B$9:$B$22,0))</f>
        <v/>
      </c>
      <c r="G161" s="128">
        <f>ROUND(INDEX('Curva Mestra'!$D$20:$D$94,MATCH(F161,'Curva Mestra'!$A$20:$A$94,0)),0)</f>
        <v/>
      </c>
      <c r="H161" s="128">
        <f>INDEX($B$5:$B$12,MATCH($B161,$A$5:$A$12,0))</f>
        <v/>
      </c>
      <c r="I161" s="128">
        <f>ROUND(G161*H161*K161,0)</f>
        <v/>
      </c>
      <c r="J161" s="153">
        <f>ROUND(G161*H161*K161*INDEX($B$19:$B$21,MATCH("Raro",$A$19:$A$21,0)),0)</f>
        <v/>
      </c>
      <c r="K161" s="115" t="n">
        <v>1</v>
      </c>
      <c r="L161" s="115">
        <f>ROUND(I161*8,0)</f>
        <v/>
      </c>
      <c r="M161" s="115">
        <f>ROUND(J161*10,0)</f>
        <v/>
      </c>
    </row>
    <row r="162" ht="15" customHeight="1" s="116">
      <c r="A162" s="128" t="inlineStr">
        <is>
          <t>Ferro Orquico</t>
        </is>
      </c>
      <c r="B162" s="135" t="inlineStr">
        <is>
          <t>Bota</t>
        </is>
      </c>
      <c r="C162" s="128" t="inlineStr">
        <is>
          <t>Bota de Guerra Bárbara</t>
        </is>
      </c>
      <c r="D162" s="128" t="n"/>
      <c r="E162" s="135" t="inlineStr">
        <is>
          <t>Já pisou em campo de batalha demais pra contar.</t>
        </is>
      </c>
      <c r="F162" s="128">
        <f>INDEX(Tiers!$E$9:$E$22,MATCH($A162,Tiers!$B$9:$B$22,0))</f>
        <v/>
      </c>
      <c r="G162" s="128">
        <f>ROUND(INDEX('Curva Mestra'!$D$20:$D$94,MATCH(F162,'Curva Mestra'!$A$20:$A$94,0)),0)</f>
        <v/>
      </c>
      <c r="H162" s="128">
        <f>INDEX($B$5:$B$12,MATCH($B162,$A$5:$A$12,0))</f>
        <v/>
      </c>
      <c r="I162" s="128">
        <f>ROUND(G162*H162*K162,0)</f>
        <v/>
      </c>
      <c r="J162" s="153">
        <f>ROUND(G162*H162*K162*INDEX($B$19:$B$21,MATCH("Raro",$A$19:$A$21,0)),0)</f>
        <v/>
      </c>
      <c r="K162" s="115" t="n">
        <v>1.05</v>
      </c>
      <c r="L162" s="115">
        <f>ROUND(I162*8,0)</f>
        <v/>
      </c>
      <c r="M162" s="115">
        <f>ROUND(J162*10,0)</f>
        <v/>
      </c>
    </row>
    <row r="163" ht="15" customHeight="1" s="116">
      <c r="A163" s="128" t="inlineStr">
        <is>
          <t>Ferro Orquico</t>
        </is>
      </c>
      <c r="B163" s="135" t="inlineStr">
        <is>
          <t>Luvas</t>
        </is>
      </c>
      <c r="C163" s="128" t="inlineStr">
        <is>
          <t>Luvas de Ferro Órquico</t>
        </is>
      </c>
      <c r="D163" s="128" t="n"/>
      <c r="E163" s="135" t="inlineStr">
        <is>
          <t>Nós reforçados, pesadas — feitas pra golpe, não pra destreza.</t>
        </is>
      </c>
      <c r="F163" s="128">
        <f>INDEX(Tiers!$E$9:$E$22,MATCH($A163,Tiers!$B$9:$B$22,0))</f>
        <v/>
      </c>
      <c r="G163" s="128">
        <f>ROUND(INDEX('Curva Mestra'!$D$20:$D$94,MATCH(F163,'Curva Mestra'!$A$20:$A$94,0)),0)</f>
        <v/>
      </c>
      <c r="H163" s="128">
        <f>INDEX($B$5:$B$12,MATCH($B163,$A$5:$A$12,0))</f>
        <v/>
      </c>
      <c r="I163" s="128">
        <f>ROUND(G163*H163*K163,0)</f>
        <v/>
      </c>
      <c r="J163" s="153">
        <f>ROUND(G163*H163*K163*INDEX($B$19:$B$21,MATCH("Raro",$A$19:$A$21,0)),0)</f>
        <v/>
      </c>
      <c r="K163" s="115" t="n">
        <v>1</v>
      </c>
      <c r="L163" s="115">
        <f>ROUND(I163*8,0)</f>
        <v/>
      </c>
      <c r="M163" s="115">
        <f>ROUND(J163*10,0)</f>
        <v/>
      </c>
    </row>
    <row r="164" ht="15" customHeight="1" s="116">
      <c r="A164" s="128" t="inlineStr">
        <is>
          <t>Ferro Orquico</t>
        </is>
      </c>
      <c r="B164" s="135" t="inlineStr">
        <is>
          <t>Luvas</t>
        </is>
      </c>
      <c r="C164" s="128" t="inlineStr">
        <is>
          <t>Luvas Cravejadas</t>
        </is>
      </c>
      <c r="D164" s="128" t="n"/>
      <c r="E164" s="135" t="inlineStr">
        <is>
          <t>Pontas de metal nos nós dos dedos — o aperto de mão já é uma ameaça.</t>
        </is>
      </c>
      <c r="F164" s="128">
        <f>INDEX(Tiers!$E$9:$E$22,MATCH($A164,Tiers!$B$9:$B$22,0))</f>
        <v/>
      </c>
      <c r="G164" s="128">
        <f>ROUND(INDEX('Curva Mestra'!$D$20:$D$94,MATCH(F164,'Curva Mestra'!$A$20:$A$94,0)),0)</f>
        <v/>
      </c>
      <c r="H164" s="128">
        <f>INDEX($B$5:$B$12,MATCH($B164,$A$5:$A$12,0))</f>
        <v/>
      </c>
      <c r="I164" s="128">
        <f>ROUND(G164*H164*K164,0)</f>
        <v/>
      </c>
      <c r="J164" s="153">
        <f>ROUND(G164*H164*K164*INDEX($B$19:$B$21,MATCH("Raro",$A$19:$A$21,0)),0)</f>
        <v/>
      </c>
      <c r="K164" s="115" t="n">
        <v>1.05</v>
      </c>
      <c r="L164" s="115">
        <f>ROUND(I164*8,0)</f>
        <v/>
      </c>
      <c r="M164" s="115">
        <f>ROUND(J164*10,0)</f>
        <v/>
      </c>
    </row>
    <row r="165" ht="15" customHeight="1" s="116">
      <c r="A165" s="128" t="inlineStr">
        <is>
          <t>Ferro Orquico</t>
        </is>
      </c>
      <c r="B165" s="135" t="inlineStr">
        <is>
          <t>Amuleto</t>
        </is>
      </c>
      <c r="C165" s="128" t="inlineStr">
        <is>
          <t>Amuleto de Ferro Órquico</t>
        </is>
      </c>
      <c r="D165" s="128" t="n"/>
      <c r="E165" s="135" t="inlineStr">
        <is>
          <t>Peça grosseira, sem lapidação — funcional, não bonita.</t>
        </is>
      </c>
      <c r="F165" s="128">
        <f>INDEX(Tiers!$E$9:$E$22,MATCH($A165,Tiers!$B$9:$B$22,0))</f>
        <v/>
      </c>
      <c r="G165" s="128">
        <f>ROUND(INDEX('Curva Mestra'!$D$20:$D$94,MATCH(F165,'Curva Mestra'!$A$20:$A$94,0)),0)</f>
        <v/>
      </c>
      <c r="H165" s="128">
        <f>INDEX($B$5:$B$12,MATCH($B165,$A$5:$A$12,0))</f>
        <v/>
      </c>
      <c r="I165" s="128">
        <f>ROUND(G165*H165*K165,0)</f>
        <v/>
      </c>
      <c r="J165" s="153">
        <f>ROUND(G165*H165*K165*INDEX($B$19:$B$21,MATCH("Raro",$A$19:$A$21,0)),0)</f>
        <v/>
      </c>
      <c r="K165" s="115" t="n">
        <v>1</v>
      </c>
      <c r="L165" s="115">
        <f>ROUND(I165*8,0)</f>
        <v/>
      </c>
      <c r="M165" s="115">
        <f>ROUND(J165*10,0)</f>
        <v/>
      </c>
    </row>
    <row r="166" ht="15" customHeight="1" s="116">
      <c r="A166" s="128" t="inlineStr">
        <is>
          <t>Ferro Orquico</t>
        </is>
      </c>
      <c r="B166" s="135" t="inlineStr">
        <is>
          <t>Amuleto</t>
        </is>
      </c>
      <c r="C166" s="128" t="inlineStr">
        <is>
          <t>Amuleto de Presa de Fera</t>
        </is>
      </c>
      <c r="D166" s="128" t="n"/>
      <c r="E166" s="135" t="inlineStr">
        <is>
          <t>Presa de uma fera abatida em combate, amarrada num cordão de couro cru.</t>
        </is>
      </c>
      <c r="F166" s="128">
        <f>INDEX(Tiers!$E$9:$E$22,MATCH($A166,Tiers!$B$9:$B$22,0))</f>
        <v/>
      </c>
      <c r="G166" s="128">
        <f>ROUND(INDEX('Curva Mestra'!$D$20:$D$94,MATCH(F166,'Curva Mestra'!$A$20:$A$94,0)),0)</f>
        <v/>
      </c>
      <c r="H166" s="128">
        <f>INDEX($B$5:$B$12,MATCH($B166,$A$5:$A$12,0))</f>
        <v/>
      </c>
      <c r="I166" s="128">
        <f>ROUND(G166*H166*K166,0)</f>
        <v/>
      </c>
      <c r="J166" s="153">
        <f>ROUND(G166*H166*K166*INDEX($B$19:$B$21,MATCH("Raro",$A$19:$A$21,0)),0)</f>
        <v/>
      </c>
      <c r="K166" s="115" t="n">
        <v>1</v>
      </c>
      <c r="L166" s="115">
        <f>ROUND(I166*8,0)</f>
        <v/>
      </c>
      <c r="M166" s="115">
        <f>ROUND(J166*10,0)</f>
        <v/>
      </c>
    </row>
    <row r="167" ht="15" customHeight="1" s="116">
      <c r="A167" s="128" t="inlineStr">
        <is>
          <t>Ferro Orquico</t>
        </is>
      </c>
      <c r="B167" s="135" t="inlineStr">
        <is>
          <t>Anel</t>
        </is>
      </c>
      <c r="C167" s="128" t="inlineStr">
        <is>
          <t>Anel de Ferro Órquico</t>
        </is>
      </c>
      <c r="D167" s="128" t="n"/>
      <c r="E167" s="135" t="inlineStr">
        <is>
          <t>Grosseiro, pesado — anel de guerra, não de cerimônia.</t>
        </is>
      </c>
      <c r="F167" s="128">
        <f>INDEX(Tiers!$E$9:$E$22,MATCH($A167,Tiers!$B$9:$B$22,0))</f>
        <v/>
      </c>
      <c r="G167" s="128">
        <f>ROUND(INDEX('Curva Mestra'!$D$20:$D$94,MATCH(F167,'Curva Mestra'!$A$20:$A$94,0)),0)</f>
        <v/>
      </c>
      <c r="H167" s="128">
        <f>INDEX($B$5:$B$12,MATCH($B167,$A$5:$A$12,0))</f>
        <v/>
      </c>
      <c r="I167" s="128">
        <f>ROUND(G167*H167*K167,0)</f>
        <v/>
      </c>
      <c r="J167" s="153">
        <f>ROUND(G167*H167*K167*INDEX($B$19:$B$21,MATCH("Raro",$A$19:$A$21,0)),0)</f>
        <v/>
      </c>
      <c r="K167" s="115" t="n">
        <v>1</v>
      </c>
      <c r="L167" s="115">
        <f>ROUND(I167*8,0)</f>
        <v/>
      </c>
      <c r="M167" s="115">
        <f>ROUND(J167*10,0)</f>
        <v/>
      </c>
    </row>
    <row r="168" ht="15" customHeight="1" s="116">
      <c r="A168" s="128" t="inlineStr">
        <is>
          <t>Ferro Orquico</t>
        </is>
      </c>
      <c r="B168" s="135" t="inlineStr">
        <is>
          <t>Anel</t>
        </is>
      </c>
      <c r="C168" s="128" t="inlineStr">
        <is>
          <t>Anel de Osso Gravado</t>
        </is>
      </c>
      <c r="D168" s="128" t="n"/>
      <c r="E168" s="135" t="inlineStr">
        <is>
          <t>Gravado com marcas tribais que só o próprio bando entende.</t>
        </is>
      </c>
      <c r="F168" s="128">
        <f>INDEX(Tiers!$E$9:$E$22,MATCH($A168,Tiers!$B$9:$B$22,0))</f>
        <v/>
      </c>
      <c r="G168" s="128">
        <f>ROUND(INDEX('Curva Mestra'!$D$20:$D$94,MATCH(F168,'Curva Mestra'!$A$20:$A$94,0)),0)</f>
        <v/>
      </c>
      <c r="H168" s="128">
        <f>INDEX($B$5:$B$12,MATCH($B168,$A$5:$A$12,0))</f>
        <v/>
      </c>
      <c r="I168" s="128">
        <f>ROUND(G168*H168*K168,0)</f>
        <v/>
      </c>
      <c r="J168" s="153">
        <f>ROUND(G168*H168*K168*INDEX($B$19:$B$21,MATCH("Raro",$A$19:$A$21,0)),0)</f>
        <v/>
      </c>
      <c r="K168" s="115" t="n">
        <v>1</v>
      </c>
      <c r="L168" s="115">
        <f>ROUND(I168*8,0)</f>
        <v/>
      </c>
      <c r="M168" s="115">
        <f>ROUND(J168*10,0)</f>
        <v/>
      </c>
    </row>
    <row r="169" ht="15" customHeight="1" s="116">
      <c r="A169" s="128" t="inlineStr">
        <is>
          <t>Mithril</t>
        </is>
      </c>
      <c r="B169" s="135" t="inlineStr">
        <is>
          <t>Peitoral</t>
        </is>
      </c>
      <c r="C169" s="128" t="inlineStr">
        <is>
          <t>Peitoral de Mithril</t>
        </is>
      </c>
      <c r="D169" s="128" t="n"/>
      <c r="E169" s="135" t="inlineStr">
        <is>
          <t>Placas completas que pesam menos que uma cota de malha simples.</t>
        </is>
      </c>
      <c r="F169" s="128">
        <f>INDEX(Tiers!$E$9:$E$22,MATCH($A169,Tiers!$B$9:$B$22,0))</f>
        <v/>
      </c>
      <c r="G169" s="128">
        <f>ROUND(INDEX('Curva Mestra'!$D$20:$D$94,MATCH(F169,'Curva Mestra'!$A$20:$A$94,0)),0)</f>
        <v/>
      </c>
      <c r="H169" s="128">
        <f>INDEX($B$5:$B$12,MATCH($B169,$A$5:$A$12,0))</f>
        <v/>
      </c>
      <c r="I169" s="128">
        <f>ROUND(G169*H169*K169,0)</f>
        <v/>
      </c>
      <c r="J169" s="153">
        <f>ROUND(G169*H169*K169*INDEX($B$19:$B$21,MATCH("Raro",$A$19:$A$21,0)),0)</f>
        <v/>
      </c>
      <c r="K169" s="115" t="n">
        <v>1</v>
      </c>
      <c r="L169" s="115">
        <f>ROUND(I169*8,0)</f>
        <v/>
      </c>
      <c r="M169" s="115">
        <f>ROUND(J169*10,0)</f>
        <v/>
      </c>
    </row>
    <row r="170" ht="15" customHeight="1" s="116">
      <c r="A170" s="128" t="inlineStr">
        <is>
          <t>Mithril</t>
        </is>
      </c>
      <c r="B170" s="135" t="inlineStr">
        <is>
          <t>Peitoral</t>
        </is>
      </c>
      <c r="C170" s="128" t="inlineStr">
        <is>
          <t>Peitoral das Profundezas</t>
        </is>
      </c>
      <c r="D170" s="128" t="n"/>
      <c r="E170" s="135" t="inlineStr">
        <is>
          <t>Forjado num veio raro, longe demais da luz do sol.</t>
        </is>
      </c>
      <c r="F170" s="128">
        <f>INDEX(Tiers!$E$9:$E$22,MATCH($A170,Tiers!$B$9:$B$22,0))</f>
        <v/>
      </c>
      <c r="G170" s="128">
        <f>ROUND(INDEX('Curva Mestra'!$D$20:$D$94,MATCH(F170,'Curva Mestra'!$A$20:$A$94,0)),0)</f>
        <v/>
      </c>
      <c r="H170" s="128">
        <f>INDEX($B$5:$B$12,MATCH($B170,$A$5:$A$12,0))</f>
        <v/>
      </c>
      <c r="I170" s="128">
        <f>ROUND(G170*H170*K170,0)</f>
        <v/>
      </c>
      <c r="J170" s="153">
        <f>ROUND(G170*H170*K170*INDEX($B$19:$B$21,MATCH("Raro",$A$19:$A$21,0)),0)</f>
        <v/>
      </c>
      <c r="K170" s="115" t="n">
        <v>1</v>
      </c>
      <c r="L170" s="115">
        <f>ROUND(I170*8,0)</f>
        <v/>
      </c>
      <c r="M170" s="115">
        <f>ROUND(J170*10,0)</f>
        <v/>
      </c>
    </row>
    <row r="171" ht="15" customHeight="1" s="116">
      <c r="A171" s="128" t="inlineStr">
        <is>
          <t>Mithril</t>
        </is>
      </c>
      <c r="B171" s="135" t="inlineStr">
        <is>
          <t>Peitoral</t>
        </is>
      </c>
      <c r="C171" s="128" t="inlineStr">
        <is>
          <t>Peitoral Quase Sem Peso</t>
        </is>
      </c>
      <c r="D171" s="128" t="n"/>
      <c r="E171" s="135" t="inlineStr">
        <is>
          <t>Você esquece que está usando armadura até o primeiro golpe parar.</t>
        </is>
      </c>
      <c r="F171" s="128">
        <f>INDEX(Tiers!$E$9:$E$22,MATCH($A171,Tiers!$B$9:$B$22,0))</f>
        <v/>
      </c>
      <c r="G171" s="128">
        <f>ROUND(INDEX('Curva Mestra'!$D$20:$D$94,MATCH(F171,'Curva Mestra'!$A$20:$A$94,0)),0)</f>
        <v/>
      </c>
      <c r="H171" s="128">
        <f>INDEX($B$5:$B$12,MATCH($B171,$A$5:$A$12,0))</f>
        <v/>
      </c>
      <c r="I171" s="128">
        <f>ROUND(G171*H171*K171,0)</f>
        <v/>
      </c>
      <c r="J171" s="153">
        <f>ROUND(G171*H171*K171*INDEX($B$19:$B$21,MATCH("Raro",$A$19:$A$21,0)),0)</f>
        <v/>
      </c>
      <c r="K171" s="115" t="n">
        <v>1</v>
      </c>
      <c r="L171" s="115">
        <f>ROUND(I171*8,0)</f>
        <v/>
      </c>
      <c r="M171" s="115">
        <f>ROUND(J171*10,0)</f>
        <v/>
      </c>
    </row>
    <row r="172" ht="15" customHeight="1" s="116">
      <c r="A172" s="128" t="inlineStr">
        <is>
          <t>Mithril</t>
        </is>
      </c>
      <c r="B172" s="135" t="inlineStr">
        <is>
          <t>Escudo</t>
        </is>
      </c>
      <c r="C172" s="128" t="inlineStr">
        <is>
          <t>Escudo de Mithril</t>
        </is>
      </c>
      <c r="D172" s="128" t="n"/>
      <c r="E172" s="135" t="inlineStr">
        <is>
          <t>Leve o bastante pra não cansar o braço numa luta longa.</t>
        </is>
      </c>
      <c r="F172" s="128">
        <f>INDEX(Tiers!$E$9:$E$22,MATCH($A172,Tiers!$B$9:$B$22,0))</f>
        <v/>
      </c>
      <c r="G172" s="128">
        <f>ROUND(INDEX('Curva Mestra'!$D$20:$D$94,MATCH(F172,'Curva Mestra'!$A$20:$A$94,0)),0)</f>
        <v/>
      </c>
      <c r="H172" s="128">
        <f>INDEX($B$5:$B$12,MATCH($B172,$A$5:$A$12,0))</f>
        <v/>
      </c>
      <c r="I172" s="128">
        <f>ROUND(G172*H172*K172,0)</f>
        <v/>
      </c>
      <c r="J172" s="153">
        <f>ROUND(G172*H172*K172*INDEX($B$19:$B$21,MATCH("Raro",$A$19:$A$21,0)),0)</f>
        <v/>
      </c>
      <c r="K172" s="115" t="n">
        <v>1</v>
      </c>
      <c r="L172" s="115">
        <f>ROUND(I172*8,0)</f>
        <v/>
      </c>
      <c r="M172" s="115">
        <f>ROUND(J172*10,0)</f>
        <v/>
      </c>
    </row>
    <row r="173" ht="15" customHeight="1" s="116">
      <c r="A173" s="128" t="inlineStr">
        <is>
          <t>Mithril</t>
        </is>
      </c>
      <c r="B173" s="135" t="inlineStr">
        <is>
          <t>Escudo</t>
        </is>
      </c>
      <c r="C173" s="128" t="inlineStr">
        <is>
          <t>Escudo das Profundezas</t>
        </is>
      </c>
      <c r="D173" s="128" t="n"/>
      <c r="E173" s="135" t="inlineStr">
        <is>
          <t>Recuperado de um veio esquecido nas Cavernas Profundas.</t>
        </is>
      </c>
      <c r="F173" s="128">
        <f>INDEX(Tiers!$E$9:$E$22,MATCH($A173,Tiers!$B$9:$B$22,0))</f>
        <v/>
      </c>
      <c r="G173" s="128">
        <f>ROUND(INDEX('Curva Mestra'!$D$20:$D$94,MATCH(F173,'Curva Mestra'!$A$20:$A$94,0)),0)</f>
        <v/>
      </c>
      <c r="H173" s="128">
        <f>INDEX($B$5:$B$12,MATCH($B173,$A$5:$A$12,0))</f>
        <v/>
      </c>
      <c r="I173" s="128">
        <f>ROUND(G173*H173*K173,0)</f>
        <v/>
      </c>
      <c r="J173" s="153">
        <f>ROUND(G173*H173*K173*INDEX($B$19:$B$21,MATCH("Raro",$A$19:$A$21,0)),0)</f>
        <v/>
      </c>
      <c r="K173" s="115" t="n">
        <v>1</v>
      </c>
      <c r="L173" s="115">
        <f>ROUND(I173*8,0)</f>
        <v/>
      </c>
      <c r="M173" s="115">
        <f>ROUND(J173*10,0)</f>
        <v/>
      </c>
    </row>
    <row r="174" ht="15" customHeight="1" s="116">
      <c r="A174" s="128" t="inlineStr">
        <is>
          <t>Mithril</t>
        </is>
      </c>
      <c r="B174" s="135" t="inlineStr">
        <is>
          <t>Escudo</t>
        </is>
      </c>
      <c r="C174" s="128" t="inlineStr">
        <is>
          <t>Escudo Cristalino</t>
        </is>
      </c>
      <c r="D174" s="128" t="n"/>
      <c r="E174" s="135" t="inlineStr">
        <is>
          <t>Quase translúcido nas bordas — mais resistente do que parece.</t>
        </is>
      </c>
      <c r="F174" s="128">
        <f>INDEX(Tiers!$E$9:$E$22,MATCH($A174,Tiers!$B$9:$B$22,0))</f>
        <v/>
      </c>
      <c r="G174" s="128">
        <f>ROUND(INDEX('Curva Mestra'!$D$20:$D$94,MATCH(F174,'Curva Mestra'!$A$20:$A$94,0)),0)</f>
        <v/>
      </c>
      <c r="H174" s="128">
        <f>INDEX($B$5:$B$12,MATCH($B174,$A$5:$A$12,0))</f>
        <v/>
      </c>
      <c r="I174" s="128">
        <f>ROUND(G174*H174*K174,0)</f>
        <v/>
      </c>
      <c r="J174" s="153">
        <f>ROUND(G174*H174*K174*INDEX($B$19:$B$21,MATCH("Raro",$A$19:$A$21,0)),0)</f>
        <v/>
      </c>
      <c r="K174" s="115" t="n">
        <v>1</v>
      </c>
      <c r="L174" s="115">
        <f>ROUND(I174*8,0)</f>
        <v/>
      </c>
      <c r="M174" s="115">
        <f>ROUND(J174*10,0)</f>
        <v/>
      </c>
    </row>
    <row r="175" ht="15" customHeight="1" s="116">
      <c r="A175" s="128" t="inlineStr">
        <is>
          <t>Mithril</t>
        </is>
      </c>
      <c r="B175" s="135" t="inlineStr">
        <is>
          <t>Elmo</t>
        </is>
      </c>
      <c r="C175" s="128" t="inlineStr">
        <is>
          <t>Elmo de Mithril</t>
        </is>
      </c>
      <c r="D175" s="128" t="n"/>
      <c r="E175" s="135" t="inlineStr">
        <is>
          <t>Fino, leve, quase invisível na cabeça.</t>
        </is>
      </c>
      <c r="F175" s="128">
        <f>INDEX(Tiers!$E$9:$E$22,MATCH($A175,Tiers!$B$9:$B$22,0))</f>
        <v/>
      </c>
      <c r="G175" s="128">
        <f>ROUND(INDEX('Curva Mestra'!$D$20:$D$94,MATCH(F175,'Curva Mestra'!$A$20:$A$94,0)),0)</f>
        <v/>
      </c>
      <c r="H175" s="128">
        <f>INDEX($B$5:$B$12,MATCH($B175,$A$5:$A$12,0))</f>
        <v/>
      </c>
      <c r="I175" s="128">
        <f>ROUND(G175*H175*K175,0)</f>
        <v/>
      </c>
      <c r="J175" s="153">
        <f>ROUND(G175*H175*K175*INDEX($B$19:$B$21,MATCH("Raro",$A$19:$A$21,0)),0)</f>
        <v/>
      </c>
      <c r="K175" s="115" t="n">
        <v>1</v>
      </c>
      <c r="L175" s="115">
        <f>ROUND(I175*8,0)</f>
        <v/>
      </c>
      <c r="M175" s="115">
        <f>ROUND(J175*10,0)</f>
        <v/>
      </c>
    </row>
    <row r="176" ht="15" customHeight="1" s="116">
      <c r="A176" s="128" t="inlineStr">
        <is>
          <t>Mithril</t>
        </is>
      </c>
      <c r="B176" s="135" t="inlineStr">
        <is>
          <t>Elmo</t>
        </is>
      </c>
      <c r="C176" s="128" t="inlineStr">
        <is>
          <t>Elmo das Profundezas</t>
        </is>
      </c>
      <c r="D176" s="128" t="n"/>
      <c r="E176" s="135" t="inlineStr">
        <is>
          <t>Usado por quem explora túneis onde a luz nunca chega.</t>
        </is>
      </c>
      <c r="F176" s="128">
        <f>INDEX(Tiers!$E$9:$E$22,MATCH($A176,Tiers!$B$9:$B$22,0))</f>
        <v/>
      </c>
      <c r="G176" s="128">
        <f>ROUND(INDEX('Curva Mestra'!$D$20:$D$94,MATCH(F176,'Curva Mestra'!$A$20:$A$94,0)),0)</f>
        <v/>
      </c>
      <c r="H176" s="128">
        <f>INDEX($B$5:$B$12,MATCH($B176,$A$5:$A$12,0))</f>
        <v/>
      </c>
      <c r="I176" s="128">
        <f>ROUND(G176*H176*K176,0)</f>
        <v/>
      </c>
      <c r="J176" s="153">
        <f>ROUND(G176*H176*K176*INDEX($B$19:$B$21,MATCH("Raro",$A$19:$A$21,0)),0)</f>
        <v/>
      </c>
      <c r="K176" s="115" t="n">
        <v>1</v>
      </c>
      <c r="L176" s="115">
        <f>ROUND(I176*8,0)</f>
        <v/>
      </c>
      <c r="M176" s="115">
        <f>ROUND(J176*10,0)</f>
        <v/>
      </c>
    </row>
    <row r="177" ht="15" customHeight="1" s="116">
      <c r="A177" s="128" t="inlineStr">
        <is>
          <t>Mithril</t>
        </is>
      </c>
      <c r="B177" s="135" t="inlineStr">
        <is>
          <t>Calca</t>
        </is>
      </c>
      <c r="C177" s="128" t="inlineStr">
        <is>
          <t>Calça de Mithril</t>
        </is>
      </c>
      <c r="D177" s="128" t="n"/>
      <c r="E177" s="135" t="inlineStr">
        <is>
          <t>Leve o bastante pra nadar com ela, se precisar.</t>
        </is>
      </c>
      <c r="F177" s="128">
        <f>INDEX(Tiers!$E$9:$E$22,MATCH($A177,Tiers!$B$9:$B$22,0))</f>
        <v/>
      </c>
      <c r="G177" s="128">
        <f>ROUND(INDEX('Curva Mestra'!$D$20:$D$94,MATCH(F177,'Curva Mestra'!$A$20:$A$94,0)),0)</f>
        <v/>
      </c>
      <c r="H177" s="128">
        <f>INDEX($B$5:$B$12,MATCH($B177,$A$5:$A$12,0))</f>
        <v/>
      </c>
      <c r="I177" s="128">
        <f>ROUND(G177*H177*K177,0)</f>
        <v/>
      </c>
      <c r="J177" s="153">
        <f>ROUND(G177*H177*K177*INDEX($B$19:$B$21,MATCH("Raro",$A$19:$A$21,0)),0)</f>
        <v/>
      </c>
      <c r="K177" s="115" t="n">
        <v>1</v>
      </c>
      <c r="L177" s="115">
        <f>ROUND(I177*8,0)</f>
        <v/>
      </c>
      <c r="M177" s="115">
        <f>ROUND(J177*10,0)</f>
        <v/>
      </c>
    </row>
    <row r="178" ht="15" customHeight="1" s="116">
      <c r="A178" s="128" t="inlineStr">
        <is>
          <t>Mithril</t>
        </is>
      </c>
      <c r="B178" s="135" t="inlineStr">
        <is>
          <t>Calca</t>
        </is>
      </c>
      <c r="C178" s="128" t="inlineStr">
        <is>
          <t>Calça das Profundezas</t>
        </is>
      </c>
      <c r="D178" s="128" t="n"/>
      <c r="E178" s="135" t="inlineStr">
        <is>
          <t>Reforçada só onde importa — o resto é puro mithril fino.</t>
        </is>
      </c>
      <c r="F178" s="128">
        <f>INDEX(Tiers!$E$9:$E$22,MATCH($A178,Tiers!$B$9:$B$22,0))</f>
        <v/>
      </c>
      <c r="G178" s="128">
        <f>ROUND(INDEX('Curva Mestra'!$D$20:$D$94,MATCH(F178,'Curva Mestra'!$A$20:$A$94,0)),0)</f>
        <v/>
      </c>
      <c r="H178" s="128">
        <f>INDEX($B$5:$B$12,MATCH($B178,$A$5:$A$12,0))</f>
        <v/>
      </c>
      <c r="I178" s="128">
        <f>ROUND(G178*H178*K178,0)</f>
        <v/>
      </c>
      <c r="J178" s="153">
        <f>ROUND(G178*H178*K178*INDEX($B$19:$B$21,MATCH("Raro",$A$19:$A$21,0)),0)</f>
        <v/>
      </c>
      <c r="K178" s="115" t="n">
        <v>1</v>
      </c>
      <c r="L178" s="115">
        <f>ROUND(I178*8,0)</f>
        <v/>
      </c>
      <c r="M178" s="115">
        <f>ROUND(J178*10,0)</f>
        <v/>
      </c>
    </row>
    <row r="179" ht="15" customHeight="1" s="116">
      <c r="A179" s="128" t="inlineStr">
        <is>
          <t>Mithril</t>
        </is>
      </c>
      <c r="B179" s="135" t="inlineStr">
        <is>
          <t>Bota</t>
        </is>
      </c>
      <c r="C179" s="128" t="inlineStr">
        <is>
          <t>Bota de Mithril</t>
        </is>
      </c>
      <c r="D179" s="128" t="n"/>
      <c r="E179" s="135" t="inlineStr">
        <is>
          <t>Sola fina, quase silenciosa em qualquer superfície.</t>
        </is>
      </c>
      <c r="F179" s="128">
        <f>INDEX(Tiers!$E$9:$E$22,MATCH($A179,Tiers!$B$9:$B$22,0))</f>
        <v/>
      </c>
      <c r="G179" s="128">
        <f>ROUND(INDEX('Curva Mestra'!$D$20:$D$94,MATCH(F179,'Curva Mestra'!$A$20:$A$94,0)),0)</f>
        <v/>
      </c>
      <c r="H179" s="128">
        <f>INDEX($B$5:$B$12,MATCH($B179,$A$5:$A$12,0))</f>
        <v/>
      </c>
      <c r="I179" s="128">
        <f>ROUND(G179*H179*K179,0)</f>
        <v/>
      </c>
      <c r="J179" s="153">
        <f>ROUND(G179*H179*K179*INDEX($B$19:$B$21,MATCH("Raro",$A$19:$A$21,0)),0)</f>
        <v/>
      </c>
      <c r="K179" s="115" t="n">
        <v>1</v>
      </c>
      <c r="L179" s="115">
        <f>ROUND(I179*8,0)</f>
        <v/>
      </c>
      <c r="M179" s="115">
        <f>ROUND(J179*10,0)</f>
        <v/>
      </c>
    </row>
    <row r="180" ht="15" customHeight="1" s="116">
      <c r="A180" s="128" t="inlineStr">
        <is>
          <t>Mithril</t>
        </is>
      </c>
      <c r="B180" s="135" t="inlineStr">
        <is>
          <t>Bota</t>
        </is>
      </c>
      <c r="C180" s="128" t="inlineStr">
        <is>
          <t>Bota Silenciosa das Profundezas</t>
        </is>
      </c>
      <c r="D180" s="128" t="n"/>
      <c r="E180" s="135" t="inlineStr">
        <is>
          <t>Nem a água parada denuncia o passo de quem usa.</t>
        </is>
      </c>
      <c r="F180" s="128">
        <f>INDEX(Tiers!$E$9:$E$22,MATCH($A180,Tiers!$B$9:$B$22,0))</f>
        <v/>
      </c>
      <c r="G180" s="128">
        <f>ROUND(INDEX('Curva Mestra'!$D$20:$D$94,MATCH(F180,'Curva Mestra'!$A$20:$A$94,0)),0)</f>
        <v/>
      </c>
      <c r="H180" s="128">
        <f>INDEX($B$5:$B$12,MATCH($B180,$A$5:$A$12,0))</f>
        <v/>
      </c>
      <c r="I180" s="128">
        <f>ROUND(G180*H180*K180,0)</f>
        <v/>
      </c>
      <c r="J180" s="153">
        <f>ROUND(G180*H180*K180*INDEX($B$19:$B$21,MATCH("Raro",$A$19:$A$21,0)),0)</f>
        <v/>
      </c>
      <c r="K180" s="115" t="n">
        <v>1</v>
      </c>
      <c r="L180" s="115">
        <f>ROUND(I180*8,0)</f>
        <v/>
      </c>
      <c r="M180" s="115">
        <f>ROUND(J180*10,0)</f>
        <v/>
      </c>
    </row>
    <row r="181" ht="15" customHeight="1" s="116">
      <c r="A181" s="128" t="inlineStr">
        <is>
          <t>Mithril</t>
        </is>
      </c>
      <c r="B181" s="135" t="inlineStr">
        <is>
          <t>Luvas</t>
        </is>
      </c>
      <c r="C181" s="128" t="inlineStr">
        <is>
          <t>Luvas de Mithril</t>
        </is>
      </c>
      <c r="D181" s="128" t="n"/>
      <c r="E181" s="135" t="inlineStr">
        <is>
          <t>Finas o bastante pra sentir cada detalhe através delas.</t>
        </is>
      </c>
      <c r="F181" s="128">
        <f>INDEX(Tiers!$E$9:$E$22,MATCH($A181,Tiers!$B$9:$B$22,0))</f>
        <v/>
      </c>
      <c r="G181" s="128">
        <f>ROUND(INDEX('Curva Mestra'!$D$20:$D$94,MATCH(F181,'Curva Mestra'!$A$20:$A$94,0)),0)</f>
        <v/>
      </c>
      <c r="H181" s="128">
        <f>INDEX($B$5:$B$12,MATCH($B181,$A$5:$A$12,0))</f>
        <v/>
      </c>
      <c r="I181" s="128">
        <f>ROUND(G181*H181*K181,0)</f>
        <v/>
      </c>
      <c r="J181" s="153">
        <f>ROUND(G181*H181*K181*INDEX($B$19:$B$21,MATCH("Raro",$A$19:$A$21,0)),0)</f>
        <v/>
      </c>
      <c r="K181" s="115" t="n">
        <v>1</v>
      </c>
      <c r="L181" s="115">
        <f>ROUND(I181*8,0)</f>
        <v/>
      </c>
      <c r="M181" s="115">
        <f>ROUND(J181*10,0)</f>
        <v/>
      </c>
    </row>
    <row r="182" ht="15" customHeight="1" s="116">
      <c r="A182" s="128" t="inlineStr">
        <is>
          <t>Mithril</t>
        </is>
      </c>
      <c r="B182" s="135" t="inlineStr">
        <is>
          <t>Luvas</t>
        </is>
      </c>
      <c r="C182" s="128" t="inlineStr">
        <is>
          <t>Luvas das Profundezas</t>
        </is>
      </c>
      <c r="D182" s="128" t="n"/>
      <c r="E182" s="135" t="inlineStr">
        <is>
          <t>Usadas por quem trabalha nos veios mais raros do Porto.</t>
        </is>
      </c>
      <c r="F182" s="128">
        <f>INDEX(Tiers!$E$9:$E$22,MATCH($A182,Tiers!$B$9:$B$22,0))</f>
        <v/>
      </c>
      <c r="G182" s="128">
        <f>ROUND(INDEX('Curva Mestra'!$D$20:$D$94,MATCH(F182,'Curva Mestra'!$A$20:$A$94,0)),0)</f>
        <v/>
      </c>
      <c r="H182" s="128">
        <f>INDEX($B$5:$B$12,MATCH($B182,$A$5:$A$12,0))</f>
        <v/>
      </c>
      <c r="I182" s="128">
        <f>ROUND(G182*H182*K182,0)</f>
        <v/>
      </c>
      <c r="J182" s="153">
        <f>ROUND(G182*H182*K182*INDEX($B$19:$B$21,MATCH("Raro",$A$19:$A$21,0)),0)</f>
        <v/>
      </c>
      <c r="K182" s="115" t="n">
        <v>1</v>
      </c>
      <c r="L182" s="115">
        <f>ROUND(I182*8,0)</f>
        <v/>
      </c>
      <c r="M182" s="115">
        <f>ROUND(J182*10,0)</f>
        <v/>
      </c>
    </row>
    <row r="183" ht="15" customHeight="1" s="116">
      <c r="A183" s="128" t="inlineStr">
        <is>
          <t>Mithril</t>
        </is>
      </c>
      <c r="B183" s="135" t="inlineStr">
        <is>
          <t>Amuleto</t>
        </is>
      </c>
      <c r="C183" s="128" t="inlineStr">
        <is>
          <t>Amuleto de Mithril</t>
        </is>
      </c>
      <c r="D183" s="128" t="n"/>
      <c r="E183" s="135" t="inlineStr">
        <is>
          <t>Peça simples, prateada — quase sem peso no pescoço.</t>
        </is>
      </c>
      <c r="F183" s="128">
        <f>INDEX(Tiers!$E$9:$E$22,MATCH($A183,Tiers!$B$9:$B$22,0))</f>
        <v/>
      </c>
      <c r="G183" s="128">
        <f>ROUND(INDEX('Curva Mestra'!$D$20:$D$94,MATCH(F183,'Curva Mestra'!$A$20:$A$94,0)),0)</f>
        <v/>
      </c>
      <c r="H183" s="128">
        <f>INDEX($B$5:$B$12,MATCH($B183,$A$5:$A$12,0))</f>
        <v/>
      </c>
      <c r="I183" s="128">
        <f>ROUND(G183*H183*K183,0)</f>
        <v/>
      </c>
      <c r="J183" s="153">
        <f>ROUND(G183*H183*K183*INDEX($B$19:$B$21,MATCH("Raro",$A$19:$A$21,0)),0)</f>
        <v/>
      </c>
      <c r="K183" s="115" t="n">
        <v>1</v>
      </c>
      <c r="L183" s="115">
        <f>ROUND(I183*8,0)</f>
        <v/>
      </c>
      <c r="M183" s="115">
        <f>ROUND(J183*10,0)</f>
        <v/>
      </c>
    </row>
    <row r="184" ht="15" customHeight="1" s="116">
      <c r="A184" s="128" t="inlineStr">
        <is>
          <t>Mithril</t>
        </is>
      </c>
      <c r="B184" s="135" t="inlineStr">
        <is>
          <t>Amuleto</t>
        </is>
      </c>
      <c r="C184" s="128" t="inlineStr">
        <is>
          <t>Amuleto Cristalino</t>
        </is>
      </c>
      <c r="D184" s="128" t="n"/>
      <c r="E184" s="135" t="inlineStr">
        <is>
          <t>Brilha fraco no escuro absoluto das cavernas.</t>
        </is>
      </c>
      <c r="F184" s="128">
        <f>INDEX(Tiers!$E$9:$E$22,MATCH($A184,Tiers!$B$9:$B$22,0))</f>
        <v/>
      </c>
      <c r="G184" s="128">
        <f>ROUND(INDEX('Curva Mestra'!$D$20:$D$94,MATCH(F184,'Curva Mestra'!$A$20:$A$94,0)),0)</f>
        <v/>
      </c>
      <c r="H184" s="128">
        <f>INDEX($B$5:$B$12,MATCH($B184,$A$5:$A$12,0))</f>
        <v/>
      </c>
      <c r="I184" s="128">
        <f>ROUND(G184*H184*K184,0)</f>
        <v/>
      </c>
      <c r="J184" s="153">
        <f>ROUND(G184*H184*K184*INDEX($B$19:$B$21,MATCH("Raro",$A$19:$A$21,0)),0)</f>
        <v/>
      </c>
      <c r="K184" s="115" t="n">
        <v>1</v>
      </c>
      <c r="L184" s="115">
        <f>ROUND(I184*8,0)</f>
        <v/>
      </c>
      <c r="M184" s="115">
        <f>ROUND(J184*10,0)</f>
        <v/>
      </c>
    </row>
    <row r="185" ht="15" customHeight="1" s="116">
      <c r="A185" s="128" t="inlineStr">
        <is>
          <t>Mithril</t>
        </is>
      </c>
      <c r="B185" s="135" t="inlineStr">
        <is>
          <t>Anel</t>
        </is>
      </c>
      <c r="C185" s="128" t="inlineStr">
        <is>
          <t>Anel de Mithril</t>
        </is>
      </c>
      <c r="D185" s="128" t="n"/>
      <c r="E185" s="135" t="inlineStr">
        <is>
          <t>Fino, elegante, sem gema — o próprio metal já impressiona.</t>
        </is>
      </c>
      <c r="F185" s="128">
        <f>INDEX(Tiers!$E$9:$E$22,MATCH($A185,Tiers!$B$9:$B$22,0))</f>
        <v/>
      </c>
      <c r="G185" s="128">
        <f>ROUND(INDEX('Curva Mestra'!$D$20:$D$94,MATCH(F185,'Curva Mestra'!$A$20:$A$94,0)),0)</f>
        <v/>
      </c>
      <c r="H185" s="128">
        <f>INDEX($B$5:$B$12,MATCH($B185,$A$5:$A$12,0))</f>
        <v/>
      </c>
      <c r="I185" s="128">
        <f>ROUND(G185*H185*K185,0)</f>
        <v/>
      </c>
      <c r="J185" s="153">
        <f>ROUND(G185*H185*K185*INDEX($B$19:$B$21,MATCH("Raro",$A$19:$A$21,0)),0)</f>
        <v/>
      </c>
      <c r="K185" s="115" t="n">
        <v>1</v>
      </c>
      <c r="L185" s="115">
        <f>ROUND(I185*8,0)</f>
        <v/>
      </c>
      <c r="M185" s="115">
        <f>ROUND(J185*10,0)</f>
        <v/>
      </c>
    </row>
    <row r="186" ht="15" customHeight="1" s="116">
      <c r="A186" s="128" t="inlineStr">
        <is>
          <t>Mithril</t>
        </is>
      </c>
      <c r="B186" s="135" t="inlineStr">
        <is>
          <t>Anel</t>
        </is>
      </c>
      <c r="C186" s="128" t="inlineStr">
        <is>
          <t>Anel das Profundezas</t>
        </is>
      </c>
      <c r="D186" s="128" t="n"/>
      <c r="E186" s="135" t="inlineStr">
        <is>
          <t>Achado perto de um veio raro que ninguém mais conseguiu localizar.</t>
        </is>
      </c>
      <c r="F186" s="128">
        <f>INDEX(Tiers!$E$9:$E$22,MATCH($A186,Tiers!$B$9:$B$22,0))</f>
        <v/>
      </c>
      <c r="G186" s="128">
        <f>ROUND(INDEX('Curva Mestra'!$D$20:$D$94,MATCH(F186,'Curva Mestra'!$A$20:$A$94,0)),0)</f>
        <v/>
      </c>
      <c r="H186" s="128">
        <f>INDEX($B$5:$B$12,MATCH($B186,$A$5:$A$12,0))</f>
        <v/>
      </c>
      <c r="I186" s="128">
        <f>ROUND(G186*H186*K186,0)</f>
        <v/>
      </c>
      <c r="J186" s="153">
        <f>ROUND(G186*H186*K186*INDEX($B$19:$B$21,MATCH("Raro",$A$19:$A$21,0)),0)</f>
        <v/>
      </c>
      <c r="K186" s="115" t="n">
        <v>1</v>
      </c>
      <c r="L186" s="115">
        <f>ROUND(I186*8,0)</f>
        <v/>
      </c>
      <c r="M186" s="115">
        <f>ROUND(J186*10,0)</f>
        <v/>
      </c>
    </row>
    <row r="187" ht="15" customHeight="1" s="116">
      <c r="A187" s="128" t="inlineStr">
        <is>
          <t>Ebano</t>
        </is>
      </c>
      <c r="B187" s="135" t="inlineStr">
        <is>
          <t>Peitoral</t>
        </is>
      </c>
      <c r="C187" s="128" t="inlineStr">
        <is>
          <t>Peitoral de Ébano</t>
        </is>
      </c>
      <c r="D187" s="128" t="n"/>
      <c r="E187" s="135" t="inlineStr">
        <is>
          <t>Couraça maciça impenetrável que dissipa rajadas de calor e magias arcanas.</t>
        </is>
      </c>
      <c r="F187" s="128">
        <f>INDEX(Tiers!$E$9:$E$22,MATCH($A187,Tiers!$B$9:$B$22,0))</f>
        <v/>
      </c>
      <c r="G187" s="128">
        <f>ROUND(INDEX('Curva Mestra'!$D$20:$D$94,MATCH(F187,'Curva Mestra'!$A$20:$A$94,0)),0)</f>
        <v/>
      </c>
      <c r="H187" s="128">
        <f>INDEX($B$5:$B$12,MATCH($B187,$A$5:$A$12,0))</f>
        <v/>
      </c>
      <c r="I187" s="128">
        <f>ROUND(G187*H187*K187,0)</f>
        <v/>
      </c>
      <c r="J187" s="153">
        <f>ROUND(G187*H187*K187*INDEX($B$19:$B$21,MATCH("Raro",$A$19:$A$21,0)),0)</f>
        <v/>
      </c>
      <c r="K187" s="115" t="n">
        <v>1</v>
      </c>
      <c r="L187" s="115">
        <f>ROUND(I187*8,0)</f>
        <v/>
      </c>
      <c r="M187" s="115">
        <f>ROUND(J187*10,0)</f>
        <v/>
      </c>
    </row>
    <row r="188" ht="15" customHeight="1" s="116">
      <c r="A188" s="128" t="inlineStr">
        <is>
          <t>Ebano</t>
        </is>
      </c>
      <c r="B188" s="135" t="inlineStr">
        <is>
          <t>Peitoral</t>
        </is>
      </c>
      <c r="C188" s="128" t="inlineStr">
        <is>
          <t>Peitoral de Cinza Fria</t>
        </is>
      </c>
      <c r="D188" s="128" t="n"/>
      <c r="E188" s="135" t="inlineStr">
        <is>
          <t>Forjado nas cinzas mortas — frio ao toque, mesmo perto de fogo.</t>
        </is>
      </c>
      <c r="F188" s="128">
        <f>INDEX(Tiers!$E$9:$E$22,MATCH($A188,Tiers!$B$9:$B$22,0))</f>
        <v/>
      </c>
      <c r="G188" s="128">
        <f>ROUND(INDEX('Curva Mestra'!$D$20:$D$94,MATCH(F188,'Curva Mestra'!$A$20:$A$94,0)),0)</f>
        <v/>
      </c>
      <c r="H188" s="128">
        <f>INDEX($B$5:$B$12,MATCH($B188,$A$5:$A$12,0))</f>
        <v/>
      </c>
      <c r="I188" s="128">
        <f>ROUND(G188*H188*K188,0)</f>
        <v/>
      </c>
      <c r="J188" s="153">
        <f>ROUND(G188*H188*K188*INDEX($B$19:$B$21,MATCH("Raro",$A$19:$A$21,0)),0)</f>
        <v/>
      </c>
      <c r="K188" s="115" t="n">
        <v>1</v>
      </c>
      <c r="L188" s="115">
        <f>ROUND(I188*8,0)</f>
        <v/>
      </c>
      <c r="M188" s="115">
        <f>ROUND(J188*10,0)</f>
        <v/>
      </c>
    </row>
    <row r="189" ht="15" customHeight="1" s="116">
      <c r="A189" s="128" t="inlineStr">
        <is>
          <t>Ebano</t>
        </is>
      </c>
      <c r="B189" s="135" t="inlineStr">
        <is>
          <t>Peitoral</t>
        </is>
      </c>
      <c r="C189" s="128" t="inlineStr">
        <is>
          <t>Peitoral Corroído pela Carne</t>
        </is>
      </c>
      <c r="D189" s="128" t="inlineStr">
        <is>
          <t>Fragilidade</t>
        </is>
      </c>
      <c r="E189" s="135" t="inlineStr">
        <is>
          <t>Algo tentou se fundir a essa armadura — e quase conseguiu.</t>
        </is>
      </c>
      <c r="F189" s="128">
        <f>INDEX(Tiers!$E$9:$E$22,MATCH($A189,Tiers!$B$9:$B$22,0))</f>
        <v/>
      </c>
      <c r="G189" s="128">
        <f>ROUND(INDEX('Curva Mestra'!$D$20:$D$94,MATCH(F189,'Curva Mestra'!$A$20:$A$94,0)),0)</f>
        <v/>
      </c>
      <c r="H189" s="128">
        <f>INDEX($B$5:$B$12,MATCH($B189,$A$5:$A$12,0))</f>
        <v/>
      </c>
      <c r="I189" s="128">
        <f>ROUND(G189*H189*K189,0)</f>
        <v/>
      </c>
      <c r="J189" s="153">
        <f>ROUND(G189*H189*K189*INDEX($B$19:$B$21,MATCH("Raro",$A$19:$A$21,0)),0)</f>
        <v/>
      </c>
      <c r="K189" s="115" t="n">
        <v>1.05</v>
      </c>
      <c r="L189" s="115">
        <f>ROUND(I189*8,0)</f>
        <v/>
      </c>
      <c r="M189" s="115">
        <f>ROUND(J189*10,0)</f>
        <v/>
      </c>
    </row>
    <row r="190" ht="15" customHeight="1" s="116">
      <c r="A190" s="128" t="inlineStr">
        <is>
          <t>Ebano</t>
        </is>
      </c>
      <c r="B190" s="135" t="inlineStr">
        <is>
          <t>Escudo</t>
        </is>
      </c>
      <c r="C190" s="128" t="inlineStr">
        <is>
          <t>Escudo de Ébano</t>
        </is>
      </c>
      <c r="D190" s="128" t="n"/>
      <c r="E190" s="135" t="inlineStr">
        <is>
          <t>Pesado, escuro, absorve mais luz do que qualquer escudo deveria.</t>
        </is>
      </c>
      <c r="F190" s="128">
        <f>INDEX(Tiers!$E$9:$E$22,MATCH($A190,Tiers!$B$9:$B$22,0))</f>
        <v/>
      </c>
      <c r="G190" s="128">
        <f>ROUND(INDEX('Curva Mestra'!$D$20:$D$94,MATCH(F190,'Curva Mestra'!$A$20:$A$94,0)),0)</f>
        <v/>
      </c>
      <c r="H190" s="128">
        <f>INDEX($B$5:$B$12,MATCH($B190,$A$5:$A$12,0))</f>
        <v/>
      </c>
      <c r="I190" s="128">
        <f>ROUND(G190*H190*K190,0)</f>
        <v/>
      </c>
      <c r="J190" s="153">
        <f>ROUND(G190*H190*K190*INDEX($B$19:$B$21,MATCH("Raro",$A$19:$A$21,0)),0)</f>
        <v/>
      </c>
      <c r="K190" s="115" t="n">
        <v>1</v>
      </c>
      <c r="L190" s="115">
        <f>ROUND(I190*8,0)</f>
        <v/>
      </c>
      <c r="M190" s="115">
        <f>ROUND(J190*10,0)</f>
        <v/>
      </c>
    </row>
    <row r="191" ht="15" customHeight="1" s="116">
      <c r="A191" s="128" t="inlineStr">
        <is>
          <t>Ebano</t>
        </is>
      </c>
      <c r="B191" s="135" t="inlineStr">
        <is>
          <t>Escudo</t>
        </is>
      </c>
      <c r="C191" s="128" t="inlineStr">
        <is>
          <t>Escudo Negro da Fenda</t>
        </is>
      </c>
      <c r="D191" s="128" t="n"/>
      <c r="E191" s="135" t="inlineStr">
        <is>
          <t>Talhado na rocha fria da fenda extinta.</t>
        </is>
      </c>
      <c r="F191" s="128">
        <f>INDEX(Tiers!$E$9:$E$22,MATCH($A191,Tiers!$B$9:$B$22,0))</f>
        <v/>
      </c>
      <c r="G191" s="128">
        <f>ROUND(INDEX('Curva Mestra'!$D$20:$D$94,MATCH(F191,'Curva Mestra'!$A$20:$A$94,0)),0)</f>
        <v/>
      </c>
      <c r="H191" s="128">
        <f>INDEX($B$5:$B$12,MATCH($B191,$A$5:$A$12,0))</f>
        <v/>
      </c>
      <c r="I191" s="128">
        <f>ROUND(G191*H191*K191,0)</f>
        <v/>
      </c>
      <c r="J191" s="153">
        <f>ROUND(G191*H191*K191*INDEX($B$19:$B$21,MATCH("Raro",$A$19:$A$21,0)),0)</f>
        <v/>
      </c>
      <c r="K191" s="115" t="n">
        <v>1</v>
      </c>
      <c r="L191" s="115">
        <f>ROUND(I191*8,0)</f>
        <v/>
      </c>
      <c r="M191" s="115">
        <f>ROUND(J191*10,0)</f>
        <v/>
      </c>
    </row>
    <row r="192" ht="15" customHeight="1" s="116">
      <c r="A192" s="128" t="inlineStr">
        <is>
          <t>Ebano</t>
        </is>
      </c>
      <c r="B192" s="135" t="inlineStr">
        <is>
          <t>Escudo</t>
        </is>
      </c>
      <c r="C192" s="128" t="inlineStr">
        <is>
          <t>Escudo Rachado pela Assimilação</t>
        </is>
      </c>
      <c r="D192" s="128" t="inlineStr">
        <is>
          <t>Fragilidade</t>
        </is>
      </c>
      <c r="E192" s="135" t="inlineStr">
        <is>
          <t>Uma rachadura fina percorre a superfície — cresce um pouco a cada uso.</t>
        </is>
      </c>
      <c r="F192" s="128">
        <f>INDEX(Tiers!$E$9:$E$22,MATCH($A192,Tiers!$B$9:$B$22,0))</f>
        <v/>
      </c>
      <c r="G192" s="128">
        <f>ROUND(INDEX('Curva Mestra'!$D$20:$D$94,MATCH(F192,'Curva Mestra'!$A$20:$A$94,0)),0)</f>
        <v/>
      </c>
      <c r="H192" s="128">
        <f>INDEX($B$5:$B$12,MATCH($B192,$A$5:$A$12,0))</f>
        <v/>
      </c>
      <c r="I192" s="128">
        <f>ROUND(G192*H192*K192,0)</f>
        <v/>
      </c>
      <c r="J192" s="153">
        <f>ROUND(G192*H192*K192*INDEX($B$19:$B$21,MATCH("Raro",$A$19:$A$21,0)),0)</f>
        <v/>
      </c>
      <c r="K192" s="115" t="n">
        <v>1.05</v>
      </c>
      <c r="L192" s="115">
        <f>ROUND(I192*8,0)</f>
        <v/>
      </c>
      <c r="M192" s="115">
        <f>ROUND(J192*10,0)</f>
        <v/>
      </c>
    </row>
    <row r="193" ht="15" customHeight="1" s="116">
      <c r="A193" s="128" t="inlineStr">
        <is>
          <t>Ebano</t>
        </is>
      </c>
      <c r="B193" s="135" t="inlineStr">
        <is>
          <t>Elmo</t>
        </is>
      </c>
      <c r="C193" s="128" t="inlineStr">
        <is>
          <t>Elmo de Ébano</t>
        </is>
      </c>
      <c r="D193" s="128" t="n"/>
      <c r="E193" s="135" t="inlineStr">
        <is>
          <t>Fechado, escuro, quase invisível na penumbra da fenda morta.</t>
        </is>
      </c>
      <c r="F193" s="128">
        <f>INDEX(Tiers!$E$9:$E$22,MATCH($A193,Tiers!$B$9:$B$22,0))</f>
        <v/>
      </c>
      <c r="G193" s="128">
        <f>ROUND(INDEX('Curva Mestra'!$D$20:$D$94,MATCH(F193,'Curva Mestra'!$A$20:$A$94,0)),0)</f>
        <v/>
      </c>
      <c r="H193" s="128">
        <f>INDEX($B$5:$B$12,MATCH($B193,$A$5:$A$12,0))</f>
        <v/>
      </c>
      <c r="I193" s="128">
        <f>ROUND(G193*H193*K193,0)</f>
        <v/>
      </c>
      <c r="J193" s="153">
        <f>ROUND(G193*H193*K193*INDEX($B$19:$B$21,MATCH("Raro",$A$19:$A$21,0)),0)</f>
        <v/>
      </c>
      <c r="K193" s="115" t="n">
        <v>1</v>
      </c>
      <c r="L193" s="115">
        <f>ROUND(I193*8,0)</f>
        <v/>
      </c>
      <c r="M193" s="115">
        <f>ROUND(J193*10,0)</f>
        <v/>
      </c>
    </row>
    <row r="194" ht="15" customHeight="1" s="116">
      <c r="A194" s="128" t="inlineStr">
        <is>
          <t>Ebano</t>
        </is>
      </c>
      <c r="B194" s="135" t="inlineStr">
        <is>
          <t>Elmo</t>
        </is>
      </c>
      <c r="C194" s="128" t="inlineStr">
        <is>
          <t>Elmo de Cinza Fria</t>
        </is>
      </c>
      <c r="D194" s="128" t="n"/>
      <c r="E194" s="135" t="inlineStr">
        <is>
          <t>Cobre parte do rosto com uma máscara de cinza endurecida.</t>
        </is>
      </c>
      <c r="F194" s="128">
        <f>INDEX(Tiers!$E$9:$E$22,MATCH($A194,Tiers!$B$9:$B$22,0))</f>
        <v/>
      </c>
      <c r="G194" s="128">
        <f>ROUND(INDEX('Curva Mestra'!$D$20:$D$94,MATCH(F194,'Curva Mestra'!$A$20:$A$94,0)),0)</f>
        <v/>
      </c>
      <c r="H194" s="128">
        <f>INDEX($B$5:$B$12,MATCH($B194,$A$5:$A$12,0))</f>
        <v/>
      </c>
      <c r="I194" s="128">
        <f>ROUND(G194*H194*K194,0)</f>
        <v/>
      </c>
      <c r="J194" s="153">
        <f>ROUND(G194*H194*K194*INDEX($B$19:$B$21,MATCH("Raro",$A$19:$A$21,0)),0)</f>
        <v/>
      </c>
      <c r="K194" s="115" t="n">
        <v>1</v>
      </c>
      <c r="L194" s="115">
        <f>ROUND(I194*8,0)</f>
        <v/>
      </c>
      <c r="M194" s="115">
        <f>ROUND(J194*10,0)</f>
        <v/>
      </c>
    </row>
    <row r="195" ht="15" customHeight="1" s="116">
      <c r="A195" s="128" t="inlineStr">
        <is>
          <t>Ebano</t>
        </is>
      </c>
      <c r="B195" s="135" t="inlineStr">
        <is>
          <t>Calca</t>
        </is>
      </c>
      <c r="C195" s="128" t="inlineStr">
        <is>
          <t>Calça de Ébano</t>
        </is>
      </c>
      <c r="D195" s="128" t="n"/>
      <c r="E195" s="135" t="inlineStr">
        <is>
          <t>Placas negras nas coxas, pesadas e frias.</t>
        </is>
      </c>
      <c r="F195" s="128">
        <f>INDEX(Tiers!$E$9:$E$22,MATCH($A195,Tiers!$B$9:$B$22,0))</f>
        <v/>
      </c>
      <c r="G195" s="128">
        <f>ROUND(INDEX('Curva Mestra'!$D$20:$D$94,MATCH(F195,'Curva Mestra'!$A$20:$A$94,0)),0)</f>
        <v/>
      </c>
      <c r="H195" s="128">
        <f>INDEX($B$5:$B$12,MATCH($B195,$A$5:$A$12,0))</f>
        <v/>
      </c>
      <c r="I195" s="128">
        <f>ROUND(G195*H195*K195,0)</f>
        <v/>
      </c>
      <c r="J195" s="153">
        <f>ROUND(G195*H195*K195*INDEX($B$19:$B$21,MATCH("Raro",$A$19:$A$21,0)),0)</f>
        <v/>
      </c>
      <c r="K195" s="115" t="n">
        <v>1</v>
      </c>
      <c r="L195" s="115">
        <f>ROUND(I195*8,0)</f>
        <v/>
      </c>
      <c r="M195" s="115">
        <f>ROUND(J195*10,0)</f>
        <v/>
      </c>
    </row>
    <row r="196" ht="15" customHeight="1" s="116">
      <c r="A196" s="128" t="inlineStr">
        <is>
          <t>Ebano</t>
        </is>
      </c>
      <c r="B196" s="135" t="inlineStr">
        <is>
          <t>Calca</t>
        </is>
      </c>
      <c r="C196" s="128" t="inlineStr">
        <is>
          <t>Calça Corroída</t>
        </is>
      </c>
      <c r="D196" s="128" t="inlineStr">
        <is>
          <t>Fragilidade</t>
        </is>
      </c>
      <c r="E196" s="135" t="inlineStr">
        <is>
          <t>Marcas escuras cobrem o tecido — não são só sujeira.</t>
        </is>
      </c>
      <c r="F196" s="128">
        <f>INDEX(Tiers!$E$9:$E$22,MATCH($A196,Tiers!$B$9:$B$22,0))</f>
        <v/>
      </c>
      <c r="G196" s="128">
        <f>ROUND(INDEX('Curva Mestra'!$D$20:$D$94,MATCH(F196,'Curva Mestra'!$A$20:$A$94,0)),0)</f>
        <v/>
      </c>
      <c r="H196" s="128">
        <f>INDEX($B$5:$B$12,MATCH($B196,$A$5:$A$12,0))</f>
        <v/>
      </c>
      <c r="I196" s="128">
        <f>ROUND(G196*H196*K196,0)</f>
        <v/>
      </c>
      <c r="J196" s="153">
        <f>ROUND(G196*H196*K196*INDEX($B$19:$B$21,MATCH("Raro",$A$19:$A$21,0)),0)</f>
        <v/>
      </c>
      <c r="K196" s="115" t="n">
        <v>1.05</v>
      </c>
      <c r="L196" s="115">
        <f>ROUND(I196*8,0)</f>
        <v/>
      </c>
      <c r="M196" s="115">
        <f>ROUND(J196*10,0)</f>
        <v/>
      </c>
    </row>
    <row r="197" ht="15" customHeight="1" s="116">
      <c r="A197" s="128" t="inlineStr">
        <is>
          <t>Ebano</t>
        </is>
      </c>
      <c r="B197" s="135" t="inlineStr">
        <is>
          <t>Bota</t>
        </is>
      </c>
      <c r="C197" s="128" t="inlineStr">
        <is>
          <t>Bota de Ébano</t>
        </is>
      </c>
      <c r="D197" s="128" t="n"/>
      <c r="E197" s="135" t="inlineStr">
        <is>
          <t>Sola pesada, silenciosa sobre cinza vulcânica morta.</t>
        </is>
      </c>
      <c r="F197" s="128">
        <f>INDEX(Tiers!$E$9:$E$22,MATCH($A197,Tiers!$B$9:$B$22,0))</f>
        <v/>
      </c>
      <c r="G197" s="128">
        <f>ROUND(INDEX('Curva Mestra'!$D$20:$D$94,MATCH(F197,'Curva Mestra'!$A$20:$A$94,0)),0)</f>
        <v/>
      </c>
      <c r="H197" s="128">
        <f>INDEX($B$5:$B$12,MATCH($B197,$A$5:$A$12,0))</f>
        <v/>
      </c>
      <c r="I197" s="128">
        <f>ROUND(G197*H197*K197,0)</f>
        <v/>
      </c>
      <c r="J197" s="153">
        <f>ROUND(G197*H197*K197*INDEX($B$19:$B$21,MATCH("Raro",$A$19:$A$21,0)),0)</f>
        <v/>
      </c>
      <c r="K197" s="115" t="n">
        <v>1</v>
      </c>
      <c r="L197" s="115">
        <f>ROUND(I197*8,0)</f>
        <v/>
      </c>
      <c r="M197" s="115">
        <f>ROUND(J197*10,0)</f>
        <v/>
      </c>
    </row>
    <row r="198" ht="15" customHeight="1" s="116">
      <c r="A198" s="128" t="inlineStr">
        <is>
          <t>Ebano</t>
        </is>
      </c>
      <c r="B198" s="135" t="inlineStr">
        <is>
          <t>Bota</t>
        </is>
      </c>
      <c r="C198" s="128" t="inlineStr">
        <is>
          <t>Bota de Cinza</t>
        </is>
      </c>
      <c r="D198" s="128" t="n"/>
      <c r="E198" s="135" t="inlineStr">
        <is>
          <t>Já pisou em solo que sufoca quem respira sem máscara.</t>
        </is>
      </c>
      <c r="F198" s="128">
        <f>INDEX(Tiers!$E$9:$E$22,MATCH($A198,Tiers!$B$9:$B$22,0))</f>
        <v/>
      </c>
      <c r="G198" s="128">
        <f>ROUND(INDEX('Curva Mestra'!$D$20:$D$94,MATCH(F198,'Curva Mestra'!$A$20:$A$94,0)),0)</f>
        <v/>
      </c>
      <c r="H198" s="128">
        <f>INDEX($B$5:$B$12,MATCH($B198,$A$5:$A$12,0))</f>
        <v/>
      </c>
      <c r="I198" s="128">
        <f>ROUND(G198*H198*K198,0)</f>
        <v/>
      </c>
      <c r="J198" s="153">
        <f>ROUND(G198*H198*K198*INDEX($B$19:$B$21,MATCH("Raro",$A$19:$A$21,0)),0)</f>
        <v/>
      </c>
      <c r="K198" s="115" t="n">
        <v>1</v>
      </c>
      <c r="L198" s="115">
        <f>ROUND(I198*8,0)</f>
        <v/>
      </c>
      <c r="M198" s="115">
        <f>ROUND(J198*10,0)</f>
        <v/>
      </c>
    </row>
    <row r="199" ht="15" customHeight="1" s="116">
      <c r="A199" s="128" t="inlineStr">
        <is>
          <t>Ebano</t>
        </is>
      </c>
      <c r="B199" s="135" t="inlineStr">
        <is>
          <t>Luvas</t>
        </is>
      </c>
      <c r="C199" s="128" t="inlineStr">
        <is>
          <t>Luvas de Ébano</t>
        </is>
      </c>
      <c r="D199" s="128" t="n"/>
      <c r="E199" s="135" t="inlineStr">
        <is>
          <t>Placas escuras nos dedos, frias mesmo em dia quente.</t>
        </is>
      </c>
      <c r="F199" s="128">
        <f>INDEX(Tiers!$E$9:$E$22,MATCH($A199,Tiers!$B$9:$B$22,0))</f>
        <v/>
      </c>
      <c r="G199" s="128">
        <f>ROUND(INDEX('Curva Mestra'!$D$20:$D$94,MATCH(F199,'Curva Mestra'!$A$20:$A$94,0)),0)</f>
        <v/>
      </c>
      <c r="H199" s="128">
        <f>INDEX($B$5:$B$12,MATCH($B199,$A$5:$A$12,0))</f>
        <v/>
      </c>
      <c r="I199" s="128">
        <f>ROUND(G199*H199*K199,0)</f>
        <v/>
      </c>
      <c r="J199" s="153">
        <f>ROUND(G199*H199*K199*INDEX($B$19:$B$21,MATCH("Raro",$A$19:$A$21,0)),0)</f>
        <v/>
      </c>
      <c r="K199" s="115" t="n">
        <v>1</v>
      </c>
      <c r="L199" s="115">
        <f>ROUND(I199*8,0)</f>
        <v/>
      </c>
      <c r="M199" s="115">
        <f>ROUND(J199*10,0)</f>
        <v/>
      </c>
    </row>
    <row r="200" ht="15" customHeight="1" s="116">
      <c r="A200" s="128" t="inlineStr">
        <is>
          <t>Ebano</t>
        </is>
      </c>
      <c r="B200" s="135" t="inlineStr">
        <is>
          <t>Luvas</t>
        </is>
      </c>
      <c r="C200" s="128" t="inlineStr">
        <is>
          <t>Luvas que Sugam a Vida</t>
        </is>
      </c>
      <c r="D200" s="128" t="inlineStr">
        <is>
          <t>Fragilidade</t>
        </is>
      </c>
      <c r="E200" s="135" t="inlineStr">
        <is>
          <t>Desconfortáveis de vestir — parecem drenar um pouco de quem as usa, e devolver em combate.</t>
        </is>
      </c>
      <c r="F200" s="128">
        <f>INDEX(Tiers!$E$9:$E$22,MATCH($A200,Tiers!$B$9:$B$22,0))</f>
        <v/>
      </c>
      <c r="G200" s="128">
        <f>ROUND(INDEX('Curva Mestra'!$D$20:$D$94,MATCH(F200,'Curva Mestra'!$A$20:$A$94,0)),0)</f>
        <v/>
      </c>
      <c r="H200" s="128">
        <f>INDEX($B$5:$B$12,MATCH($B200,$A$5:$A$12,0))</f>
        <v/>
      </c>
      <c r="I200" s="128">
        <f>ROUND(G200*H200*K200,0)</f>
        <v/>
      </c>
      <c r="J200" s="153">
        <f>ROUND(G200*H200*K200*INDEX($B$19:$B$21,MATCH("Raro",$A$19:$A$21,0)),0)</f>
        <v/>
      </c>
      <c r="K200" s="115" t="n">
        <v>0.93</v>
      </c>
      <c r="L200" s="115">
        <f>ROUND(I200*8,0)</f>
        <v/>
      </c>
      <c r="M200" s="115">
        <f>ROUND(J200*10,0)</f>
        <v/>
      </c>
    </row>
    <row r="201" ht="15" customHeight="1" s="116">
      <c r="A201" s="128" t="inlineStr">
        <is>
          <t>Ebano</t>
        </is>
      </c>
      <c r="B201" s="135" t="inlineStr">
        <is>
          <t>Amuleto</t>
        </is>
      </c>
      <c r="C201" s="128" t="inlineStr">
        <is>
          <t>Amuleto de Ébano</t>
        </is>
      </c>
      <c r="D201" s="128" t="n"/>
      <c r="E201" s="135" t="inlineStr">
        <is>
          <t>Peça escura, sem brilho — nem tenta refletir luz nenhuma.</t>
        </is>
      </c>
      <c r="F201" s="128">
        <f>INDEX(Tiers!$E$9:$E$22,MATCH($A201,Tiers!$B$9:$B$22,0))</f>
        <v/>
      </c>
      <c r="G201" s="128">
        <f>ROUND(INDEX('Curva Mestra'!$D$20:$D$94,MATCH(F201,'Curva Mestra'!$A$20:$A$94,0)),0)</f>
        <v/>
      </c>
      <c r="H201" s="128">
        <f>INDEX($B$5:$B$12,MATCH($B201,$A$5:$A$12,0))</f>
        <v/>
      </c>
      <c r="I201" s="128">
        <f>ROUND(G201*H201*K201,0)</f>
        <v/>
      </c>
      <c r="J201" s="153">
        <f>ROUND(G201*H201*K201*INDEX($B$19:$B$21,MATCH("Raro",$A$19:$A$21,0)),0)</f>
        <v/>
      </c>
      <c r="K201" s="115" t="n">
        <v>1</v>
      </c>
      <c r="L201" s="115">
        <f>ROUND(I201*8,0)</f>
        <v/>
      </c>
      <c r="M201" s="115">
        <f>ROUND(J201*10,0)</f>
        <v/>
      </c>
    </row>
    <row r="202" ht="15" customHeight="1" s="116">
      <c r="A202" s="128" t="inlineStr">
        <is>
          <t>Ebano</t>
        </is>
      </c>
      <c r="B202" s="135" t="inlineStr">
        <is>
          <t>Amuleto</t>
        </is>
      </c>
      <c r="C202" s="128" t="inlineStr">
        <is>
          <t>Amuleto Sombrio da Fenda</t>
        </is>
      </c>
      <c r="D202" s="128" t="n"/>
      <c r="E202" s="135" t="inlineStr">
        <is>
          <t>Ainda carrega o silêncio congelado da fenda vulcânica extinta.</t>
        </is>
      </c>
      <c r="F202" s="128">
        <f>INDEX(Tiers!$E$9:$E$22,MATCH($A202,Tiers!$B$9:$B$22,0))</f>
        <v/>
      </c>
      <c r="G202" s="128">
        <f>ROUND(INDEX('Curva Mestra'!$D$20:$D$94,MATCH(F202,'Curva Mestra'!$A$20:$A$94,0)),0)</f>
        <v/>
      </c>
      <c r="H202" s="128">
        <f>INDEX($B$5:$B$12,MATCH($B202,$A$5:$A$12,0))</f>
        <v/>
      </c>
      <c r="I202" s="128">
        <f>ROUND(G202*H202*K202,0)</f>
        <v/>
      </c>
      <c r="J202" s="153">
        <f>ROUND(G202*H202*K202*INDEX($B$19:$B$21,MATCH("Raro",$A$19:$A$21,0)),0)</f>
        <v/>
      </c>
      <c r="K202" s="115" t="n">
        <v>1</v>
      </c>
      <c r="L202" s="115">
        <f>ROUND(I202*8,0)</f>
        <v/>
      </c>
      <c r="M202" s="115">
        <f>ROUND(J202*10,0)</f>
        <v/>
      </c>
    </row>
    <row r="203" ht="15" customHeight="1" s="116">
      <c r="A203" s="128" t="inlineStr">
        <is>
          <t>Ebano</t>
        </is>
      </c>
      <c r="B203" s="135" t="inlineStr">
        <is>
          <t>Anel</t>
        </is>
      </c>
      <c r="C203" s="128" t="inlineStr">
        <is>
          <t>Anel de Ébano</t>
        </is>
      </c>
      <c r="D203" s="128" t="n"/>
      <c r="E203" s="135" t="inlineStr">
        <is>
          <t>Anel escuro, opaco, quase invisível na sombra.</t>
        </is>
      </c>
      <c r="F203" s="128">
        <f>INDEX(Tiers!$E$9:$E$22,MATCH($A203,Tiers!$B$9:$B$22,0))</f>
        <v/>
      </c>
      <c r="G203" s="128">
        <f>ROUND(INDEX('Curva Mestra'!$D$20:$D$94,MATCH(F203,'Curva Mestra'!$A$20:$A$94,0)),0)</f>
        <v/>
      </c>
      <c r="H203" s="128">
        <f>INDEX($B$5:$B$12,MATCH($B203,$A$5:$A$12,0))</f>
        <v/>
      </c>
      <c r="I203" s="128">
        <f>ROUND(G203*H203*K203,0)</f>
        <v/>
      </c>
      <c r="J203" s="153">
        <f>ROUND(G203*H203*K203*INDEX($B$19:$B$21,MATCH("Raro",$A$19:$A$21,0)),0)</f>
        <v/>
      </c>
      <c r="K203" s="115" t="n">
        <v>1</v>
      </c>
      <c r="L203" s="115">
        <f>ROUND(I203*8,0)</f>
        <v/>
      </c>
      <c r="M203" s="115">
        <f>ROUND(J203*10,0)</f>
        <v/>
      </c>
    </row>
    <row r="204" ht="15" customHeight="1" s="116">
      <c r="A204" s="128" t="inlineStr">
        <is>
          <t>Ebano</t>
        </is>
      </c>
      <c r="B204" s="135" t="inlineStr">
        <is>
          <t>Anel</t>
        </is>
      </c>
      <c r="C204" s="128" t="inlineStr">
        <is>
          <t>Anel Negro Corroído</t>
        </is>
      </c>
      <c r="D204" s="128" t="n"/>
      <c r="E204" s="135" t="inlineStr">
        <is>
          <t>Marcas escuras cobrem a superfície — ninguém sabe exatamente o que causou.</t>
        </is>
      </c>
      <c r="F204" s="128">
        <f>INDEX(Tiers!$E$9:$E$22,MATCH($A204,Tiers!$B$9:$B$22,0))</f>
        <v/>
      </c>
      <c r="G204" s="128">
        <f>ROUND(INDEX('Curva Mestra'!$D$20:$D$94,MATCH(F204,'Curva Mestra'!$A$20:$A$94,0)),0)</f>
        <v/>
      </c>
      <c r="H204" s="128">
        <f>INDEX($B$5:$B$12,MATCH($B204,$A$5:$A$12,0))</f>
        <v/>
      </c>
      <c r="I204" s="128">
        <f>ROUND(G204*H204*K204,0)</f>
        <v/>
      </c>
      <c r="J204" s="153">
        <f>ROUND(G204*H204*K204*INDEX($B$19:$B$21,MATCH("Raro",$A$19:$A$21,0)),0)</f>
        <v/>
      </c>
      <c r="K204" s="115" t="n">
        <v>1</v>
      </c>
      <c r="L204" s="115">
        <f>ROUND(I204*8,0)</f>
        <v/>
      </c>
      <c r="M204" s="115">
        <f>ROUND(J204*10,0)</f>
        <v/>
      </c>
    </row>
    <row r="205" ht="15" customHeight="1" s="116">
      <c r="A205" s="128" t="inlineStr">
        <is>
          <t>Adamantina</t>
        </is>
      </c>
      <c r="B205" s="135" t="inlineStr">
        <is>
          <t>Peitoral</t>
        </is>
      </c>
      <c r="C205" s="128" t="inlineStr">
        <is>
          <t>Peitoral de Adamantina</t>
        </is>
      </c>
      <c r="D205" s="128" t="n"/>
      <c r="E205" s="135" t="inlineStr">
        <is>
          <t>A couraça definitiva da engenharia militar dos homens — imune a deformações.</t>
        </is>
      </c>
      <c r="F205" s="128">
        <f>INDEX(Tiers!$E$9:$E$22,MATCH($A205,Tiers!$B$9:$B$22,0))</f>
        <v/>
      </c>
      <c r="G205" s="128">
        <f>ROUND(INDEX('Curva Mestra'!$D$20:$D$94,MATCH(F205,'Curva Mestra'!$A$20:$A$94,0)),0)</f>
        <v/>
      </c>
      <c r="H205" s="128">
        <f>INDEX($B$5:$B$12,MATCH($B205,$A$5:$A$12,0))</f>
        <v/>
      </c>
      <c r="I205" s="128">
        <f>ROUND(G205*H205*K205,0)</f>
        <v/>
      </c>
      <c r="J205" s="153">
        <f>ROUND(G205*H205*K205*INDEX($B$19:$B$21,MATCH("Raro",$A$19:$A$21,0)),0)</f>
        <v/>
      </c>
      <c r="K205" s="115" t="n">
        <v>1</v>
      </c>
      <c r="L205" s="115">
        <f>ROUND(I205*8,0)</f>
        <v/>
      </c>
      <c r="M205" s="115">
        <f>ROUND(J205*10,0)</f>
        <v/>
      </c>
    </row>
    <row r="206" ht="15" customHeight="1" s="116">
      <c r="A206" s="128" t="inlineStr">
        <is>
          <t>Adamantina</t>
        </is>
      </c>
      <c r="B206" s="135" t="inlineStr">
        <is>
          <t>Peitoral</t>
        </is>
      </c>
      <c r="C206" s="128" t="inlineStr">
        <is>
          <t>Peitoral do Bastião</t>
        </is>
      </c>
      <c r="D206" s="128" t="n"/>
      <c r="E206" s="135" t="inlineStr">
        <is>
          <t>Padrão dos Cavaleiros do Dragão Decaído — pesado, confiável, sem exceção.</t>
        </is>
      </c>
      <c r="F206" s="128">
        <f>INDEX(Tiers!$E$9:$E$22,MATCH($A206,Tiers!$B$9:$B$22,0))</f>
        <v/>
      </c>
      <c r="G206" s="128">
        <f>ROUND(INDEX('Curva Mestra'!$D$20:$D$94,MATCH(F206,'Curva Mestra'!$A$20:$A$94,0)),0)</f>
        <v/>
      </c>
      <c r="H206" s="128">
        <f>INDEX($B$5:$B$12,MATCH($B206,$A$5:$A$12,0))</f>
        <v/>
      </c>
      <c r="I206" s="128">
        <f>ROUND(G206*H206*K206,0)</f>
        <v/>
      </c>
      <c r="J206" s="153">
        <f>ROUND(G206*H206*K206*INDEX($B$19:$B$21,MATCH("Raro",$A$19:$A$21,0)),0)</f>
        <v/>
      </c>
      <c r="K206" s="115" t="n">
        <v>1</v>
      </c>
      <c r="L206" s="115">
        <f>ROUND(I206*8,0)</f>
        <v/>
      </c>
      <c r="M206" s="115">
        <f>ROUND(J206*10,0)</f>
        <v/>
      </c>
    </row>
    <row r="207" ht="15" customHeight="1" s="116">
      <c r="A207" s="128" t="inlineStr">
        <is>
          <t>Adamantina</t>
        </is>
      </c>
      <c r="B207" s="135" t="inlineStr">
        <is>
          <t>Peitoral</t>
        </is>
      </c>
      <c r="C207" s="128" t="inlineStr">
        <is>
          <t>Peitoral Selado pela Ordem</t>
        </is>
      </c>
      <c r="D207" s="128" t="n"/>
      <c r="E207" s="135" t="inlineStr">
        <is>
          <t>Gravado com o brasão que todo Cavaleiro jura defender até o fim.</t>
        </is>
      </c>
      <c r="F207" s="128">
        <f>INDEX(Tiers!$E$9:$E$22,MATCH($A207,Tiers!$B$9:$B$22,0))</f>
        <v/>
      </c>
      <c r="G207" s="128">
        <f>ROUND(INDEX('Curva Mestra'!$D$20:$D$94,MATCH(F207,'Curva Mestra'!$A$20:$A$94,0)),0)</f>
        <v/>
      </c>
      <c r="H207" s="128">
        <f>INDEX($B$5:$B$12,MATCH($B207,$A$5:$A$12,0))</f>
        <v/>
      </c>
      <c r="I207" s="128">
        <f>ROUND(G207*H207*K207,0)</f>
        <v/>
      </c>
      <c r="J207" s="153">
        <f>ROUND(G207*H207*K207*INDEX($B$19:$B$21,MATCH("Raro",$A$19:$A$21,0)),0)</f>
        <v/>
      </c>
      <c r="K207" s="115" t="n">
        <v>1.05</v>
      </c>
      <c r="L207" s="115">
        <f>ROUND(I207*8,0)</f>
        <v/>
      </c>
      <c r="M207" s="115">
        <f>ROUND(J207*10,0)</f>
        <v/>
      </c>
    </row>
    <row r="208" ht="15" customHeight="1" s="116">
      <c r="A208" s="128" t="inlineStr">
        <is>
          <t>Adamantina</t>
        </is>
      </c>
      <c r="B208" s="135" t="inlineStr">
        <is>
          <t>Escudo</t>
        </is>
      </c>
      <c r="C208" s="128" t="inlineStr">
        <is>
          <t>Escudo de Adamantina</t>
        </is>
      </c>
      <c r="D208" s="128" t="n"/>
      <c r="E208" s="135" t="inlineStr">
        <is>
          <t>Praticamente impossível de rachar — testado em décadas de guerra.</t>
        </is>
      </c>
      <c r="F208" s="128">
        <f>INDEX(Tiers!$E$9:$E$22,MATCH($A208,Tiers!$B$9:$B$22,0))</f>
        <v/>
      </c>
      <c r="G208" s="128">
        <f>ROUND(INDEX('Curva Mestra'!$D$20:$D$94,MATCH(F208,'Curva Mestra'!$A$20:$A$94,0)),0)</f>
        <v/>
      </c>
      <c r="H208" s="128">
        <f>INDEX($B$5:$B$12,MATCH($B208,$A$5:$A$12,0))</f>
        <v/>
      </c>
      <c r="I208" s="128">
        <f>ROUND(G208*H208*K208,0)</f>
        <v/>
      </c>
      <c r="J208" s="153">
        <f>ROUND(G208*H208*K208*INDEX($B$19:$B$21,MATCH("Raro",$A$19:$A$21,0)),0)</f>
        <v/>
      </c>
      <c r="K208" s="115" t="n">
        <v>1</v>
      </c>
      <c r="L208" s="115">
        <f>ROUND(I208*8,0)</f>
        <v/>
      </c>
      <c r="M208" s="115">
        <f>ROUND(J208*10,0)</f>
        <v/>
      </c>
    </row>
    <row r="209" ht="15" customHeight="1" s="116">
      <c r="A209" s="128" t="inlineStr">
        <is>
          <t>Adamantina</t>
        </is>
      </c>
      <c r="B209" s="135" t="inlineStr">
        <is>
          <t>Escudo</t>
        </is>
      </c>
      <c r="C209" s="128" t="inlineStr">
        <is>
          <t>Escudo do Titã Contido</t>
        </is>
      </c>
      <c r="D209" s="128" t="n"/>
      <c r="E209" s="135" t="inlineStr">
        <is>
          <t>Forjado com o mesmo minério que quase não teve fim de extrair.</t>
        </is>
      </c>
      <c r="F209" s="128">
        <f>INDEX(Tiers!$E$9:$E$22,MATCH($A209,Tiers!$B$9:$B$22,0))</f>
        <v/>
      </c>
      <c r="G209" s="128">
        <f>ROUND(INDEX('Curva Mestra'!$D$20:$D$94,MATCH(F209,'Curva Mestra'!$A$20:$A$94,0)),0)</f>
        <v/>
      </c>
      <c r="H209" s="128">
        <f>INDEX($B$5:$B$12,MATCH($B209,$A$5:$A$12,0))</f>
        <v/>
      </c>
      <c r="I209" s="128">
        <f>ROUND(G209*H209*K209,0)</f>
        <v/>
      </c>
      <c r="J209" s="153">
        <f>ROUND(G209*H209*K209*INDEX($B$19:$B$21,MATCH("Raro",$A$19:$A$21,0)),0)</f>
        <v/>
      </c>
      <c r="K209" s="115" t="n">
        <v>1</v>
      </c>
      <c r="L209" s="115">
        <f>ROUND(I209*8,0)</f>
        <v/>
      </c>
      <c r="M209" s="115">
        <f>ROUND(J209*10,0)</f>
        <v/>
      </c>
    </row>
    <row r="210" ht="15" customHeight="1" s="116">
      <c r="A210" s="128" t="inlineStr">
        <is>
          <t>Adamantina</t>
        </is>
      </c>
      <c r="B210" s="135" t="inlineStr">
        <is>
          <t>Escudo</t>
        </is>
      </c>
      <c r="C210" s="128" t="inlineStr">
        <is>
          <t>Escudo Selado da Ordem</t>
        </is>
      </c>
      <c r="D210" s="128" t="n"/>
      <c r="E210" s="135" t="inlineStr">
        <is>
          <t>Usado nas muralhas externas do Bastião, sem uma única marca de derrota.</t>
        </is>
      </c>
      <c r="F210" s="128">
        <f>INDEX(Tiers!$E$9:$E$22,MATCH($A210,Tiers!$B$9:$B$22,0))</f>
        <v/>
      </c>
      <c r="G210" s="128">
        <f>ROUND(INDEX('Curva Mestra'!$D$20:$D$94,MATCH(F210,'Curva Mestra'!$A$20:$A$94,0)),0)</f>
        <v/>
      </c>
      <c r="H210" s="128">
        <f>INDEX($B$5:$B$12,MATCH($B210,$A$5:$A$12,0))</f>
        <v/>
      </c>
      <c r="I210" s="128">
        <f>ROUND(G210*H210*K210,0)</f>
        <v/>
      </c>
      <c r="J210" s="153">
        <f>ROUND(G210*H210*K210*INDEX($B$19:$B$21,MATCH("Raro",$A$19:$A$21,0)),0)</f>
        <v/>
      </c>
      <c r="K210" s="115" t="n">
        <v>1.05</v>
      </c>
      <c r="L210" s="115">
        <f>ROUND(I210*8,0)</f>
        <v/>
      </c>
      <c r="M210" s="115">
        <f>ROUND(J210*10,0)</f>
        <v/>
      </c>
    </row>
    <row r="211" ht="15" customHeight="1" s="116">
      <c r="A211" s="128" t="inlineStr">
        <is>
          <t>Adamantina</t>
        </is>
      </c>
      <c r="B211" s="135" t="inlineStr">
        <is>
          <t>Elmo</t>
        </is>
      </c>
      <c r="C211" s="128" t="inlineStr">
        <is>
          <t>Elmo de Adamantina</t>
        </is>
      </c>
      <c r="D211" s="128" t="n"/>
      <c r="E211" s="135" t="inlineStr">
        <is>
          <t>Pesado, denso, feito pra sobreviver a qualquer impacto direto.</t>
        </is>
      </c>
      <c r="F211" s="128">
        <f>INDEX(Tiers!$E$9:$E$22,MATCH($A211,Tiers!$B$9:$B$22,0))</f>
        <v/>
      </c>
      <c r="G211" s="128">
        <f>ROUND(INDEX('Curva Mestra'!$D$20:$D$94,MATCH(F211,'Curva Mestra'!$A$20:$A$94,0)),0)</f>
        <v/>
      </c>
      <c r="H211" s="128">
        <f>INDEX($B$5:$B$12,MATCH($B211,$A$5:$A$12,0))</f>
        <v/>
      </c>
      <c r="I211" s="128">
        <f>ROUND(G211*H211*K211,0)</f>
        <v/>
      </c>
      <c r="J211" s="153">
        <f>ROUND(G211*H211*K211*INDEX($B$19:$B$21,MATCH("Raro",$A$19:$A$21,0)),0)</f>
        <v/>
      </c>
      <c r="K211" s="115" t="n">
        <v>1</v>
      </c>
      <c r="L211" s="115">
        <f>ROUND(I211*8,0)</f>
        <v/>
      </c>
      <c r="M211" s="115">
        <f>ROUND(J211*10,0)</f>
        <v/>
      </c>
    </row>
    <row r="212" ht="15" customHeight="1" s="116">
      <c r="A212" s="128" t="inlineStr">
        <is>
          <t>Adamantina</t>
        </is>
      </c>
      <c r="B212" s="135" t="inlineStr">
        <is>
          <t>Elmo</t>
        </is>
      </c>
      <c r="C212" s="128" t="inlineStr">
        <is>
          <t>Elmo do Cavaleiro</t>
        </is>
      </c>
      <c r="D212" s="128" t="n"/>
      <c r="E212" s="135" t="inlineStr">
        <is>
          <t>Item padrão de todo Cavaleiro do Dragão Decaído.</t>
        </is>
      </c>
      <c r="F212" s="128">
        <f>INDEX(Tiers!$E$9:$E$22,MATCH($A212,Tiers!$B$9:$B$22,0))</f>
        <v/>
      </c>
      <c r="G212" s="128">
        <f>ROUND(INDEX('Curva Mestra'!$D$20:$D$94,MATCH(F212,'Curva Mestra'!$A$20:$A$94,0)),0)</f>
        <v/>
      </c>
      <c r="H212" s="128">
        <f>INDEX($B$5:$B$12,MATCH($B212,$A$5:$A$12,0))</f>
        <v/>
      </c>
      <c r="I212" s="128">
        <f>ROUND(G212*H212*K212,0)</f>
        <v/>
      </c>
      <c r="J212" s="153">
        <f>ROUND(G212*H212*K212*INDEX($B$19:$B$21,MATCH("Raro",$A$19:$A$21,0)),0)</f>
        <v/>
      </c>
      <c r="K212" s="115" t="n">
        <v>1</v>
      </c>
      <c r="L212" s="115">
        <f>ROUND(I212*8,0)</f>
        <v/>
      </c>
      <c r="M212" s="115">
        <f>ROUND(J212*10,0)</f>
        <v/>
      </c>
    </row>
    <row r="213" ht="15" customHeight="1" s="116">
      <c r="A213" s="128" t="inlineStr">
        <is>
          <t>Adamantina</t>
        </is>
      </c>
      <c r="B213" s="135" t="inlineStr">
        <is>
          <t>Calca</t>
        </is>
      </c>
      <c r="C213" s="128" t="inlineStr">
        <is>
          <t>Calça de Adamantina</t>
        </is>
      </c>
      <c r="D213" s="128" t="n"/>
      <c r="E213" s="135" t="inlineStr">
        <is>
          <t>Reforçada em cada junta — anda-se devagar, mas anda-se seguro.</t>
        </is>
      </c>
      <c r="F213" s="128">
        <f>INDEX(Tiers!$E$9:$E$22,MATCH($A213,Tiers!$B$9:$B$22,0))</f>
        <v/>
      </c>
      <c r="G213" s="128">
        <f>ROUND(INDEX('Curva Mestra'!$D$20:$D$94,MATCH(F213,'Curva Mestra'!$A$20:$A$94,0)),0)</f>
        <v/>
      </c>
      <c r="H213" s="128">
        <f>INDEX($B$5:$B$12,MATCH($B213,$A$5:$A$12,0))</f>
        <v/>
      </c>
      <c r="I213" s="128">
        <f>ROUND(G213*H213*K213,0)</f>
        <v/>
      </c>
      <c r="J213" s="153">
        <f>ROUND(G213*H213*K213*INDEX($B$19:$B$21,MATCH("Raro",$A$19:$A$21,0)),0)</f>
        <v/>
      </c>
      <c r="K213" s="115" t="n">
        <v>1</v>
      </c>
      <c r="L213" s="115">
        <f>ROUND(I213*8,0)</f>
        <v/>
      </c>
      <c r="M213" s="115">
        <f>ROUND(J213*10,0)</f>
        <v/>
      </c>
    </row>
    <row r="214" ht="15" customHeight="1" s="116">
      <c r="A214" s="128" t="inlineStr">
        <is>
          <t>Adamantina</t>
        </is>
      </c>
      <c r="B214" s="135" t="inlineStr">
        <is>
          <t>Calca</t>
        </is>
      </c>
      <c r="C214" s="128" t="inlineStr">
        <is>
          <t>Calça do Bastião</t>
        </is>
      </c>
      <c r="D214" s="128" t="n"/>
      <c r="E214" s="135" t="inlineStr">
        <is>
          <t>Padrão dos guardas que patrulham as muralhas externas.</t>
        </is>
      </c>
      <c r="F214" s="128">
        <f>INDEX(Tiers!$E$9:$E$22,MATCH($A214,Tiers!$B$9:$B$22,0))</f>
        <v/>
      </c>
      <c r="G214" s="128">
        <f>ROUND(INDEX('Curva Mestra'!$D$20:$D$94,MATCH(F214,'Curva Mestra'!$A$20:$A$94,0)),0)</f>
        <v/>
      </c>
      <c r="H214" s="128">
        <f>INDEX($B$5:$B$12,MATCH($B214,$A$5:$A$12,0))</f>
        <v/>
      </c>
      <c r="I214" s="128">
        <f>ROUND(G214*H214*K214,0)</f>
        <v/>
      </c>
      <c r="J214" s="153">
        <f>ROUND(G214*H214*K214*INDEX($B$19:$B$21,MATCH("Raro",$A$19:$A$21,0)),0)</f>
        <v/>
      </c>
      <c r="K214" s="115" t="n">
        <v>1</v>
      </c>
      <c r="L214" s="115">
        <f>ROUND(I214*8,0)</f>
        <v/>
      </c>
      <c r="M214" s="115">
        <f>ROUND(J214*10,0)</f>
        <v/>
      </c>
    </row>
    <row r="215" ht="15" customHeight="1" s="116">
      <c r="A215" s="128" t="inlineStr">
        <is>
          <t>Adamantina</t>
        </is>
      </c>
      <c r="B215" s="135" t="inlineStr">
        <is>
          <t>Bota</t>
        </is>
      </c>
      <c r="C215" s="128" t="inlineStr">
        <is>
          <t>Bota de Adamantina</t>
        </is>
      </c>
      <c r="D215" s="128" t="n"/>
      <c r="E215" s="135" t="inlineStr">
        <is>
          <t>Pesadas o bastante pra fazer o chão tremer, se for de propósito.</t>
        </is>
      </c>
      <c r="F215" s="128">
        <f>INDEX(Tiers!$E$9:$E$22,MATCH($A215,Tiers!$B$9:$B$22,0))</f>
        <v/>
      </c>
      <c r="G215" s="128">
        <f>ROUND(INDEX('Curva Mestra'!$D$20:$D$94,MATCH(F215,'Curva Mestra'!$A$20:$A$94,0)),0)</f>
        <v/>
      </c>
      <c r="H215" s="128">
        <f>INDEX($B$5:$B$12,MATCH($B215,$A$5:$A$12,0))</f>
        <v/>
      </c>
      <c r="I215" s="128">
        <f>ROUND(G215*H215*K215,0)</f>
        <v/>
      </c>
      <c r="J215" s="153">
        <f>ROUND(G215*H215*K215*INDEX($B$19:$B$21,MATCH("Raro",$A$19:$A$21,0)),0)</f>
        <v/>
      </c>
      <c r="K215" s="115" t="n">
        <v>1</v>
      </c>
      <c r="L215" s="115">
        <f>ROUND(I215*8,0)</f>
        <v/>
      </c>
      <c r="M215" s="115">
        <f>ROUND(J215*10,0)</f>
        <v/>
      </c>
    </row>
    <row r="216" ht="15" customHeight="1" s="116">
      <c r="A216" s="128" t="inlineStr">
        <is>
          <t>Adamantina</t>
        </is>
      </c>
      <c r="B216" s="135" t="inlineStr">
        <is>
          <t>Bota</t>
        </is>
      </c>
      <c r="C216" s="128" t="inlineStr">
        <is>
          <t>Bota do Cavaleiro</t>
        </is>
      </c>
      <c r="D216" s="128" t="n"/>
      <c r="E216" s="135" t="inlineStr">
        <is>
          <t>Já pisou em campo de batalha contra titãs corrompidos.</t>
        </is>
      </c>
      <c r="F216" s="128">
        <f>INDEX(Tiers!$E$9:$E$22,MATCH($A216,Tiers!$B$9:$B$22,0))</f>
        <v/>
      </c>
      <c r="G216" s="128">
        <f>ROUND(INDEX('Curva Mestra'!$D$20:$D$94,MATCH(F216,'Curva Mestra'!$A$20:$A$94,0)),0)</f>
        <v/>
      </c>
      <c r="H216" s="128">
        <f>INDEX($B$5:$B$12,MATCH($B216,$A$5:$A$12,0))</f>
        <v/>
      </c>
      <c r="I216" s="128">
        <f>ROUND(G216*H216*K216,0)</f>
        <v/>
      </c>
      <c r="J216" s="153">
        <f>ROUND(G216*H216*K216*INDEX($B$19:$B$21,MATCH("Raro",$A$19:$A$21,0)),0)</f>
        <v/>
      </c>
      <c r="K216" s="115" t="n">
        <v>1</v>
      </c>
      <c r="L216" s="115">
        <f>ROUND(I216*8,0)</f>
        <v/>
      </c>
      <c r="M216" s="115">
        <f>ROUND(J216*10,0)</f>
        <v/>
      </c>
    </row>
    <row r="217" ht="15" customHeight="1" s="116">
      <c r="A217" s="128" t="inlineStr">
        <is>
          <t>Adamantina</t>
        </is>
      </c>
      <c r="B217" s="135" t="inlineStr">
        <is>
          <t>Luvas</t>
        </is>
      </c>
      <c r="C217" s="128" t="inlineStr">
        <is>
          <t>Luvas de Adamantina</t>
        </is>
      </c>
      <c r="D217" s="128" t="n"/>
      <c r="E217" s="135" t="inlineStr">
        <is>
          <t>Nós reforçados com o metal mais denso conhecido — dói só de olhar.</t>
        </is>
      </c>
      <c r="F217" s="128">
        <f>INDEX(Tiers!$E$9:$E$22,MATCH($A217,Tiers!$B$9:$B$22,0))</f>
        <v/>
      </c>
      <c r="G217" s="128">
        <f>ROUND(INDEX('Curva Mestra'!$D$20:$D$94,MATCH(F217,'Curva Mestra'!$A$20:$A$94,0)),0)</f>
        <v/>
      </c>
      <c r="H217" s="128">
        <f>INDEX($B$5:$B$12,MATCH($B217,$A$5:$A$12,0))</f>
        <v/>
      </c>
      <c r="I217" s="128">
        <f>ROUND(G217*H217*K217,0)</f>
        <v/>
      </c>
      <c r="J217" s="153">
        <f>ROUND(G217*H217*K217*INDEX($B$19:$B$21,MATCH("Raro",$A$19:$A$21,0)),0)</f>
        <v/>
      </c>
      <c r="K217" s="115" t="n">
        <v>1</v>
      </c>
      <c r="L217" s="115">
        <f>ROUND(I217*8,0)</f>
        <v/>
      </c>
      <c r="M217" s="115">
        <f>ROUND(J217*10,0)</f>
        <v/>
      </c>
    </row>
    <row r="218" ht="15" customHeight="1" s="116">
      <c r="A218" s="128" t="inlineStr">
        <is>
          <t>Adamantina</t>
        </is>
      </c>
      <c r="B218" s="135" t="inlineStr">
        <is>
          <t>Luvas</t>
        </is>
      </c>
      <c r="C218" s="128" t="inlineStr">
        <is>
          <t>Luvas do Bastião</t>
        </is>
      </c>
      <c r="D218" s="128" t="n"/>
      <c r="E218" s="135" t="inlineStr">
        <is>
          <t>Padrão de treino dos recrutas da Ordem.</t>
        </is>
      </c>
      <c r="F218" s="128">
        <f>INDEX(Tiers!$E$9:$E$22,MATCH($A218,Tiers!$B$9:$B$22,0))</f>
        <v/>
      </c>
      <c r="G218" s="128">
        <f>ROUND(INDEX('Curva Mestra'!$D$20:$D$94,MATCH(F218,'Curva Mestra'!$A$20:$A$94,0)),0)</f>
        <v/>
      </c>
      <c r="H218" s="128">
        <f>INDEX($B$5:$B$12,MATCH($B218,$A$5:$A$12,0))</f>
        <v/>
      </c>
      <c r="I218" s="128">
        <f>ROUND(G218*H218*K218,0)</f>
        <v/>
      </c>
      <c r="J218" s="153">
        <f>ROUND(G218*H218*K218*INDEX($B$19:$B$21,MATCH("Raro",$A$19:$A$21,0)),0)</f>
        <v/>
      </c>
      <c r="K218" s="115" t="n">
        <v>1</v>
      </c>
      <c r="L218" s="115">
        <f>ROUND(I218*8,0)</f>
        <v/>
      </c>
      <c r="M218" s="115">
        <f>ROUND(J218*10,0)</f>
        <v/>
      </c>
    </row>
    <row r="219" ht="15" customHeight="1" s="116">
      <c r="A219" s="128" t="inlineStr">
        <is>
          <t>Adamantina</t>
        </is>
      </c>
      <c r="B219" s="135" t="inlineStr">
        <is>
          <t>Amuleto</t>
        </is>
      </c>
      <c r="C219" s="128" t="inlineStr">
        <is>
          <t>Amuleto de Adamantina</t>
        </is>
      </c>
      <c r="D219" s="128" t="n"/>
      <c r="E219" s="135" t="inlineStr">
        <is>
          <t>Peça densa, pesada — poucos usam por vaidade, todos usam por proteção.</t>
        </is>
      </c>
      <c r="F219" s="128">
        <f>INDEX(Tiers!$E$9:$E$22,MATCH($A219,Tiers!$B$9:$B$22,0))</f>
        <v/>
      </c>
      <c r="G219" s="128">
        <f>ROUND(INDEX('Curva Mestra'!$D$20:$D$94,MATCH(F219,'Curva Mestra'!$A$20:$A$94,0)),0)</f>
        <v/>
      </c>
      <c r="H219" s="128">
        <f>INDEX($B$5:$B$12,MATCH($B219,$A$5:$A$12,0))</f>
        <v/>
      </c>
      <c r="I219" s="128">
        <f>ROUND(G219*H219*K219,0)</f>
        <v/>
      </c>
      <c r="J219" s="153">
        <f>ROUND(G219*H219*K219*INDEX($B$19:$B$21,MATCH("Raro",$A$19:$A$21,0)),0)</f>
        <v/>
      </c>
      <c r="K219" s="115" t="n">
        <v>1</v>
      </c>
      <c r="L219" s="115">
        <f>ROUND(I219*8,0)</f>
        <v/>
      </c>
      <c r="M219" s="115">
        <f>ROUND(J219*10,0)</f>
        <v/>
      </c>
    </row>
    <row r="220" ht="15" customHeight="1" s="116">
      <c r="A220" s="128" t="inlineStr">
        <is>
          <t>Adamantina</t>
        </is>
      </c>
      <c r="B220" s="135" t="inlineStr">
        <is>
          <t>Amuleto</t>
        </is>
      </c>
      <c r="C220" s="128" t="inlineStr">
        <is>
          <t>Amuleto Selado da Ordem</t>
        </is>
      </c>
      <c r="D220" s="128" t="n"/>
      <c r="E220" s="135" t="inlineStr">
        <is>
          <t>Abençoado pelo próprio Grão-Mestre antes de cada missão importante.</t>
        </is>
      </c>
      <c r="F220" s="128">
        <f>INDEX(Tiers!$E$9:$E$22,MATCH($A220,Tiers!$B$9:$B$22,0))</f>
        <v/>
      </c>
      <c r="G220" s="128">
        <f>ROUND(INDEX('Curva Mestra'!$D$20:$D$94,MATCH(F220,'Curva Mestra'!$A$20:$A$94,0)),0)</f>
        <v/>
      </c>
      <c r="H220" s="128">
        <f>INDEX($B$5:$B$12,MATCH($B220,$A$5:$A$12,0))</f>
        <v/>
      </c>
      <c r="I220" s="128">
        <f>ROUND(G220*H220*K220,0)</f>
        <v/>
      </c>
      <c r="J220" s="153">
        <f>ROUND(G220*H220*K220*INDEX($B$19:$B$21,MATCH("Raro",$A$19:$A$21,0)),0)</f>
        <v/>
      </c>
      <c r="K220" s="115" t="n">
        <v>1.05</v>
      </c>
      <c r="L220" s="115">
        <f>ROUND(I220*8,0)</f>
        <v/>
      </c>
      <c r="M220" s="115">
        <f>ROUND(J220*10,0)</f>
        <v/>
      </c>
    </row>
    <row r="221" ht="15" customHeight="1" s="116">
      <c r="A221" s="128" t="inlineStr">
        <is>
          <t>Adamantina</t>
        </is>
      </c>
      <c r="B221" s="135" t="inlineStr">
        <is>
          <t>Anel</t>
        </is>
      </c>
      <c r="C221" s="128" t="inlineStr">
        <is>
          <t>Anel de Adamantina</t>
        </is>
      </c>
      <c r="D221" s="128" t="n"/>
      <c r="E221" s="135" t="inlineStr">
        <is>
          <t>Simples, denso, sem gema — o metal já impressiona sozinho.</t>
        </is>
      </c>
      <c r="F221" s="128">
        <f>INDEX(Tiers!$E$9:$E$22,MATCH($A221,Tiers!$B$9:$B$22,0))</f>
        <v/>
      </c>
      <c r="G221" s="128">
        <f>ROUND(INDEX('Curva Mestra'!$D$20:$D$94,MATCH(F221,'Curva Mestra'!$A$20:$A$94,0)),0)</f>
        <v/>
      </c>
      <c r="H221" s="128">
        <f>INDEX($B$5:$B$12,MATCH($B221,$A$5:$A$12,0))</f>
        <v/>
      </c>
      <c r="I221" s="128">
        <f>ROUND(G221*H221*K221,0)</f>
        <v/>
      </c>
      <c r="J221" s="153">
        <f>ROUND(G221*H221*K221*INDEX($B$19:$B$21,MATCH("Raro",$A$19:$A$21,0)),0)</f>
        <v/>
      </c>
      <c r="K221" s="115" t="n">
        <v>1</v>
      </c>
      <c r="L221" s="115">
        <f>ROUND(I221*8,0)</f>
        <v/>
      </c>
      <c r="M221" s="115">
        <f>ROUND(J221*10,0)</f>
        <v/>
      </c>
    </row>
    <row r="222" ht="15" customHeight="1" s="116">
      <c r="A222" s="128" t="inlineStr">
        <is>
          <t>Adamantina</t>
        </is>
      </c>
      <c r="B222" s="135" t="inlineStr">
        <is>
          <t>Anel</t>
        </is>
      </c>
      <c r="C222" s="128" t="inlineStr">
        <is>
          <t>Anel do Bastião</t>
        </is>
      </c>
      <c r="D222" s="128" t="n"/>
      <c r="E222" s="135" t="inlineStr">
        <is>
          <t>Entregue a todo Cavaleiro que sobrevive ao primeiro ano de serviço.</t>
        </is>
      </c>
      <c r="F222" s="128">
        <f>INDEX(Tiers!$E$9:$E$22,MATCH($A222,Tiers!$B$9:$B$22,0))</f>
        <v/>
      </c>
      <c r="G222" s="128">
        <f>ROUND(INDEX('Curva Mestra'!$D$20:$D$94,MATCH(F222,'Curva Mestra'!$A$20:$A$94,0)),0)</f>
        <v/>
      </c>
      <c r="H222" s="128">
        <f>INDEX($B$5:$B$12,MATCH($B222,$A$5:$A$12,0))</f>
        <v/>
      </c>
      <c r="I222" s="128">
        <f>ROUND(G222*H222*K222,0)</f>
        <v/>
      </c>
      <c r="J222" s="153">
        <f>ROUND(G222*H222*K222*INDEX($B$19:$B$21,MATCH("Raro",$A$19:$A$21,0)),0)</f>
        <v/>
      </c>
      <c r="K222" s="115" t="n">
        <v>1</v>
      </c>
      <c r="L222" s="115">
        <f>ROUND(I222*8,0)</f>
        <v/>
      </c>
      <c r="M222" s="115">
        <f>ROUND(J222*10,0)</f>
        <v/>
      </c>
    </row>
    <row r="223" ht="15" customHeight="1" s="116">
      <c r="A223" s="128" t="inlineStr">
        <is>
          <t>Osso de Dragao</t>
        </is>
      </c>
      <c r="B223" s="135" t="inlineStr">
        <is>
          <t>Peitoral</t>
        </is>
      </c>
      <c r="C223" s="128" t="inlineStr">
        <is>
          <t>Peitoral de Osso de Dragão</t>
        </is>
      </c>
      <c r="D223" s="128" t="n"/>
      <c r="E223" s="135" t="inlineStr">
        <is>
          <t>Escamas sobrepostas impenetráveis a ataques de fogo e garras gigantes.</t>
        </is>
      </c>
      <c r="F223" s="128">
        <f>INDEX(Tiers!$E$9:$E$22,MATCH($A223,Tiers!$B$9:$B$22,0))</f>
        <v/>
      </c>
      <c r="G223" s="128">
        <f>ROUND(INDEX('Curva Mestra'!$D$20:$D$94,MATCH(F223,'Curva Mestra'!$A$20:$A$94,0)),0)</f>
        <v/>
      </c>
      <c r="H223" s="128">
        <f>INDEX($B$5:$B$12,MATCH($B223,$A$5:$A$12,0))</f>
        <v/>
      </c>
      <c r="I223" s="128">
        <f>ROUND(G223*H223*K223,0)</f>
        <v/>
      </c>
      <c r="J223" s="153">
        <f>ROUND(G223*H223*K223*INDEX($B$19:$B$21,MATCH("Raro",$A$19:$A$21,0)),0)</f>
        <v/>
      </c>
      <c r="K223" s="115" t="n">
        <v>1</v>
      </c>
      <c r="L223" s="115">
        <f>ROUND(I223*8,0)</f>
        <v/>
      </c>
      <c r="M223" s="115">
        <f>ROUND(J223*10,0)</f>
        <v/>
      </c>
    </row>
    <row r="224" ht="15" customHeight="1" s="116">
      <c r="A224" s="128" t="inlineStr">
        <is>
          <t>Osso de Dragao</t>
        </is>
      </c>
      <c r="B224" s="135" t="inlineStr">
        <is>
          <t>Peitoral</t>
        </is>
      </c>
      <c r="C224" s="128" t="inlineStr">
        <is>
          <t>Peitoral de Escama Draconiana</t>
        </is>
      </c>
      <c r="D224" s="128" t="n"/>
      <c r="E224" s="135" t="inlineStr">
        <is>
          <t>Cada placa veio de um dracoformo diferente, costuradas juntas por um mestre paciente.</t>
        </is>
      </c>
      <c r="F224" s="128">
        <f>INDEX(Tiers!$E$9:$E$22,MATCH($A224,Tiers!$B$9:$B$22,0))</f>
        <v/>
      </c>
      <c r="G224" s="128">
        <f>ROUND(INDEX('Curva Mestra'!$D$20:$D$94,MATCH(F224,'Curva Mestra'!$A$20:$A$94,0)),0)</f>
        <v/>
      </c>
      <c r="H224" s="128">
        <f>INDEX($B$5:$B$12,MATCH($B224,$A$5:$A$12,0))</f>
        <v/>
      </c>
      <c r="I224" s="128">
        <f>ROUND(G224*H224*K224,0)</f>
        <v/>
      </c>
      <c r="J224" s="153">
        <f>ROUND(G224*H224*K224*INDEX($B$19:$B$21,MATCH("Raro",$A$19:$A$21,0)),0)</f>
        <v/>
      </c>
      <c r="K224" s="115" t="n">
        <v>1</v>
      </c>
      <c r="L224" s="115">
        <f>ROUND(I224*8,0)</f>
        <v/>
      </c>
      <c r="M224" s="115">
        <f>ROUND(J224*10,0)</f>
        <v/>
      </c>
    </row>
    <row r="225" ht="15" customHeight="1" s="116">
      <c r="A225" s="128" t="inlineStr">
        <is>
          <t>Osso de Dragao</t>
        </is>
      </c>
      <c r="B225" s="135" t="inlineStr">
        <is>
          <t>Peitoral</t>
        </is>
      </c>
      <c r="C225" s="128" t="inlineStr">
        <is>
          <t>Peitoral do Caçador de Wyrms</t>
        </is>
      </c>
      <c r="D225" s="128" t="n"/>
      <c r="E225" s="135" t="inlineStr">
        <is>
          <t>Usado por quem sobrevive nos picos a 3.000 metros de altitude.</t>
        </is>
      </c>
      <c r="F225" s="128">
        <f>INDEX(Tiers!$E$9:$E$22,MATCH($A225,Tiers!$B$9:$B$22,0))</f>
        <v/>
      </c>
      <c r="G225" s="128">
        <f>ROUND(INDEX('Curva Mestra'!$D$20:$D$94,MATCH(F225,'Curva Mestra'!$A$20:$A$94,0)),0)</f>
        <v/>
      </c>
      <c r="H225" s="128">
        <f>INDEX($B$5:$B$12,MATCH($B225,$A$5:$A$12,0))</f>
        <v/>
      </c>
      <c r="I225" s="128">
        <f>ROUND(G225*H225*K225,0)</f>
        <v/>
      </c>
      <c r="J225" s="153">
        <f>ROUND(G225*H225*K225*INDEX($B$19:$B$21,MATCH("Raro",$A$19:$A$21,0)),0)</f>
        <v/>
      </c>
      <c r="K225" s="115" t="n">
        <v>1</v>
      </c>
      <c r="L225" s="115">
        <f>ROUND(I225*8,0)</f>
        <v/>
      </c>
      <c r="M225" s="115">
        <f>ROUND(J225*10,0)</f>
        <v/>
      </c>
    </row>
    <row r="226" ht="15" customHeight="1" s="116">
      <c r="A226" s="128" t="inlineStr">
        <is>
          <t>Osso de Dragao</t>
        </is>
      </c>
      <c r="B226" s="135" t="inlineStr">
        <is>
          <t>Escudo</t>
        </is>
      </c>
      <c r="C226" s="128" t="inlineStr">
        <is>
          <t>Escudo de Osso de Dragão</t>
        </is>
      </c>
      <c r="D226" s="128" t="n"/>
      <c r="E226" s="135" t="inlineStr">
        <is>
          <t>Denso, curvo, talhado de um único fragmento de osso ancestral.</t>
        </is>
      </c>
      <c r="F226" s="128">
        <f>INDEX(Tiers!$E$9:$E$22,MATCH($A226,Tiers!$B$9:$B$22,0))</f>
        <v/>
      </c>
      <c r="G226" s="128">
        <f>ROUND(INDEX('Curva Mestra'!$D$20:$D$94,MATCH(F226,'Curva Mestra'!$A$20:$A$94,0)),0)</f>
        <v/>
      </c>
      <c r="H226" s="128">
        <f>INDEX($B$5:$B$12,MATCH($B226,$A$5:$A$12,0))</f>
        <v/>
      </c>
      <c r="I226" s="128">
        <f>ROUND(G226*H226*K226,0)</f>
        <v/>
      </c>
      <c r="J226" s="153">
        <f>ROUND(G226*H226*K226*INDEX($B$19:$B$21,MATCH("Raro",$A$19:$A$21,0)),0)</f>
        <v/>
      </c>
      <c r="K226" s="115" t="n">
        <v>1</v>
      </c>
      <c r="L226" s="115">
        <f>ROUND(I226*8,0)</f>
        <v/>
      </c>
      <c r="M226" s="115">
        <f>ROUND(J226*10,0)</f>
        <v/>
      </c>
    </row>
    <row r="227" ht="15" customHeight="1" s="116">
      <c r="A227" s="128" t="inlineStr">
        <is>
          <t>Osso de Dragao</t>
        </is>
      </c>
      <c r="B227" s="135" t="inlineStr">
        <is>
          <t>Escudo</t>
        </is>
      </c>
      <c r="C227" s="128" t="inlineStr">
        <is>
          <t>Escudo de Escama Draconiana</t>
        </is>
      </c>
      <c r="D227" s="128" t="n"/>
      <c r="E227" s="135" t="inlineStr">
        <is>
          <t>Reforçado com escamas — resiste a calor que derreteria metal comum.</t>
        </is>
      </c>
      <c r="F227" s="128">
        <f>INDEX(Tiers!$E$9:$E$22,MATCH($A227,Tiers!$B$9:$B$22,0))</f>
        <v/>
      </c>
      <c r="G227" s="128">
        <f>ROUND(INDEX('Curva Mestra'!$D$20:$D$94,MATCH(F227,'Curva Mestra'!$A$20:$A$94,0)),0)</f>
        <v/>
      </c>
      <c r="H227" s="128">
        <f>INDEX($B$5:$B$12,MATCH($B227,$A$5:$A$12,0))</f>
        <v/>
      </c>
      <c r="I227" s="128">
        <f>ROUND(G227*H227*K227,0)</f>
        <v/>
      </c>
      <c r="J227" s="153">
        <f>ROUND(G227*H227*K227*INDEX($B$19:$B$21,MATCH("Raro",$A$19:$A$21,0)),0)</f>
        <v/>
      </c>
      <c r="K227" s="115" t="n">
        <v>1</v>
      </c>
      <c r="L227" s="115">
        <f>ROUND(I227*8,0)</f>
        <v/>
      </c>
      <c r="M227" s="115">
        <f>ROUND(J227*10,0)</f>
        <v/>
      </c>
    </row>
    <row r="228" ht="15" customHeight="1" s="116">
      <c r="A228" s="128" t="inlineStr">
        <is>
          <t>Osso de Dragao</t>
        </is>
      </c>
      <c r="B228" s="135" t="inlineStr">
        <is>
          <t>Escudo</t>
        </is>
      </c>
      <c r="C228" s="128" t="inlineStr">
        <is>
          <t>Escudo do Caçador de Wyrms</t>
        </is>
      </c>
      <c r="D228" s="128" t="n"/>
      <c r="E228" s="135" t="inlineStr">
        <is>
          <t>Já bloqueou garra de dracoformo jovem mais de uma vez.</t>
        </is>
      </c>
      <c r="F228" s="128">
        <f>INDEX(Tiers!$E$9:$E$22,MATCH($A228,Tiers!$B$9:$B$22,0))</f>
        <v/>
      </c>
      <c r="G228" s="128">
        <f>ROUND(INDEX('Curva Mestra'!$D$20:$D$94,MATCH(F228,'Curva Mestra'!$A$20:$A$94,0)),0)</f>
        <v/>
      </c>
      <c r="H228" s="128">
        <f>INDEX($B$5:$B$12,MATCH($B228,$A$5:$A$12,0))</f>
        <v/>
      </c>
      <c r="I228" s="128">
        <f>ROUND(G228*H228*K228,0)</f>
        <v/>
      </c>
      <c r="J228" s="153">
        <f>ROUND(G228*H228*K228*INDEX($B$19:$B$21,MATCH("Raro",$A$19:$A$21,0)),0)</f>
        <v/>
      </c>
      <c r="K228" s="115" t="n">
        <v>1</v>
      </c>
      <c r="L228" s="115">
        <f>ROUND(I228*8,0)</f>
        <v/>
      </c>
      <c r="M228" s="115">
        <f>ROUND(J228*10,0)</f>
        <v/>
      </c>
    </row>
    <row r="229" ht="15" customHeight="1" s="116">
      <c r="A229" s="128" t="inlineStr">
        <is>
          <t>Osso de Dragao</t>
        </is>
      </c>
      <c r="B229" s="135" t="inlineStr">
        <is>
          <t>Elmo</t>
        </is>
      </c>
      <c r="C229" s="128" t="inlineStr">
        <is>
          <t>Elmo de Osso de Dragão</t>
        </is>
      </c>
      <c r="D229" s="128" t="n"/>
      <c r="E229" s="135" t="inlineStr">
        <is>
          <t>Talhado em osso ancestral, com curvas que lembram o crânio de quem o cedeu.</t>
        </is>
      </c>
      <c r="F229" s="128">
        <f>INDEX(Tiers!$E$9:$E$22,MATCH($A229,Tiers!$B$9:$B$22,0))</f>
        <v/>
      </c>
      <c r="G229" s="128">
        <f>ROUND(INDEX('Curva Mestra'!$D$20:$D$94,MATCH(F229,'Curva Mestra'!$A$20:$A$94,0)),0)</f>
        <v/>
      </c>
      <c r="H229" s="128">
        <f>INDEX($B$5:$B$12,MATCH($B229,$A$5:$A$12,0))</f>
        <v/>
      </c>
      <c r="I229" s="128">
        <f>ROUND(G229*H229*K229,0)</f>
        <v/>
      </c>
      <c r="J229" s="153">
        <f>ROUND(G229*H229*K229*INDEX($B$19:$B$21,MATCH("Raro",$A$19:$A$21,0)),0)</f>
        <v/>
      </c>
      <c r="K229" s="115" t="n">
        <v>1</v>
      </c>
      <c r="L229" s="115">
        <f>ROUND(I229*8,0)</f>
        <v/>
      </c>
      <c r="M229" s="115">
        <f>ROUND(J229*10,0)</f>
        <v/>
      </c>
    </row>
    <row r="230" ht="15" customHeight="1" s="116">
      <c r="A230" s="128" t="inlineStr">
        <is>
          <t>Osso de Dragao</t>
        </is>
      </c>
      <c r="B230" s="135" t="inlineStr">
        <is>
          <t>Elmo</t>
        </is>
      </c>
      <c r="C230" s="128" t="inlineStr">
        <is>
          <t>Elmo de Escama Draconiana</t>
        </is>
      </c>
      <c r="D230" s="128" t="n"/>
      <c r="E230" s="135" t="inlineStr">
        <is>
          <t>Coberto de escamas sobrepostas, quase impossível de perfurar.</t>
        </is>
      </c>
      <c r="F230" s="128">
        <f>INDEX(Tiers!$E$9:$E$22,MATCH($A230,Tiers!$B$9:$B$22,0))</f>
        <v/>
      </c>
      <c r="G230" s="128">
        <f>ROUND(INDEX('Curva Mestra'!$D$20:$D$94,MATCH(F230,'Curva Mestra'!$A$20:$A$94,0)),0)</f>
        <v/>
      </c>
      <c r="H230" s="128">
        <f>INDEX($B$5:$B$12,MATCH($B230,$A$5:$A$12,0))</f>
        <v/>
      </c>
      <c r="I230" s="128">
        <f>ROUND(G230*H230*K230,0)</f>
        <v/>
      </c>
      <c r="J230" s="153">
        <f>ROUND(G230*H230*K230*INDEX($B$19:$B$21,MATCH("Raro",$A$19:$A$21,0)),0)</f>
        <v/>
      </c>
      <c r="K230" s="115" t="n">
        <v>1</v>
      </c>
      <c r="L230" s="115">
        <f>ROUND(I230*8,0)</f>
        <v/>
      </c>
      <c r="M230" s="115">
        <f>ROUND(J230*10,0)</f>
        <v/>
      </c>
    </row>
    <row r="231" ht="15" customHeight="1" s="116">
      <c r="A231" s="128" t="inlineStr">
        <is>
          <t>Osso de Dragao</t>
        </is>
      </c>
      <c r="B231" s="135" t="inlineStr">
        <is>
          <t>Calca</t>
        </is>
      </c>
      <c r="C231" s="128" t="inlineStr">
        <is>
          <t>Calça de Osso de Dragão</t>
        </is>
      </c>
      <c r="D231" s="128" t="n"/>
      <c r="E231" s="135" t="inlineStr">
        <is>
          <t>Placas de osso ancestral nas coxas, leves apesar da densidade.</t>
        </is>
      </c>
      <c r="F231" s="128">
        <f>INDEX(Tiers!$E$9:$E$22,MATCH($A231,Tiers!$B$9:$B$22,0))</f>
        <v/>
      </c>
      <c r="G231" s="128">
        <f>ROUND(INDEX('Curva Mestra'!$D$20:$D$94,MATCH(F231,'Curva Mestra'!$A$20:$A$94,0)),0)</f>
        <v/>
      </c>
      <c r="H231" s="128">
        <f>INDEX($B$5:$B$12,MATCH($B231,$A$5:$A$12,0))</f>
        <v/>
      </c>
      <c r="I231" s="128">
        <f>ROUND(G231*H231*K231,0)</f>
        <v/>
      </c>
      <c r="J231" s="153">
        <f>ROUND(G231*H231*K231*INDEX($B$19:$B$21,MATCH("Raro",$A$19:$A$21,0)),0)</f>
        <v/>
      </c>
      <c r="K231" s="115" t="n">
        <v>1</v>
      </c>
      <c r="L231" s="115">
        <f>ROUND(I231*8,0)</f>
        <v/>
      </c>
      <c r="M231" s="115">
        <f>ROUND(J231*10,0)</f>
        <v/>
      </c>
    </row>
    <row r="232" ht="15" customHeight="1" s="116">
      <c r="A232" s="128" t="inlineStr">
        <is>
          <t>Osso de Dragao</t>
        </is>
      </c>
      <c r="B232" s="135" t="inlineStr">
        <is>
          <t>Calca</t>
        </is>
      </c>
      <c r="C232" s="128" t="inlineStr">
        <is>
          <t>Calça de Escama Draconiana</t>
        </is>
      </c>
      <c r="D232" s="128" t="n"/>
      <c r="E232" s="135" t="inlineStr">
        <is>
          <t>Reforçada com escamas nos pontos de maior impacto.</t>
        </is>
      </c>
      <c r="F232" s="128">
        <f>INDEX(Tiers!$E$9:$E$22,MATCH($A232,Tiers!$B$9:$B$22,0))</f>
        <v/>
      </c>
      <c r="G232" s="128">
        <f>ROUND(INDEX('Curva Mestra'!$D$20:$D$94,MATCH(F232,'Curva Mestra'!$A$20:$A$94,0)),0)</f>
        <v/>
      </c>
      <c r="H232" s="128">
        <f>INDEX($B$5:$B$12,MATCH($B232,$A$5:$A$12,0))</f>
        <v/>
      </c>
      <c r="I232" s="128">
        <f>ROUND(G232*H232*K232,0)</f>
        <v/>
      </c>
      <c r="J232" s="153">
        <f>ROUND(G232*H232*K232*INDEX($B$19:$B$21,MATCH("Raro",$A$19:$A$21,0)),0)</f>
        <v/>
      </c>
      <c r="K232" s="115" t="n">
        <v>1</v>
      </c>
      <c r="L232" s="115">
        <f>ROUND(I232*8,0)</f>
        <v/>
      </c>
      <c r="M232" s="115">
        <f>ROUND(J232*10,0)</f>
        <v/>
      </c>
    </row>
    <row r="233" ht="15" customHeight="1" s="116">
      <c r="A233" s="128" t="inlineStr">
        <is>
          <t>Osso de Dragao</t>
        </is>
      </c>
      <c r="B233" s="135" t="inlineStr">
        <is>
          <t>Bota</t>
        </is>
      </c>
      <c r="C233" s="128" t="inlineStr">
        <is>
          <t>Bota de Osso de Dragão</t>
        </is>
      </c>
      <c r="D233" s="128" t="n"/>
      <c r="E233" s="135" t="inlineStr">
        <is>
          <t>Sola reforçada com fragmentos de osso ancestral.</t>
        </is>
      </c>
      <c r="F233" s="128">
        <f>INDEX(Tiers!$E$9:$E$22,MATCH($A233,Tiers!$B$9:$B$22,0))</f>
        <v/>
      </c>
      <c r="G233" s="128">
        <f>ROUND(INDEX('Curva Mestra'!$D$20:$D$94,MATCH(F233,'Curva Mestra'!$A$20:$A$94,0)),0)</f>
        <v/>
      </c>
      <c r="H233" s="128">
        <f>INDEX($B$5:$B$12,MATCH($B233,$A$5:$A$12,0))</f>
        <v/>
      </c>
      <c r="I233" s="128">
        <f>ROUND(G233*H233*K233,0)</f>
        <v/>
      </c>
      <c r="J233" s="153">
        <f>ROUND(G233*H233*K233*INDEX($B$19:$B$21,MATCH("Raro",$A$19:$A$21,0)),0)</f>
        <v/>
      </c>
      <c r="K233" s="115" t="n">
        <v>1</v>
      </c>
      <c r="L233" s="115">
        <f>ROUND(I233*8,0)</f>
        <v/>
      </c>
      <c r="M233" s="115">
        <f>ROUND(J233*10,0)</f>
        <v/>
      </c>
    </row>
    <row r="234" ht="15" customHeight="1" s="116">
      <c r="A234" s="128" t="inlineStr">
        <is>
          <t>Osso de Dragao</t>
        </is>
      </c>
      <c r="B234" s="135" t="inlineStr">
        <is>
          <t>Bota</t>
        </is>
      </c>
      <c r="C234" s="128" t="inlineStr">
        <is>
          <t>Bota do Caçador de Wyrms</t>
        </is>
      </c>
      <c r="D234" s="128" t="n"/>
      <c r="E234" s="135" t="inlineStr">
        <is>
          <t>Já subiu picos que a maioria nem tenta escalar.</t>
        </is>
      </c>
      <c r="F234" s="128">
        <f>INDEX(Tiers!$E$9:$E$22,MATCH($A234,Tiers!$B$9:$B$22,0))</f>
        <v/>
      </c>
      <c r="G234" s="128">
        <f>ROUND(INDEX('Curva Mestra'!$D$20:$D$94,MATCH(F234,'Curva Mestra'!$A$20:$A$94,0)),0)</f>
        <v/>
      </c>
      <c r="H234" s="128">
        <f>INDEX($B$5:$B$12,MATCH($B234,$A$5:$A$12,0))</f>
        <v/>
      </c>
      <c r="I234" s="128">
        <f>ROUND(G234*H234*K234,0)</f>
        <v/>
      </c>
      <c r="J234" s="153">
        <f>ROUND(G234*H234*K234*INDEX($B$19:$B$21,MATCH("Raro",$A$19:$A$21,0)),0)</f>
        <v/>
      </c>
      <c r="K234" s="115" t="n">
        <v>1</v>
      </c>
      <c r="L234" s="115">
        <f>ROUND(I234*8,0)</f>
        <v/>
      </c>
      <c r="M234" s="115">
        <f>ROUND(J234*10,0)</f>
        <v/>
      </c>
    </row>
    <row r="235" ht="15" customHeight="1" s="116">
      <c r="A235" s="128" t="inlineStr">
        <is>
          <t>Osso de Dragao</t>
        </is>
      </c>
      <c r="B235" s="135" t="inlineStr">
        <is>
          <t>Luvas</t>
        </is>
      </c>
      <c r="C235" s="128" t="inlineStr">
        <is>
          <t>Luvas de Osso de Dragão</t>
        </is>
      </c>
      <c r="D235" s="128" t="n"/>
      <c r="E235" s="135" t="inlineStr">
        <is>
          <t>Nós reforçados com fragmentos de osso ancestral.</t>
        </is>
      </c>
      <c r="F235" s="128">
        <f>INDEX(Tiers!$E$9:$E$22,MATCH($A235,Tiers!$B$9:$B$22,0))</f>
        <v/>
      </c>
      <c r="G235" s="128">
        <f>ROUND(INDEX('Curva Mestra'!$D$20:$D$94,MATCH(F235,'Curva Mestra'!$A$20:$A$94,0)),0)</f>
        <v/>
      </c>
      <c r="H235" s="128">
        <f>INDEX($B$5:$B$12,MATCH($B235,$A$5:$A$12,0))</f>
        <v/>
      </c>
      <c r="I235" s="128">
        <f>ROUND(G235*H235*K235,0)</f>
        <v/>
      </c>
      <c r="J235" s="153">
        <f>ROUND(G235*H235*K235*INDEX($B$19:$B$21,MATCH("Raro",$A$19:$A$21,0)),0)</f>
        <v/>
      </c>
      <c r="K235" s="115" t="n">
        <v>1</v>
      </c>
      <c r="L235" s="115">
        <f>ROUND(I235*8,0)</f>
        <v/>
      </c>
      <c r="M235" s="115">
        <f>ROUND(J235*10,0)</f>
        <v/>
      </c>
    </row>
    <row r="236" ht="15" customHeight="1" s="116">
      <c r="A236" s="128" t="inlineStr">
        <is>
          <t>Osso de Dragao</t>
        </is>
      </c>
      <c r="B236" s="135" t="inlineStr">
        <is>
          <t>Luvas</t>
        </is>
      </c>
      <c r="C236" s="128" t="inlineStr">
        <is>
          <t>Luvas de Escama Draconiana</t>
        </is>
      </c>
      <c r="D236" s="128" t="n"/>
      <c r="E236" s="135" t="inlineStr">
        <is>
          <t>Escamas finas cobrem os dedos, sem atrapalhar o movimento.</t>
        </is>
      </c>
      <c r="F236" s="128">
        <f>INDEX(Tiers!$E$9:$E$22,MATCH($A236,Tiers!$B$9:$B$22,0))</f>
        <v/>
      </c>
      <c r="G236" s="128">
        <f>ROUND(INDEX('Curva Mestra'!$D$20:$D$94,MATCH(F236,'Curva Mestra'!$A$20:$A$94,0)),0)</f>
        <v/>
      </c>
      <c r="H236" s="128">
        <f>INDEX($B$5:$B$12,MATCH($B236,$A$5:$A$12,0))</f>
        <v/>
      </c>
      <c r="I236" s="128">
        <f>ROUND(G236*H236*K236,0)</f>
        <v/>
      </c>
      <c r="J236" s="153">
        <f>ROUND(G236*H236*K236*INDEX($B$19:$B$21,MATCH("Raro",$A$19:$A$21,0)),0)</f>
        <v/>
      </c>
      <c r="K236" s="115" t="n">
        <v>1</v>
      </c>
      <c r="L236" s="115">
        <f>ROUND(I236*8,0)</f>
        <v/>
      </c>
      <c r="M236" s="115">
        <f>ROUND(J236*10,0)</f>
        <v/>
      </c>
    </row>
    <row r="237" ht="15" customHeight="1" s="116">
      <c r="A237" s="128" t="inlineStr">
        <is>
          <t>Osso de Dragao</t>
        </is>
      </c>
      <c r="B237" s="135" t="inlineStr">
        <is>
          <t>Amuleto</t>
        </is>
      </c>
      <c r="C237" s="128" t="inlineStr">
        <is>
          <t>Amuleto de Osso de Dragão</t>
        </is>
      </c>
      <c r="D237" s="128" t="n"/>
      <c r="E237" s="135" t="inlineStr">
        <is>
          <t>Fragmento de osso ancestral pendurado num cordão de couro tratado.</t>
        </is>
      </c>
      <c r="F237" s="128">
        <f>INDEX(Tiers!$E$9:$E$22,MATCH($A237,Tiers!$B$9:$B$22,0))</f>
        <v/>
      </c>
      <c r="G237" s="128">
        <f>ROUND(INDEX('Curva Mestra'!$D$20:$D$94,MATCH(F237,'Curva Mestra'!$A$20:$A$94,0)),0)</f>
        <v/>
      </c>
      <c r="H237" s="128">
        <f>INDEX($B$5:$B$12,MATCH($B237,$A$5:$A$12,0))</f>
        <v/>
      </c>
      <c r="I237" s="128">
        <f>ROUND(G237*H237*K237,0)</f>
        <v/>
      </c>
      <c r="J237" s="153">
        <f>ROUND(G237*H237*K237*INDEX($B$19:$B$21,MATCH("Raro",$A$19:$A$21,0)),0)</f>
        <v/>
      </c>
      <c r="K237" s="115" t="n">
        <v>1</v>
      </c>
      <c r="L237" s="115">
        <f>ROUND(I237*8,0)</f>
        <v/>
      </c>
      <c r="M237" s="115">
        <f>ROUND(J237*10,0)</f>
        <v/>
      </c>
    </row>
    <row r="238" ht="15" customHeight="1" s="116">
      <c r="A238" s="128" t="inlineStr">
        <is>
          <t>Osso de Dragao</t>
        </is>
      </c>
      <c r="B238" s="135" t="inlineStr">
        <is>
          <t>Amuleto</t>
        </is>
      </c>
      <c r="C238" s="128" t="inlineStr">
        <is>
          <t>Amuleto do Caçador de Wyrms</t>
        </is>
      </c>
      <c r="D238" s="128" t="n"/>
      <c r="E238" s="135" t="inlineStr">
        <is>
          <t>Usado por quem já perdeu companheiros de caçada pra dracoformos maiores.</t>
        </is>
      </c>
      <c r="F238" s="128">
        <f>INDEX(Tiers!$E$9:$E$22,MATCH($A238,Tiers!$B$9:$B$22,0))</f>
        <v/>
      </c>
      <c r="G238" s="128">
        <f>ROUND(INDEX('Curva Mestra'!$D$20:$D$94,MATCH(F238,'Curva Mestra'!$A$20:$A$94,0)),0)</f>
        <v/>
      </c>
      <c r="H238" s="128">
        <f>INDEX($B$5:$B$12,MATCH($B238,$A$5:$A$12,0))</f>
        <v/>
      </c>
      <c r="I238" s="128">
        <f>ROUND(G238*H238*K238,0)</f>
        <v/>
      </c>
      <c r="J238" s="153">
        <f>ROUND(G238*H238*K238*INDEX($B$19:$B$21,MATCH("Raro",$A$19:$A$21,0)),0)</f>
        <v/>
      </c>
      <c r="K238" s="115" t="n">
        <v>1</v>
      </c>
      <c r="L238" s="115">
        <f>ROUND(I238*8,0)</f>
        <v/>
      </c>
      <c r="M238" s="115">
        <f>ROUND(J238*10,0)</f>
        <v/>
      </c>
    </row>
    <row r="239" ht="15" customHeight="1" s="116">
      <c r="A239" s="128" t="inlineStr">
        <is>
          <t>Osso de Dragao</t>
        </is>
      </c>
      <c r="B239" s="135" t="inlineStr">
        <is>
          <t>Anel</t>
        </is>
      </c>
      <c r="C239" s="128" t="inlineStr">
        <is>
          <t>Anel de Osso de Dragão</t>
        </is>
      </c>
      <c r="D239" s="128" t="n"/>
      <c r="E239" s="135" t="inlineStr">
        <is>
          <t>Anel talhado em osso ancestral, sem lapidação — a textura já impressiona.</t>
        </is>
      </c>
      <c r="F239" s="128">
        <f>INDEX(Tiers!$E$9:$E$22,MATCH($A239,Tiers!$B$9:$B$22,0))</f>
        <v/>
      </c>
      <c r="G239" s="128">
        <f>ROUND(INDEX('Curva Mestra'!$D$20:$D$94,MATCH(F239,'Curva Mestra'!$A$20:$A$94,0)),0)</f>
        <v/>
      </c>
      <c r="H239" s="128">
        <f>INDEX($B$5:$B$12,MATCH($B239,$A$5:$A$12,0))</f>
        <v/>
      </c>
      <c r="I239" s="128">
        <f>ROUND(G239*H239*K239,0)</f>
        <v/>
      </c>
      <c r="J239" s="153">
        <f>ROUND(G239*H239*K239*INDEX($B$19:$B$21,MATCH("Raro",$A$19:$A$21,0)),0)</f>
        <v/>
      </c>
      <c r="K239" s="115" t="n">
        <v>1</v>
      </c>
      <c r="L239" s="115">
        <f>ROUND(I239*8,0)</f>
        <v/>
      </c>
      <c r="M239" s="115">
        <f>ROUND(J239*10,0)</f>
        <v/>
      </c>
    </row>
    <row r="240" ht="15" customHeight="1" s="116">
      <c r="A240" s="128" t="inlineStr">
        <is>
          <t>Osso de Dragao</t>
        </is>
      </c>
      <c r="B240" s="135" t="inlineStr">
        <is>
          <t>Anel</t>
        </is>
      </c>
      <c r="C240" s="128" t="inlineStr">
        <is>
          <t>Anel de Escama Draconiana</t>
        </is>
      </c>
      <c r="D240" s="128" t="n"/>
      <c r="E240" s="135" t="inlineStr">
        <is>
          <t>Uma única escama polida, presa num aro simples de metal.</t>
        </is>
      </c>
      <c r="F240" s="128">
        <f>INDEX(Tiers!$E$9:$E$22,MATCH($A240,Tiers!$B$9:$B$22,0))</f>
        <v/>
      </c>
      <c r="G240" s="128">
        <f>ROUND(INDEX('Curva Mestra'!$D$20:$D$94,MATCH(F240,'Curva Mestra'!$A$20:$A$94,0)),0)</f>
        <v/>
      </c>
      <c r="H240" s="128">
        <f>INDEX($B$5:$B$12,MATCH($B240,$A$5:$A$12,0))</f>
        <v/>
      </c>
      <c r="I240" s="128">
        <f>ROUND(G240*H240*K240,0)</f>
        <v/>
      </c>
      <c r="J240" s="153">
        <f>ROUND(G240*H240*K240*INDEX($B$19:$B$21,MATCH("Raro",$A$19:$A$21,0)),0)</f>
        <v/>
      </c>
      <c r="K240" s="115" t="n">
        <v>1</v>
      </c>
      <c r="L240" s="115">
        <f>ROUND(I240*8,0)</f>
        <v/>
      </c>
      <c r="M240" s="115">
        <f>ROUND(J240*10,0)</f>
        <v/>
      </c>
    </row>
    <row r="241" ht="15" customHeight="1" s="116">
      <c r="A241" s="128" t="inlineStr">
        <is>
          <t>Pacto Daedrico</t>
        </is>
      </c>
      <c r="B241" s="135" t="inlineStr">
        <is>
          <t>Peitoral</t>
        </is>
      </c>
      <c r="C241" s="128" t="inlineStr">
        <is>
          <t>Peitoral Daédrico</t>
        </is>
      </c>
      <c r="D241" s="128" t="n"/>
      <c r="E241" s="135" t="inlineStr">
        <is>
          <t>Placas negras vivas que se alimentam da dor dos golpes recebidos.</t>
        </is>
      </c>
      <c r="F241" s="128">
        <f>INDEX(Tiers!$E$9:$E$22,MATCH($A241,Tiers!$B$9:$B$22,0))</f>
        <v/>
      </c>
      <c r="G241" s="128">
        <f>ROUND(INDEX('Curva Mestra'!$D$20:$D$94,MATCH(F241,'Curva Mestra'!$A$20:$A$94,0)),0)</f>
        <v/>
      </c>
      <c r="H241" s="128">
        <f>INDEX($B$5:$B$12,MATCH($B241,$A$5:$A$12,0))</f>
        <v/>
      </c>
      <c r="I241" s="128">
        <f>ROUND(G241*H241*K241,0)</f>
        <v/>
      </c>
      <c r="J241" s="153">
        <f>ROUND(G241*H241*K241*INDEX($B$19:$B$21,MATCH("Raro",$A$19:$A$21,0)),0)</f>
        <v/>
      </c>
      <c r="K241" s="115" t="n">
        <v>1</v>
      </c>
      <c r="L241" s="115">
        <f>ROUND(I241*8,0)</f>
        <v/>
      </c>
      <c r="M241" s="115">
        <f>ROUND(J241*10,0)</f>
        <v/>
      </c>
    </row>
    <row r="242" ht="15" customHeight="1" s="116">
      <c r="A242" s="128" t="inlineStr">
        <is>
          <t>Pacto Daedrico</t>
        </is>
      </c>
      <c r="B242" s="135" t="inlineStr">
        <is>
          <t>Peitoral</t>
        </is>
      </c>
      <c r="C242" s="128" t="inlineStr">
        <is>
          <t>Peitoral do Pacto de Sangue</t>
        </is>
      </c>
      <c r="D242" s="128" t="n"/>
      <c r="E242" s="135" t="inlineStr">
        <is>
          <t>Forjado nos Altares de Sangue — ainda pulsa fraco, como um coração distante.</t>
        </is>
      </c>
      <c r="F242" s="128">
        <f>INDEX(Tiers!$E$9:$E$22,MATCH($A242,Tiers!$B$9:$B$22,0))</f>
        <v/>
      </c>
      <c r="G242" s="128">
        <f>ROUND(INDEX('Curva Mestra'!$D$20:$D$94,MATCH(F242,'Curva Mestra'!$A$20:$A$94,0)),0)</f>
        <v/>
      </c>
      <c r="H242" s="128">
        <f>INDEX($B$5:$B$12,MATCH($B242,$A$5:$A$12,0))</f>
        <v/>
      </c>
      <c r="I242" s="128">
        <f>ROUND(G242*H242*K242,0)</f>
        <v/>
      </c>
      <c r="J242" s="153">
        <f>ROUND(G242*H242*K242*INDEX($B$19:$B$21,MATCH("Raro",$A$19:$A$21,0)),0)</f>
        <v/>
      </c>
      <c r="K242" s="115" t="n">
        <v>1</v>
      </c>
      <c r="L242" s="115">
        <f>ROUND(I242*8,0)</f>
        <v/>
      </c>
      <c r="M242" s="115">
        <f>ROUND(J242*10,0)</f>
        <v/>
      </c>
    </row>
    <row r="243" ht="15" customHeight="1" s="116">
      <c r="A243" s="128" t="inlineStr">
        <is>
          <t>Pacto Daedrico</t>
        </is>
      </c>
      <c r="B243" s="135" t="inlineStr">
        <is>
          <t>Peitoral</t>
        </is>
      </c>
      <c r="C243" s="128" t="inlineStr">
        <is>
          <t>Peitoral Ritual do Círculo</t>
        </is>
      </c>
      <c r="D243" s="128" t="n"/>
      <c r="E243" s="135" t="inlineStr">
        <is>
          <t>Consagrado antes de qualquer batalha, nunca antes de um ritual.</t>
        </is>
      </c>
      <c r="F243" s="128">
        <f>INDEX(Tiers!$E$9:$E$22,MATCH($A243,Tiers!$B$9:$B$22,0))</f>
        <v/>
      </c>
      <c r="G243" s="128">
        <f>ROUND(INDEX('Curva Mestra'!$D$20:$D$94,MATCH(F243,'Curva Mestra'!$A$20:$A$94,0)),0)</f>
        <v/>
      </c>
      <c r="H243" s="128">
        <f>INDEX($B$5:$B$12,MATCH($B243,$A$5:$A$12,0))</f>
        <v/>
      </c>
      <c r="I243" s="128">
        <f>ROUND(G243*H243*K243,0)</f>
        <v/>
      </c>
      <c r="J243" s="153">
        <f>ROUND(G243*H243*K243*INDEX($B$19:$B$21,MATCH("Raro",$A$19:$A$21,0)),0)</f>
        <v/>
      </c>
      <c r="K243" s="115" t="n">
        <v>1.05</v>
      </c>
      <c r="L243" s="115">
        <f>ROUND(I243*8,0)</f>
        <v/>
      </c>
      <c r="M243" s="115">
        <f>ROUND(J243*10,0)</f>
        <v/>
      </c>
    </row>
    <row r="244" ht="15" customHeight="1" s="116">
      <c r="A244" s="128" t="inlineStr">
        <is>
          <t>Pacto Daedrico</t>
        </is>
      </c>
      <c r="B244" s="135" t="inlineStr">
        <is>
          <t>Escudo</t>
        </is>
      </c>
      <c r="C244" s="128" t="inlineStr">
        <is>
          <t>Escudo Daédrico</t>
        </is>
      </c>
      <c r="D244" s="128" t="n"/>
      <c r="E244" s="135" t="inlineStr">
        <is>
          <t>Escuro, pesado, veios carmesins visíveis na superfície.</t>
        </is>
      </c>
      <c r="F244" s="128">
        <f>INDEX(Tiers!$E$9:$E$22,MATCH($A244,Tiers!$B$9:$B$22,0))</f>
        <v/>
      </c>
      <c r="G244" s="128">
        <f>ROUND(INDEX('Curva Mestra'!$D$20:$D$94,MATCH(F244,'Curva Mestra'!$A$20:$A$94,0)),0)</f>
        <v/>
      </c>
      <c r="H244" s="128">
        <f>INDEX($B$5:$B$12,MATCH($B244,$A$5:$A$12,0))</f>
        <v/>
      </c>
      <c r="I244" s="128">
        <f>ROUND(G244*H244*K244,0)</f>
        <v/>
      </c>
      <c r="J244" s="153">
        <f>ROUND(G244*H244*K244*INDEX($B$19:$B$21,MATCH("Raro",$A$19:$A$21,0)),0)</f>
        <v/>
      </c>
      <c r="K244" s="115" t="n">
        <v>1</v>
      </c>
      <c r="L244" s="115">
        <f>ROUND(I244*8,0)</f>
        <v/>
      </c>
      <c r="M244" s="115">
        <f>ROUND(J244*10,0)</f>
        <v/>
      </c>
    </row>
    <row r="245" ht="15" customHeight="1" s="116">
      <c r="A245" s="128" t="inlineStr">
        <is>
          <t>Pacto Daedrico</t>
        </is>
      </c>
      <c r="B245" s="135" t="inlineStr">
        <is>
          <t>Escudo</t>
        </is>
      </c>
      <c r="C245" s="128" t="inlineStr">
        <is>
          <t>Escudo do Pacto</t>
        </is>
      </c>
      <c r="D245" s="128" t="n"/>
      <c r="E245" s="135" t="inlineStr">
        <is>
          <t>Forjado sob juramento — ninguém sabe exatamente o que foi prometido.</t>
        </is>
      </c>
      <c r="F245" s="128">
        <f>INDEX(Tiers!$E$9:$E$22,MATCH($A245,Tiers!$B$9:$B$22,0))</f>
        <v/>
      </c>
      <c r="G245" s="128">
        <f>ROUND(INDEX('Curva Mestra'!$D$20:$D$94,MATCH(F245,'Curva Mestra'!$A$20:$A$94,0)),0)</f>
        <v/>
      </c>
      <c r="H245" s="128">
        <f>INDEX($B$5:$B$12,MATCH($B245,$A$5:$A$12,0))</f>
        <v/>
      </c>
      <c r="I245" s="128">
        <f>ROUND(G245*H245*K245,0)</f>
        <v/>
      </c>
      <c r="J245" s="153">
        <f>ROUND(G245*H245*K245*INDEX($B$19:$B$21,MATCH("Raro",$A$19:$A$21,0)),0)</f>
        <v/>
      </c>
      <c r="K245" s="115" t="n">
        <v>1</v>
      </c>
      <c r="L245" s="115">
        <f>ROUND(I245*8,0)</f>
        <v/>
      </c>
      <c r="M245" s="115">
        <f>ROUND(J245*10,0)</f>
        <v/>
      </c>
    </row>
    <row r="246" ht="15" customHeight="1" s="116">
      <c r="A246" s="128" t="inlineStr">
        <is>
          <t>Pacto Daedrico</t>
        </is>
      </c>
      <c r="B246" s="135" t="inlineStr">
        <is>
          <t>Escudo</t>
        </is>
      </c>
      <c r="C246" s="128" t="inlineStr">
        <is>
          <t>Escudo Ritual do Círculo</t>
        </is>
      </c>
      <c r="D246" s="128" t="n"/>
      <c r="E246" s="135" t="inlineStr">
        <is>
          <t>Usado nos rituais de proteção antes de qualquer combate de verdade.</t>
        </is>
      </c>
      <c r="F246" s="128">
        <f>INDEX(Tiers!$E$9:$E$22,MATCH($A246,Tiers!$B$9:$B$22,0))</f>
        <v/>
      </c>
      <c r="G246" s="128">
        <f>ROUND(INDEX('Curva Mestra'!$D$20:$D$94,MATCH(F246,'Curva Mestra'!$A$20:$A$94,0)),0)</f>
        <v/>
      </c>
      <c r="H246" s="128">
        <f>INDEX($B$5:$B$12,MATCH($B246,$A$5:$A$12,0))</f>
        <v/>
      </c>
      <c r="I246" s="128">
        <f>ROUND(G246*H246*K246,0)</f>
        <v/>
      </c>
      <c r="J246" s="153">
        <f>ROUND(G246*H246*K246*INDEX($B$19:$B$21,MATCH("Raro",$A$19:$A$21,0)),0)</f>
        <v/>
      </c>
      <c r="K246" s="115" t="n">
        <v>1.05</v>
      </c>
      <c r="L246" s="115">
        <f>ROUND(I246*8,0)</f>
        <v/>
      </c>
      <c r="M246" s="115">
        <f>ROUND(J246*10,0)</f>
        <v/>
      </c>
    </row>
    <row r="247" ht="15" customHeight="1" s="116">
      <c r="A247" s="128" t="inlineStr">
        <is>
          <t>Pacto Daedrico</t>
        </is>
      </c>
      <c r="B247" s="135" t="inlineStr">
        <is>
          <t>Elmo</t>
        </is>
      </c>
      <c r="C247" s="128" t="inlineStr">
        <is>
          <t>Elmo Daédrico</t>
        </is>
      </c>
      <c r="D247" s="128" t="n"/>
      <c r="E247" s="135" t="inlineStr">
        <is>
          <t>Fechado, escuro, quase invisível na penumbra do Círculo.</t>
        </is>
      </c>
      <c r="F247" s="128">
        <f>INDEX(Tiers!$E$9:$E$22,MATCH($A247,Tiers!$B$9:$B$22,0))</f>
        <v/>
      </c>
      <c r="G247" s="128">
        <f>ROUND(INDEX('Curva Mestra'!$D$20:$D$94,MATCH(F247,'Curva Mestra'!$A$20:$A$94,0)),0)</f>
        <v/>
      </c>
      <c r="H247" s="128">
        <f>INDEX($B$5:$B$12,MATCH($B247,$A$5:$A$12,0))</f>
        <v/>
      </c>
      <c r="I247" s="128">
        <f>ROUND(G247*H247*K247,0)</f>
        <v/>
      </c>
      <c r="J247" s="153">
        <f>ROUND(G247*H247*K247*INDEX($B$19:$B$21,MATCH("Raro",$A$19:$A$21,0)),0)</f>
        <v/>
      </c>
      <c r="K247" s="115" t="n">
        <v>1</v>
      </c>
      <c r="L247" s="115">
        <f>ROUND(I247*8,0)</f>
        <v/>
      </c>
      <c r="M247" s="115">
        <f>ROUND(J247*10,0)</f>
        <v/>
      </c>
    </row>
    <row r="248" ht="15" customHeight="1" s="116">
      <c r="A248" s="128" t="inlineStr">
        <is>
          <t>Pacto Daedrico</t>
        </is>
      </c>
      <c r="B248" s="135" t="inlineStr">
        <is>
          <t>Elmo</t>
        </is>
      </c>
      <c r="C248" s="128" t="inlineStr">
        <is>
          <t>Elmo Ritual do Círculo</t>
        </is>
      </c>
      <c r="D248" s="128" t="n"/>
      <c r="E248" s="135" t="inlineStr">
        <is>
          <t>Consagrado nos Altares de Sangue antes de qualquer uso.</t>
        </is>
      </c>
      <c r="F248" s="128">
        <f>INDEX(Tiers!$E$9:$E$22,MATCH($A248,Tiers!$B$9:$B$22,0))</f>
        <v/>
      </c>
      <c r="G248" s="128">
        <f>ROUND(INDEX('Curva Mestra'!$D$20:$D$94,MATCH(F248,'Curva Mestra'!$A$20:$A$94,0)),0)</f>
        <v/>
      </c>
      <c r="H248" s="128">
        <f>INDEX($B$5:$B$12,MATCH($B248,$A$5:$A$12,0))</f>
        <v/>
      </c>
      <c r="I248" s="128">
        <f>ROUND(G248*H248*K248,0)</f>
        <v/>
      </c>
      <c r="J248" s="153">
        <f>ROUND(G248*H248*K248*INDEX($B$19:$B$21,MATCH("Raro",$A$19:$A$21,0)),0)</f>
        <v/>
      </c>
      <c r="K248" s="115" t="n">
        <v>1.05</v>
      </c>
      <c r="L248" s="115">
        <f>ROUND(I248*8,0)</f>
        <v/>
      </c>
      <c r="M248" s="115">
        <f>ROUND(J248*10,0)</f>
        <v/>
      </c>
    </row>
    <row r="249" ht="15" customHeight="1" s="116">
      <c r="A249" s="128" t="inlineStr">
        <is>
          <t>Pacto Daedrico</t>
        </is>
      </c>
      <c r="B249" s="135" t="inlineStr">
        <is>
          <t>Calca</t>
        </is>
      </c>
      <c r="C249" s="128" t="inlineStr">
        <is>
          <t>Calça Daédrica</t>
        </is>
      </c>
      <c r="D249" s="128" t="n"/>
      <c r="E249" s="135" t="inlineStr">
        <is>
          <t>Placas escuras nas coxas, veios carmesins pulsando de leve.</t>
        </is>
      </c>
      <c r="F249" s="128">
        <f>INDEX(Tiers!$E$9:$E$22,MATCH($A249,Tiers!$B$9:$B$22,0))</f>
        <v/>
      </c>
      <c r="G249" s="128">
        <f>ROUND(INDEX('Curva Mestra'!$D$20:$D$94,MATCH(F249,'Curva Mestra'!$A$20:$A$94,0)),0)</f>
        <v/>
      </c>
      <c r="H249" s="128">
        <f>INDEX($B$5:$B$12,MATCH($B249,$A$5:$A$12,0))</f>
        <v/>
      </c>
      <c r="I249" s="128">
        <f>ROUND(G249*H249*K249,0)</f>
        <v/>
      </c>
      <c r="J249" s="153">
        <f>ROUND(G249*H249*K249*INDEX($B$19:$B$21,MATCH("Raro",$A$19:$A$21,0)),0)</f>
        <v/>
      </c>
      <c r="K249" s="115" t="n">
        <v>1</v>
      </c>
      <c r="L249" s="115">
        <f>ROUND(I249*8,0)</f>
        <v/>
      </c>
      <c r="M249" s="115">
        <f>ROUND(J249*10,0)</f>
        <v/>
      </c>
    </row>
    <row r="250" ht="15" customHeight="1" s="116">
      <c r="A250" s="128" t="inlineStr">
        <is>
          <t>Pacto Daedrico</t>
        </is>
      </c>
      <c r="B250" s="135" t="inlineStr">
        <is>
          <t>Calca</t>
        </is>
      </c>
      <c r="C250" s="128" t="inlineStr">
        <is>
          <t>Calça Ritual do Círculo</t>
        </is>
      </c>
      <c r="D250" s="128" t="n"/>
      <c r="E250" s="135" t="inlineStr">
        <is>
          <t>Usada só por quem já passou pelo primeiro ritual de sangue.</t>
        </is>
      </c>
      <c r="F250" s="128">
        <f>INDEX(Tiers!$E$9:$E$22,MATCH($A250,Tiers!$B$9:$B$22,0))</f>
        <v/>
      </c>
      <c r="G250" s="128">
        <f>ROUND(INDEX('Curva Mestra'!$D$20:$D$94,MATCH(F250,'Curva Mestra'!$A$20:$A$94,0)),0)</f>
        <v/>
      </c>
      <c r="H250" s="128">
        <f>INDEX($B$5:$B$12,MATCH($B250,$A$5:$A$12,0))</f>
        <v/>
      </c>
      <c r="I250" s="128">
        <f>ROUND(G250*H250*K250,0)</f>
        <v/>
      </c>
      <c r="J250" s="153">
        <f>ROUND(G250*H250*K250*INDEX($B$19:$B$21,MATCH("Raro",$A$19:$A$21,0)),0)</f>
        <v/>
      </c>
      <c r="K250" s="115" t="n">
        <v>1.05</v>
      </c>
      <c r="L250" s="115">
        <f>ROUND(I250*8,0)</f>
        <v/>
      </c>
      <c r="M250" s="115">
        <f>ROUND(J250*10,0)</f>
        <v/>
      </c>
    </row>
    <row r="251" ht="15" customHeight="1" s="116">
      <c r="A251" s="128" t="inlineStr">
        <is>
          <t>Pacto Daedrico</t>
        </is>
      </c>
      <c r="B251" s="135" t="inlineStr">
        <is>
          <t>Bota</t>
        </is>
      </c>
      <c r="C251" s="128" t="inlineStr">
        <is>
          <t>Bota Daédrica</t>
        </is>
      </c>
      <c r="D251" s="128" t="n"/>
      <c r="E251" s="135" t="inlineStr">
        <is>
          <t>Sola escura, silenciosa nos corredores do Santuário Proibido.</t>
        </is>
      </c>
      <c r="F251" s="128">
        <f>INDEX(Tiers!$E$9:$E$22,MATCH($A251,Tiers!$B$9:$B$22,0))</f>
        <v/>
      </c>
      <c r="G251" s="128">
        <f>ROUND(INDEX('Curva Mestra'!$D$20:$D$94,MATCH(F251,'Curva Mestra'!$A$20:$A$94,0)),0)</f>
        <v/>
      </c>
      <c r="H251" s="128">
        <f>INDEX($B$5:$B$12,MATCH($B251,$A$5:$A$12,0))</f>
        <v/>
      </c>
      <c r="I251" s="128">
        <f>ROUND(G251*H251*K251,0)</f>
        <v/>
      </c>
      <c r="J251" s="153">
        <f>ROUND(G251*H251*K251*INDEX($B$19:$B$21,MATCH("Raro",$A$19:$A$21,0)),0)</f>
        <v/>
      </c>
      <c r="K251" s="115" t="n">
        <v>1</v>
      </c>
      <c r="L251" s="115">
        <f>ROUND(I251*8,0)</f>
        <v/>
      </c>
      <c r="M251" s="115">
        <f>ROUND(J251*10,0)</f>
        <v/>
      </c>
    </row>
    <row r="252" ht="15" customHeight="1" s="116">
      <c r="A252" s="128" t="inlineStr">
        <is>
          <t>Pacto Daedrico</t>
        </is>
      </c>
      <c r="B252" s="135" t="inlineStr">
        <is>
          <t>Bota</t>
        </is>
      </c>
      <c r="C252" s="128" t="inlineStr">
        <is>
          <t>Bota Ritual do Círculo</t>
        </is>
      </c>
      <c r="D252" s="128" t="n"/>
      <c r="E252" s="135" t="inlineStr">
        <is>
          <t>Já pisou em cada altar do Círculo Ritualístico Daédrico.</t>
        </is>
      </c>
      <c r="F252" s="128">
        <f>INDEX(Tiers!$E$9:$E$22,MATCH($A252,Tiers!$B$9:$B$22,0))</f>
        <v/>
      </c>
      <c r="G252" s="128">
        <f>ROUND(INDEX('Curva Mestra'!$D$20:$D$94,MATCH(F252,'Curva Mestra'!$A$20:$A$94,0)),0)</f>
        <v/>
      </c>
      <c r="H252" s="128">
        <f>INDEX($B$5:$B$12,MATCH($B252,$A$5:$A$12,0))</f>
        <v/>
      </c>
      <c r="I252" s="128">
        <f>ROUND(G252*H252*K252,0)</f>
        <v/>
      </c>
      <c r="J252" s="153">
        <f>ROUND(G252*H252*K252*INDEX($B$19:$B$21,MATCH("Raro",$A$19:$A$21,0)),0)</f>
        <v/>
      </c>
      <c r="K252" s="115" t="n">
        <v>1.05</v>
      </c>
      <c r="L252" s="115">
        <f>ROUND(I252*8,0)</f>
        <v/>
      </c>
      <c r="M252" s="115">
        <f>ROUND(J252*10,0)</f>
        <v/>
      </c>
    </row>
    <row r="253" ht="15" customHeight="1" s="116">
      <c r="A253" s="128" t="inlineStr">
        <is>
          <t>Pacto Daedrico</t>
        </is>
      </c>
      <c r="B253" s="135" t="inlineStr">
        <is>
          <t>Luvas</t>
        </is>
      </c>
      <c r="C253" s="128" t="inlineStr">
        <is>
          <t>Luvas Daédricas</t>
        </is>
      </c>
      <c r="D253" s="128" t="n"/>
      <c r="E253" s="135" t="inlineStr">
        <is>
          <t>Finas, escuras, veios carmesins visíveis nos dedos.</t>
        </is>
      </c>
      <c r="F253" s="128">
        <f>INDEX(Tiers!$E$9:$E$22,MATCH($A253,Tiers!$B$9:$B$22,0))</f>
        <v/>
      </c>
      <c r="G253" s="128">
        <f>ROUND(INDEX('Curva Mestra'!$D$20:$D$94,MATCH(F253,'Curva Mestra'!$A$20:$A$94,0)),0)</f>
        <v/>
      </c>
      <c r="H253" s="128">
        <f>INDEX($B$5:$B$12,MATCH($B253,$A$5:$A$12,0))</f>
        <v/>
      </c>
      <c r="I253" s="128">
        <f>ROUND(G253*H253*K253,0)</f>
        <v/>
      </c>
      <c r="J253" s="153">
        <f>ROUND(G253*H253*K253*INDEX($B$19:$B$21,MATCH("Raro",$A$19:$A$21,0)),0)</f>
        <v/>
      </c>
      <c r="K253" s="115" t="n">
        <v>1</v>
      </c>
      <c r="L253" s="115">
        <f>ROUND(I253*8,0)</f>
        <v/>
      </c>
      <c r="M253" s="115">
        <f>ROUND(J253*10,0)</f>
        <v/>
      </c>
    </row>
    <row r="254" ht="15" customHeight="1" s="116">
      <c r="A254" s="128" t="inlineStr">
        <is>
          <t>Pacto Daedrico</t>
        </is>
      </c>
      <c r="B254" s="135" t="inlineStr">
        <is>
          <t>Luvas</t>
        </is>
      </c>
      <c r="C254" s="128" t="inlineStr">
        <is>
          <t>Luvas do Sacrifício</t>
        </is>
      </c>
      <c r="D254" s="128" t="inlineStr">
        <is>
          <t>Fragilidade</t>
        </is>
      </c>
      <c r="E254" s="135" t="inlineStr">
        <is>
          <t>Usadas em rituais de sangue — devolvem um pouco de vida a cada golpe, a um custo.</t>
        </is>
      </c>
      <c r="F254" s="128">
        <f>INDEX(Tiers!$E$9:$E$22,MATCH($A254,Tiers!$B$9:$B$22,0))</f>
        <v/>
      </c>
      <c r="G254" s="128">
        <f>ROUND(INDEX('Curva Mestra'!$D$20:$D$94,MATCH(F254,'Curva Mestra'!$A$20:$A$94,0)),0)</f>
        <v/>
      </c>
      <c r="H254" s="128">
        <f>INDEX($B$5:$B$12,MATCH($B254,$A$5:$A$12,0))</f>
        <v/>
      </c>
      <c r="I254" s="128">
        <f>ROUND(G254*H254*K254,0)</f>
        <v/>
      </c>
      <c r="J254" s="153">
        <f>ROUND(G254*H254*K254*INDEX($B$19:$B$21,MATCH("Raro",$A$19:$A$21,0)),0)</f>
        <v/>
      </c>
      <c r="K254" s="115" t="n">
        <v>0.93</v>
      </c>
      <c r="L254" s="115">
        <f>ROUND(I254*8,0)</f>
        <v/>
      </c>
      <c r="M254" s="115">
        <f>ROUND(J254*10,0)</f>
        <v/>
      </c>
    </row>
    <row r="255" ht="15" customHeight="1" s="116">
      <c r="A255" s="128" t="inlineStr">
        <is>
          <t>Pacto Daedrico</t>
        </is>
      </c>
      <c r="B255" s="135" t="inlineStr">
        <is>
          <t>Amuleto</t>
        </is>
      </c>
      <c r="C255" s="128" t="inlineStr">
        <is>
          <t>Amuleto Daédrico</t>
        </is>
      </c>
      <c r="D255" s="128" t="n"/>
      <c r="E255" s="135" t="inlineStr">
        <is>
          <t>Peça escura, pulsando fraco, veios carmesins visíveis de perto.</t>
        </is>
      </c>
      <c r="F255" s="128">
        <f>INDEX(Tiers!$E$9:$E$22,MATCH($A255,Tiers!$B$9:$B$22,0))</f>
        <v/>
      </c>
      <c r="G255" s="128">
        <f>ROUND(INDEX('Curva Mestra'!$D$20:$D$94,MATCH(F255,'Curva Mestra'!$A$20:$A$94,0)),0)</f>
        <v/>
      </c>
      <c r="H255" s="128">
        <f>INDEX($B$5:$B$12,MATCH($B255,$A$5:$A$12,0))</f>
        <v/>
      </c>
      <c r="I255" s="128">
        <f>ROUND(G255*H255*K255,0)</f>
        <v/>
      </c>
      <c r="J255" s="153">
        <f>ROUND(G255*H255*K255*INDEX($B$19:$B$21,MATCH("Raro",$A$19:$A$21,0)),0)</f>
        <v/>
      </c>
      <c r="K255" s="115" t="n">
        <v>1</v>
      </c>
      <c r="L255" s="115">
        <f>ROUND(I255*8,0)</f>
        <v/>
      </c>
      <c r="M255" s="115">
        <f>ROUND(J255*10,0)</f>
        <v/>
      </c>
    </row>
    <row r="256" ht="15" customHeight="1" s="116">
      <c r="A256" s="128" t="inlineStr">
        <is>
          <t>Pacto Daedrico</t>
        </is>
      </c>
      <c r="B256" s="135" t="inlineStr">
        <is>
          <t>Amuleto</t>
        </is>
      </c>
      <c r="C256" s="128" t="inlineStr">
        <is>
          <t>Amuleto do Círculo Ritualístico</t>
        </is>
      </c>
      <c r="D256" s="128" t="n"/>
      <c r="E256" s="135" t="inlineStr">
        <is>
          <t>Consagrado nos Altares de Sangue do Círculo Daédrico.</t>
        </is>
      </c>
      <c r="F256" s="128">
        <f>INDEX(Tiers!$E$9:$E$22,MATCH($A256,Tiers!$B$9:$B$22,0))</f>
        <v/>
      </c>
      <c r="G256" s="128">
        <f>ROUND(INDEX('Curva Mestra'!$D$20:$D$94,MATCH(F256,'Curva Mestra'!$A$20:$A$94,0)),0)</f>
        <v/>
      </c>
      <c r="H256" s="128">
        <f>INDEX($B$5:$B$12,MATCH($B256,$A$5:$A$12,0))</f>
        <v/>
      </c>
      <c r="I256" s="128">
        <f>ROUND(G256*H256*K256,0)</f>
        <v/>
      </c>
      <c r="J256" s="153">
        <f>ROUND(G256*H256*K256*INDEX($B$19:$B$21,MATCH("Raro",$A$19:$A$21,0)),0)</f>
        <v/>
      </c>
      <c r="K256" s="115" t="n">
        <v>1.05</v>
      </c>
      <c r="L256" s="115">
        <f>ROUND(I256*8,0)</f>
        <v/>
      </c>
      <c r="M256" s="115">
        <f>ROUND(J256*10,0)</f>
        <v/>
      </c>
    </row>
    <row r="257" ht="15" customHeight="1" s="116">
      <c r="A257" s="128" t="inlineStr">
        <is>
          <t>Pacto Daedrico</t>
        </is>
      </c>
      <c r="B257" s="135" t="inlineStr">
        <is>
          <t>Anel</t>
        </is>
      </c>
      <c r="C257" s="128" t="inlineStr">
        <is>
          <t>Anel Daédrico</t>
        </is>
      </c>
      <c r="D257" s="128" t="n"/>
      <c r="E257" s="135" t="inlineStr">
        <is>
          <t>Anel escuro, veios carmesins pulsando — desconfortável de usar por muito tempo.</t>
        </is>
      </c>
      <c r="F257" s="128">
        <f>INDEX(Tiers!$E$9:$E$22,MATCH($A257,Tiers!$B$9:$B$22,0))</f>
        <v/>
      </c>
      <c r="G257" s="128">
        <f>ROUND(INDEX('Curva Mestra'!$D$20:$D$94,MATCH(F257,'Curva Mestra'!$A$20:$A$94,0)),0)</f>
        <v/>
      </c>
      <c r="H257" s="128">
        <f>INDEX($B$5:$B$12,MATCH($B257,$A$5:$A$12,0))</f>
        <v/>
      </c>
      <c r="I257" s="128">
        <f>ROUND(G257*H257*K257,0)</f>
        <v/>
      </c>
      <c r="J257" s="153">
        <f>ROUND(G257*H257*K257*INDEX($B$19:$B$21,MATCH("Raro",$A$19:$A$21,0)),0)</f>
        <v/>
      </c>
      <c r="K257" s="115" t="n">
        <v>1</v>
      </c>
      <c r="L257" s="115">
        <f>ROUND(I257*8,0)</f>
        <v/>
      </c>
      <c r="M257" s="115">
        <f>ROUND(J257*10,0)</f>
        <v/>
      </c>
    </row>
    <row r="258" ht="15" customHeight="1" s="116">
      <c r="A258" s="128" t="inlineStr">
        <is>
          <t>Pacto Daedrico</t>
        </is>
      </c>
      <c r="B258" s="135" t="inlineStr">
        <is>
          <t>Anel</t>
        </is>
      </c>
      <c r="C258" s="128" t="inlineStr">
        <is>
          <t>Anel do Pacto de Sangue</t>
        </is>
      </c>
      <c r="D258" s="128" t="n"/>
      <c r="E258" s="135" t="inlineStr">
        <is>
          <t>Selado com sangue de quem o forjou — ninguém sabe quem foi.</t>
        </is>
      </c>
      <c r="F258" s="128">
        <f>INDEX(Tiers!$E$9:$E$22,MATCH($A258,Tiers!$B$9:$B$22,0))</f>
        <v/>
      </c>
      <c r="G258" s="128">
        <f>ROUND(INDEX('Curva Mestra'!$D$20:$D$94,MATCH(F258,'Curva Mestra'!$A$20:$A$94,0)),0)</f>
        <v/>
      </c>
      <c r="H258" s="128">
        <f>INDEX($B$5:$B$12,MATCH($B258,$A$5:$A$12,0))</f>
        <v/>
      </c>
      <c r="I258" s="128">
        <f>ROUND(G258*H258*K258,0)</f>
        <v/>
      </c>
      <c r="J258" s="153">
        <f>ROUND(G258*H258*K258*INDEX($B$19:$B$21,MATCH("Raro",$A$19:$A$21,0)),0)</f>
        <v/>
      </c>
      <c r="K258" s="115" t="n">
        <v>1</v>
      </c>
      <c r="L258" s="115">
        <f>ROUND(I258*8,0)</f>
        <v/>
      </c>
      <c r="M258" s="115">
        <f>ROUND(J258*10,0)</f>
        <v/>
      </c>
    </row>
    <row r="259" ht="15" customHeight="1" s="116">
      <c r="A259" s="128" t="inlineStr">
        <is>
          <t>Estelar / Cosmico</t>
        </is>
      </c>
      <c r="B259" s="135" t="inlineStr">
        <is>
          <t>Peitoral</t>
        </is>
      </c>
      <c r="C259" s="128" t="inlineStr">
        <is>
          <t>Peitoral Estelar</t>
        </is>
      </c>
      <c r="D259" s="128" t="n"/>
      <c r="E259" s="135" t="inlineStr">
        <is>
          <t>Dobra a realidade ao redor do usuário, desviando ataques antes do impacto.</t>
        </is>
      </c>
      <c r="F259" s="128">
        <f>INDEX(Tiers!$E$9:$E$22,MATCH($A259,Tiers!$B$9:$B$22,0))</f>
        <v/>
      </c>
      <c r="G259" s="128">
        <f>ROUND(INDEX('Curva Mestra'!$D$20:$D$94,MATCH(F259,'Curva Mestra'!$A$20:$A$94,0)),0)</f>
        <v/>
      </c>
      <c r="H259" s="128">
        <f>INDEX($B$5:$B$12,MATCH($B259,$A$5:$A$12,0))</f>
        <v/>
      </c>
      <c r="I259" s="128">
        <f>ROUND(G259*H259*K259,0)</f>
        <v/>
      </c>
      <c r="J259" s="153">
        <f>ROUND(G259*H259*K259*INDEX($B$19:$B$21,MATCH("Raro",$A$19:$A$21,0)),0)</f>
        <v/>
      </c>
      <c r="K259" s="115" t="n">
        <v>1</v>
      </c>
      <c r="L259" s="115">
        <f>ROUND(I259*8,0)</f>
        <v/>
      </c>
      <c r="M259" s="115">
        <f>ROUND(J259*10,0)</f>
        <v/>
      </c>
    </row>
    <row r="260" ht="15" customHeight="1" s="116">
      <c r="A260" s="128" t="inlineStr">
        <is>
          <t>Estelar / Cosmico</t>
        </is>
      </c>
      <c r="B260" s="135" t="inlineStr">
        <is>
          <t>Peitoral</t>
        </is>
      </c>
      <c r="C260" s="128" t="inlineStr">
        <is>
          <t>Peitoral do Vazio</t>
        </is>
      </c>
      <c r="D260" s="128" t="inlineStr">
        <is>
          <t>Fragilidade</t>
        </is>
      </c>
      <c r="E260" s="135" t="inlineStr">
        <is>
          <t>Às vezes parece translúcido — não é ilusão, é a armadura hesitando em existir.</t>
        </is>
      </c>
      <c r="F260" s="128">
        <f>INDEX(Tiers!$E$9:$E$22,MATCH($A260,Tiers!$B$9:$B$22,0))</f>
        <v/>
      </c>
      <c r="G260" s="128">
        <f>ROUND(INDEX('Curva Mestra'!$D$20:$D$94,MATCH(F260,'Curva Mestra'!$A$20:$A$94,0)),0)</f>
        <v/>
      </c>
      <c r="H260" s="128">
        <f>INDEX($B$5:$B$12,MATCH($B260,$A$5:$A$12,0))</f>
        <v/>
      </c>
      <c r="I260" s="128">
        <f>ROUND(G260*H260*K260,0)</f>
        <v/>
      </c>
      <c r="J260" s="153">
        <f>ROUND(G260*H260*K260*INDEX($B$19:$B$21,MATCH("Raro",$A$19:$A$21,0)),0)</f>
        <v/>
      </c>
      <c r="K260" s="115" t="n">
        <v>1.05</v>
      </c>
      <c r="L260" s="115">
        <f>ROUND(I260*8,0)</f>
        <v/>
      </c>
      <c r="M260" s="115">
        <f>ROUND(J260*10,0)</f>
        <v/>
      </c>
    </row>
    <row r="261" ht="15" customHeight="1" s="116">
      <c r="A261" s="128" t="inlineStr">
        <is>
          <t>Estelar / Cosmico</t>
        </is>
      </c>
      <c r="B261" s="135" t="inlineStr">
        <is>
          <t>Peitoral</t>
        </is>
      </c>
      <c r="C261" s="128" t="inlineStr">
        <is>
          <t>Peitoral Cósmico</t>
        </is>
      </c>
      <c r="D261" s="128" t="n"/>
      <c r="E261" s="135" t="inlineStr">
        <is>
          <t>Feito de matéria que veio de além do Portal Estelar.</t>
        </is>
      </c>
      <c r="F261" s="128">
        <f>INDEX(Tiers!$E$9:$E$22,MATCH($A261,Tiers!$B$9:$B$22,0))</f>
        <v/>
      </c>
      <c r="G261" s="128">
        <f>ROUND(INDEX('Curva Mestra'!$D$20:$D$94,MATCH(F261,'Curva Mestra'!$A$20:$A$94,0)),0)</f>
        <v/>
      </c>
      <c r="H261" s="128">
        <f>INDEX($B$5:$B$12,MATCH($B261,$A$5:$A$12,0))</f>
        <v/>
      </c>
      <c r="I261" s="128">
        <f>ROUND(G261*H261*K261,0)</f>
        <v/>
      </c>
      <c r="J261" s="153">
        <f>ROUND(G261*H261*K261*INDEX($B$19:$B$21,MATCH("Raro",$A$19:$A$21,0)),0)</f>
        <v/>
      </c>
      <c r="K261" s="115" t="n">
        <v>1</v>
      </c>
      <c r="L261" s="115">
        <f>ROUND(I261*8,0)</f>
        <v/>
      </c>
      <c r="M261" s="115">
        <f>ROUND(J261*10,0)</f>
        <v/>
      </c>
    </row>
    <row r="262" ht="15" customHeight="1" s="116">
      <c r="A262" s="128" t="inlineStr">
        <is>
          <t>Estelar / Cosmico</t>
        </is>
      </c>
      <c r="B262" s="135" t="inlineStr">
        <is>
          <t>Escudo</t>
        </is>
      </c>
      <c r="C262" s="128" t="inlineStr">
        <is>
          <t>Escudo Estelar</t>
        </is>
      </c>
      <c r="D262" s="128" t="n"/>
      <c r="E262" s="135" t="inlineStr">
        <is>
          <t>Reflete luz que não devia existir nesse plano.</t>
        </is>
      </c>
      <c r="F262" s="128">
        <f>INDEX(Tiers!$E$9:$E$22,MATCH($A262,Tiers!$B$9:$B$22,0))</f>
        <v/>
      </c>
      <c r="G262" s="128">
        <f>ROUND(INDEX('Curva Mestra'!$D$20:$D$94,MATCH(F262,'Curva Mestra'!$A$20:$A$94,0)),0)</f>
        <v/>
      </c>
      <c r="H262" s="128">
        <f>INDEX($B$5:$B$12,MATCH($B262,$A$5:$A$12,0))</f>
        <v/>
      </c>
      <c r="I262" s="128">
        <f>ROUND(G262*H262*K262,0)</f>
        <v/>
      </c>
      <c r="J262" s="153">
        <f>ROUND(G262*H262*K262*INDEX($B$19:$B$21,MATCH("Raro",$A$19:$A$21,0)),0)</f>
        <v/>
      </c>
      <c r="K262" s="115" t="n">
        <v>1</v>
      </c>
      <c r="L262" s="115">
        <f>ROUND(I262*8,0)</f>
        <v/>
      </c>
      <c r="M262" s="115">
        <f>ROUND(J262*10,0)</f>
        <v/>
      </c>
    </row>
    <row r="263" ht="15" customHeight="1" s="116">
      <c r="A263" s="128" t="inlineStr">
        <is>
          <t>Estelar / Cosmico</t>
        </is>
      </c>
      <c r="B263" s="135" t="inlineStr">
        <is>
          <t>Escudo</t>
        </is>
      </c>
      <c r="C263" s="128" t="inlineStr">
        <is>
          <t>Escudo do Vazio</t>
        </is>
      </c>
      <c r="D263" s="128" t="inlineStr">
        <is>
          <t>Fragilidade</t>
        </is>
      </c>
      <c r="E263" s="135" t="inlineStr">
        <is>
          <t>Bloqueia o golpe, mas às vezes o próprio escudo parece hesitar em estar lá.</t>
        </is>
      </c>
      <c r="F263" s="128">
        <f>INDEX(Tiers!$E$9:$E$22,MATCH($A263,Tiers!$B$9:$B$22,0))</f>
        <v/>
      </c>
      <c r="G263" s="128">
        <f>ROUND(INDEX('Curva Mestra'!$D$20:$D$94,MATCH(F263,'Curva Mestra'!$A$20:$A$94,0)),0)</f>
        <v/>
      </c>
      <c r="H263" s="128">
        <f>INDEX($B$5:$B$12,MATCH($B263,$A$5:$A$12,0))</f>
        <v/>
      </c>
      <c r="I263" s="128">
        <f>ROUND(G263*H263*K263,0)</f>
        <v/>
      </c>
      <c r="J263" s="153">
        <f>ROUND(G263*H263*K263*INDEX($B$19:$B$21,MATCH("Raro",$A$19:$A$21,0)),0)</f>
        <v/>
      </c>
      <c r="K263" s="115" t="n">
        <v>1.05</v>
      </c>
      <c r="L263" s="115">
        <f>ROUND(I263*8,0)</f>
        <v/>
      </c>
      <c r="M263" s="115">
        <f>ROUND(J263*10,0)</f>
        <v/>
      </c>
    </row>
    <row r="264" ht="15" customHeight="1" s="116">
      <c r="A264" s="128" t="inlineStr">
        <is>
          <t>Estelar / Cosmico</t>
        </is>
      </c>
      <c r="B264" s="135" t="inlineStr">
        <is>
          <t>Escudo</t>
        </is>
      </c>
      <c r="C264" s="128" t="inlineStr">
        <is>
          <t>Escudo Cósmico</t>
        </is>
      </c>
      <c r="D264" s="128" t="n"/>
      <c r="E264" s="135" t="inlineStr">
        <is>
          <t>Talhado de matéria condensada que distorce o ar ao redor.</t>
        </is>
      </c>
      <c r="F264" s="128">
        <f>INDEX(Tiers!$E$9:$E$22,MATCH($A264,Tiers!$B$9:$B$22,0))</f>
        <v/>
      </c>
      <c r="G264" s="128">
        <f>ROUND(INDEX('Curva Mestra'!$D$20:$D$94,MATCH(F264,'Curva Mestra'!$A$20:$A$94,0)),0)</f>
        <v/>
      </c>
      <c r="H264" s="128">
        <f>INDEX($B$5:$B$12,MATCH($B264,$A$5:$A$12,0))</f>
        <v/>
      </c>
      <c r="I264" s="128">
        <f>ROUND(G264*H264*K264,0)</f>
        <v/>
      </c>
      <c r="J264" s="153">
        <f>ROUND(G264*H264*K264*INDEX($B$19:$B$21,MATCH("Raro",$A$19:$A$21,0)),0)</f>
        <v/>
      </c>
      <c r="K264" s="115" t="n">
        <v>1</v>
      </c>
      <c r="L264" s="115">
        <f>ROUND(I264*8,0)</f>
        <v/>
      </c>
      <c r="M264" s="115">
        <f>ROUND(J264*10,0)</f>
        <v/>
      </c>
    </row>
    <row r="265" ht="15" customHeight="1" s="116">
      <c r="A265" s="128" t="inlineStr">
        <is>
          <t>Estelar / Cosmico</t>
        </is>
      </c>
      <c r="B265" s="135" t="inlineStr">
        <is>
          <t>Elmo</t>
        </is>
      </c>
      <c r="C265" s="128" t="inlineStr">
        <is>
          <t>Elmo Estelar</t>
        </is>
      </c>
      <c r="D265" s="128" t="n"/>
      <c r="E265" s="135" t="inlineStr">
        <is>
          <t>Cobre o rosto com um véu de luz sólida.</t>
        </is>
      </c>
      <c r="F265" s="128">
        <f>INDEX(Tiers!$E$9:$E$22,MATCH($A265,Tiers!$B$9:$B$22,0))</f>
        <v/>
      </c>
      <c r="G265" s="128">
        <f>ROUND(INDEX('Curva Mestra'!$D$20:$D$94,MATCH(F265,'Curva Mestra'!$A$20:$A$94,0)),0)</f>
        <v/>
      </c>
      <c r="H265" s="128">
        <f>INDEX($B$5:$B$12,MATCH($B265,$A$5:$A$12,0))</f>
        <v/>
      </c>
      <c r="I265" s="128">
        <f>ROUND(G265*H265*K265,0)</f>
        <v/>
      </c>
      <c r="J265" s="153">
        <f>ROUND(G265*H265*K265*INDEX($B$19:$B$21,MATCH("Raro",$A$19:$A$21,0)),0)</f>
        <v/>
      </c>
      <c r="K265" s="115" t="n">
        <v>1</v>
      </c>
      <c r="L265" s="115">
        <f>ROUND(I265*8,0)</f>
        <v/>
      </c>
      <c r="M265" s="115">
        <f>ROUND(J265*10,0)</f>
        <v/>
      </c>
    </row>
    <row r="266" ht="15" customHeight="1" s="116">
      <c r="A266" s="128" t="inlineStr">
        <is>
          <t>Estelar / Cosmico</t>
        </is>
      </c>
      <c r="B266" s="135" t="inlineStr">
        <is>
          <t>Elmo</t>
        </is>
      </c>
      <c r="C266" s="128" t="inlineStr">
        <is>
          <t>Elmo Cósmico</t>
        </is>
      </c>
      <c r="D266" s="128" t="n"/>
      <c r="E266" s="135" t="inlineStr">
        <is>
          <t>Feito de matéria que desafia peso e física terrena.</t>
        </is>
      </c>
      <c r="F266" s="128">
        <f>INDEX(Tiers!$E$9:$E$22,MATCH($A266,Tiers!$B$9:$B$22,0))</f>
        <v/>
      </c>
      <c r="G266" s="128">
        <f>ROUND(INDEX('Curva Mestra'!$D$20:$D$94,MATCH(F266,'Curva Mestra'!$A$20:$A$94,0)),0)</f>
        <v/>
      </c>
      <c r="H266" s="128">
        <f>INDEX($B$5:$B$12,MATCH($B266,$A$5:$A$12,0))</f>
        <v/>
      </c>
      <c r="I266" s="128">
        <f>ROUND(G266*H266*K266,0)</f>
        <v/>
      </c>
      <c r="J266" s="153">
        <f>ROUND(G266*H266*K266*INDEX($B$19:$B$21,MATCH("Raro",$A$19:$A$21,0)),0)</f>
        <v/>
      </c>
      <c r="K266" s="115" t="n">
        <v>1</v>
      </c>
      <c r="L266" s="115">
        <f>ROUND(I266*8,0)</f>
        <v/>
      </c>
      <c r="M266" s="115">
        <f>ROUND(J266*10,0)</f>
        <v/>
      </c>
    </row>
    <row r="267" ht="15" customHeight="1" s="116">
      <c r="A267" s="128" t="inlineStr">
        <is>
          <t>Estelar / Cosmico</t>
        </is>
      </c>
      <c r="B267" s="135" t="inlineStr">
        <is>
          <t>Calca</t>
        </is>
      </c>
      <c r="C267" s="128" t="inlineStr">
        <is>
          <t>Calça Estelar</t>
        </is>
      </c>
      <c r="D267" s="128" t="n"/>
      <c r="E267" s="135" t="inlineStr">
        <is>
          <t>Tecida com luz sólida — leve como se não estivesse lá.</t>
        </is>
      </c>
      <c r="F267" s="128">
        <f>INDEX(Tiers!$E$9:$E$22,MATCH($A267,Tiers!$B$9:$B$22,0))</f>
        <v/>
      </c>
      <c r="G267" s="128">
        <f>ROUND(INDEX('Curva Mestra'!$D$20:$D$94,MATCH(F267,'Curva Mestra'!$A$20:$A$94,0)),0)</f>
        <v/>
      </c>
      <c r="H267" s="128">
        <f>INDEX($B$5:$B$12,MATCH($B267,$A$5:$A$12,0))</f>
        <v/>
      </c>
      <c r="I267" s="128">
        <f>ROUND(G267*H267*K267,0)</f>
        <v/>
      </c>
      <c r="J267" s="153">
        <f>ROUND(G267*H267*K267*INDEX($B$19:$B$21,MATCH("Raro",$A$19:$A$21,0)),0)</f>
        <v/>
      </c>
      <c r="K267" s="115" t="n">
        <v>1</v>
      </c>
      <c r="L267" s="115">
        <f>ROUND(I267*8,0)</f>
        <v/>
      </c>
      <c r="M267" s="115">
        <f>ROUND(J267*10,0)</f>
        <v/>
      </c>
    </row>
    <row r="268" ht="15" customHeight="1" s="116">
      <c r="A268" s="128" t="inlineStr">
        <is>
          <t>Estelar / Cosmico</t>
        </is>
      </c>
      <c r="B268" s="135" t="inlineStr">
        <is>
          <t>Calca</t>
        </is>
      </c>
      <c r="C268" s="128" t="inlineStr">
        <is>
          <t>Calça Cósmica</t>
        </is>
      </c>
      <c r="D268" s="128" t="n"/>
      <c r="E268" s="135" t="inlineStr">
        <is>
          <t>Feita de matéria condensada de estrelas mortas.</t>
        </is>
      </c>
      <c r="F268" s="128">
        <f>INDEX(Tiers!$E$9:$E$22,MATCH($A268,Tiers!$B$9:$B$22,0))</f>
        <v/>
      </c>
      <c r="G268" s="128">
        <f>ROUND(INDEX('Curva Mestra'!$D$20:$D$94,MATCH(F268,'Curva Mestra'!$A$20:$A$94,0)),0)</f>
        <v/>
      </c>
      <c r="H268" s="128">
        <f>INDEX($B$5:$B$12,MATCH($B268,$A$5:$A$12,0))</f>
        <v/>
      </c>
      <c r="I268" s="128">
        <f>ROUND(G268*H268*K268,0)</f>
        <v/>
      </c>
      <c r="J268" s="153">
        <f>ROUND(G268*H268*K268*INDEX($B$19:$B$21,MATCH("Raro",$A$19:$A$21,0)),0)</f>
        <v/>
      </c>
      <c r="K268" s="115" t="n">
        <v>1</v>
      </c>
      <c r="L268" s="115">
        <f>ROUND(I268*8,0)</f>
        <v/>
      </c>
      <c r="M268" s="115">
        <f>ROUND(J268*10,0)</f>
        <v/>
      </c>
    </row>
    <row r="269" ht="15" customHeight="1" s="116">
      <c r="A269" s="128" t="inlineStr">
        <is>
          <t>Estelar / Cosmico</t>
        </is>
      </c>
      <c r="B269" s="135" t="inlineStr">
        <is>
          <t>Bota</t>
        </is>
      </c>
      <c r="C269" s="128" t="inlineStr">
        <is>
          <t>Bota Estelar</t>
        </is>
      </c>
      <c r="D269" s="128" t="n"/>
      <c r="E269" s="135" t="inlineStr">
        <is>
          <t>Passos que deixam um rastro fraco de poeira estelar.</t>
        </is>
      </c>
      <c r="F269" s="128">
        <f>INDEX(Tiers!$E$9:$E$22,MATCH($A269,Tiers!$B$9:$B$22,0))</f>
        <v/>
      </c>
      <c r="G269" s="128">
        <f>ROUND(INDEX('Curva Mestra'!$D$20:$D$94,MATCH(F269,'Curva Mestra'!$A$20:$A$94,0)),0)</f>
        <v/>
      </c>
      <c r="H269" s="128">
        <f>INDEX($B$5:$B$12,MATCH($B269,$A$5:$A$12,0))</f>
        <v/>
      </c>
      <c r="I269" s="128">
        <f>ROUND(G269*H269*K269,0)</f>
        <v/>
      </c>
      <c r="J269" s="153">
        <f>ROUND(G269*H269*K269*INDEX($B$19:$B$21,MATCH("Raro",$A$19:$A$21,0)),0)</f>
        <v/>
      </c>
      <c r="K269" s="115" t="n">
        <v>1</v>
      </c>
      <c r="L269" s="115">
        <f>ROUND(I269*8,0)</f>
        <v/>
      </c>
      <c r="M269" s="115">
        <f>ROUND(J269*10,0)</f>
        <v/>
      </c>
    </row>
    <row r="270" ht="15" customHeight="1" s="116">
      <c r="A270" s="128" t="inlineStr">
        <is>
          <t>Estelar / Cosmico</t>
        </is>
      </c>
      <c r="B270" s="135" t="inlineStr">
        <is>
          <t>Bota</t>
        </is>
      </c>
      <c r="C270" s="128" t="inlineStr">
        <is>
          <t>Bota Cósmica</t>
        </is>
      </c>
      <c r="D270" s="128" t="n"/>
      <c r="E270" s="135" t="inlineStr">
        <is>
          <t>Cada passo parece ecoar um instante antes de tocar o chão.</t>
        </is>
      </c>
      <c r="F270" s="128">
        <f>INDEX(Tiers!$E$9:$E$22,MATCH($A270,Tiers!$B$9:$B$22,0))</f>
        <v/>
      </c>
      <c r="G270" s="128">
        <f>ROUND(INDEX('Curva Mestra'!$D$20:$D$94,MATCH(F270,'Curva Mestra'!$A$20:$A$94,0)),0)</f>
        <v/>
      </c>
      <c r="H270" s="128">
        <f>INDEX($B$5:$B$12,MATCH($B270,$A$5:$A$12,0))</f>
        <v/>
      </c>
      <c r="I270" s="128">
        <f>ROUND(G270*H270*K270,0)</f>
        <v/>
      </c>
      <c r="J270" s="153">
        <f>ROUND(G270*H270*K270*INDEX($B$19:$B$21,MATCH("Raro",$A$19:$A$21,0)),0)</f>
        <v/>
      </c>
      <c r="K270" s="115" t="n">
        <v>1</v>
      </c>
      <c r="L270" s="115">
        <f>ROUND(I270*8,0)</f>
        <v/>
      </c>
      <c r="M270" s="115">
        <f>ROUND(J270*10,0)</f>
        <v/>
      </c>
    </row>
    <row r="271" ht="15" customHeight="1" s="116">
      <c r="A271" s="128" t="inlineStr">
        <is>
          <t>Estelar / Cosmico</t>
        </is>
      </c>
      <c r="B271" s="135" t="inlineStr">
        <is>
          <t>Luvas</t>
        </is>
      </c>
      <c r="C271" s="128" t="inlineStr">
        <is>
          <t>Luvas Estelares</t>
        </is>
      </c>
      <c r="D271" s="128" t="n"/>
      <c r="E271" s="135" t="inlineStr">
        <is>
          <t>Tecidas com luz sólida — os dedos brilham fraco na penumbra.</t>
        </is>
      </c>
      <c r="F271" s="128">
        <f>INDEX(Tiers!$E$9:$E$22,MATCH($A271,Tiers!$B$9:$B$22,0))</f>
        <v/>
      </c>
      <c r="G271" s="128">
        <f>ROUND(INDEX('Curva Mestra'!$D$20:$D$94,MATCH(F271,'Curva Mestra'!$A$20:$A$94,0)),0)</f>
        <v/>
      </c>
      <c r="H271" s="128">
        <f>INDEX($B$5:$B$12,MATCH($B271,$A$5:$A$12,0))</f>
        <v/>
      </c>
      <c r="I271" s="128">
        <f>ROUND(G271*H271*K271,0)</f>
        <v/>
      </c>
      <c r="J271" s="153">
        <f>ROUND(G271*H271*K271*INDEX($B$19:$B$21,MATCH("Raro",$A$19:$A$21,0)),0)</f>
        <v/>
      </c>
      <c r="K271" s="115" t="n">
        <v>1</v>
      </c>
      <c r="L271" s="115">
        <f>ROUND(I271*8,0)</f>
        <v/>
      </c>
      <c r="M271" s="115">
        <f>ROUND(J271*10,0)</f>
        <v/>
      </c>
    </row>
    <row r="272" ht="15" customHeight="1" s="116">
      <c r="A272" s="128" t="inlineStr">
        <is>
          <t>Estelar / Cosmico</t>
        </is>
      </c>
      <c r="B272" s="135" t="inlineStr">
        <is>
          <t>Luvas</t>
        </is>
      </c>
      <c r="C272" s="128" t="inlineStr">
        <is>
          <t>Luvas Cósmicas</t>
        </is>
      </c>
      <c r="D272" s="128" t="n"/>
      <c r="E272" s="135" t="inlineStr">
        <is>
          <t>Feitas de matéria que não deveria existir neste plano.</t>
        </is>
      </c>
      <c r="F272" s="128">
        <f>INDEX(Tiers!$E$9:$E$22,MATCH($A272,Tiers!$B$9:$B$22,0))</f>
        <v/>
      </c>
      <c r="G272" s="128">
        <f>ROUND(INDEX('Curva Mestra'!$D$20:$D$94,MATCH(F272,'Curva Mestra'!$A$20:$A$94,0)),0)</f>
        <v/>
      </c>
      <c r="H272" s="128">
        <f>INDEX($B$5:$B$12,MATCH($B272,$A$5:$A$12,0))</f>
        <v/>
      </c>
      <c r="I272" s="128">
        <f>ROUND(G272*H272*K272,0)</f>
        <v/>
      </c>
      <c r="J272" s="153">
        <f>ROUND(G272*H272*K272*INDEX($B$19:$B$21,MATCH("Raro",$A$19:$A$21,0)),0)</f>
        <v/>
      </c>
      <c r="K272" s="115" t="n">
        <v>1</v>
      </c>
      <c r="L272" s="115">
        <f>ROUND(I272*8,0)</f>
        <v/>
      </c>
      <c r="M272" s="115">
        <f>ROUND(J272*10,0)</f>
        <v/>
      </c>
    </row>
    <row r="273" ht="15" customHeight="1" s="116">
      <c r="A273" s="128" t="inlineStr">
        <is>
          <t>Estelar / Cosmico</t>
        </is>
      </c>
      <c r="B273" s="135" t="inlineStr">
        <is>
          <t>Amuleto</t>
        </is>
      </c>
      <c r="C273" s="128" t="inlineStr">
        <is>
          <t>Amuleto Estelar</t>
        </is>
      </c>
      <c r="D273" s="128" t="n"/>
      <c r="E273" s="135" t="inlineStr">
        <is>
          <t>Fragmento de estrela morta, pulsando fraco num cordão de luz sólida.</t>
        </is>
      </c>
      <c r="F273" s="128">
        <f>INDEX(Tiers!$E$9:$E$22,MATCH($A273,Tiers!$B$9:$B$22,0))</f>
        <v/>
      </c>
      <c r="G273" s="128">
        <f>ROUND(INDEX('Curva Mestra'!$D$20:$D$94,MATCH(F273,'Curva Mestra'!$A$20:$A$94,0)),0)</f>
        <v/>
      </c>
      <c r="H273" s="128">
        <f>INDEX($B$5:$B$12,MATCH($B273,$A$5:$A$12,0))</f>
        <v/>
      </c>
      <c r="I273" s="128">
        <f>ROUND(G273*H273*K273,0)</f>
        <v/>
      </c>
      <c r="J273" s="153">
        <f>ROUND(G273*H273*K273*INDEX($B$19:$B$21,MATCH("Raro",$A$19:$A$21,0)),0)</f>
        <v/>
      </c>
      <c r="K273" s="115" t="n">
        <v>1</v>
      </c>
      <c r="L273" s="115">
        <f>ROUND(I273*8,0)</f>
        <v/>
      </c>
      <c r="M273" s="115">
        <f>ROUND(J273*10,0)</f>
        <v/>
      </c>
    </row>
    <row r="274" ht="15" customHeight="1" s="116">
      <c r="A274" s="128" t="inlineStr">
        <is>
          <t>Estelar / Cosmico</t>
        </is>
      </c>
      <c r="B274" s="135" t="inlineStr">
        <is>
          <t>Amuleto</t>
        </is>
      </c>
      <c r="C274" s="128" t="inlineStr">
        <is>
          <t>Amuleto Cósmico</t>
        </is>
      </c>
      <c r="D274" s="128" t="n"/>
      <c r="E274" s="135" t="inlineStr">
        <is>
          <t>Distorce levemente o ar ao redor de quem o usa.</t>
        </is>
      </c>
      <c r="F274" s="128">
        <f>INDEX(Tiers!$E$9:$E$22,MATCH($A274,Tiers!$B$9:$B$22,0))</f>
        <v/>
      </c>
      <c r="G274" s="128">
        <f>ROUND(INDEX('Curva Mestra'!$D$20:$D$94,MATCH(F274,'Curva Mestra'!$A$20:$A$94,0)),0)</f>
        <v/>
      </c>
      <c r="H274" s="128">
        <f>INDEX($B$5:$B$12,MATCH($B274,$A$5:$A$12,0))</f>
        <v/>
      </c>
      <c r="I274" s="128">
        <f>ROUND(G274*H274*K274,0)</f>
        <v/>
      </c>
      <c r="J274" s="153">
        <f>ROUND(G274*H274*K274*INDEX($B$19:$B$21,MATCH("Raro",$A$19:$A$21,0)),0)</f>
        <v/>
      </c>
      <c r="K274" s="115" t="n">
        <v>1</v>
      </c>
      <c r="L274" s="115">
        <f>ROUND(I274*8,0)</f>
        <v/>
      </c>
      <c r="M274" s="115">
        <f>ROUND(J274*10,0)</f>
        <v/>
      </c>
    </row>
    <row r="275" ht="15" customHeight="1" s="116">
      <c r="A275" s="128" t="inlineStr">
        <is>
          <t>Estelar / Cosmico</t>
        </is>
      </c>
      <c r="B275" s="135" t="inlineStr">
        <is>
          <t>Anel</t>
        </is>
      </c>
      <c r="C275" s="128" t="inlineStr">
        <is>
          <t>Anel Estelar</t>
        </is>
      </c>
      <c r="D275" s="128" t="n"/>
      <c r="E275" s="135" t="inlineStr">
        <is>
          <t>Feito de luz condensada — quase invisível à luz do dia.</t>
        </is>
      </c>
      <c r="F275" s="128">
        <f>INDEX(Tiers!$E$9:$E$22,MATCH($A275,Tiers!$B$9:$B$22,0))</f>
        <v/>
      </c>
      <c r="G275" s="128">
        <f>ROUND(INDEX('Curva Mestra'!$D$20:$D$94,MATCH(F275,'Curva Mestra'!$A$20:$A$94,0)),0)</f>
        <v/>
      </c>
      <c r="H275" s="128">
        <f>INDEX($B$5:$B$12,MATCH($B275,$A$5:$A$12,0))</f>
        <v/>
      </c>
      <c r="I275" s="128">
        <f>ROUND(G275*H275*K275,0)</f>
        <v/>
      </c>
      <c r="J275" s="153">
        <f>ROUND(G275*H275*K275*INDEX($B$19:$B$21,MATCH("Raro",$A$19:$A$21,0)),0)</f>
        <v/>
      </c>
      <c r="K275" s="115" t="n">
        <v>1</v>
      </c>
      <c r="L275" s="115">
        <f>ROUND(I275*8,0)</f>
        <v/>
      </c>
      <c r="M275" s="115">
        <f>ROUND(J275*10,0)</f>
        <v/>
      </c>
    </row>
    <row r="276" ht="15" customHeight="1" s="116">
      <c r="A276" s="128" t="inlineStr">
        <is>
          <t>Estelar / Cosmico</t>
        </is>
      </c>
      <c r="B276" s="135" t="inlineStr">
        <is>
          <t>Anel</t>
        </is>
      </c>
      <c r="C276" s="128" t="inlineStr">
        <is>
          <t>Anel Cósmico</t>
        </is>
      </c>
      <c r="D276" s="128" t="n"/>
      <c r="E276" s="135" t="inlineStr">
        <is>
          <t>Talhado de matéria que veio de além do Portal Estelar.</t>
        </is>
      </c>
      <c r="F276" s="128">
        <f>INDEX(Tiers!$E$9:$E$22,MATCH($A276,Tiers!$B$9:$B$22,0))</f>
        <v/>
      </c>
      <c r="G276" s="128">
        <f>ROUND(INDEX('Curva Mestra'!$D$20:$D$94,MATCH(F276,'Curva Mestra'!$A$20:$A$94,0)),0)</f>
        <v/>
      </c>
      <c r="H276" s="128">
        <f>INDEX($B$5:$B$12,MATCH($B276,$A$5:$A$12,0))</f>
        <v/>
      </c>
      <c r="I276" s="128">
        <f>ROUND(G276*H276*K276,0)</f>
        <v/>
      </c>
      <c r="J276" s="153">
        <f>ROUND(G276*H276*K276*INDEX($B$19:$B$21,MATCH("Raro",$A$19:$A$21,0)),0)</f>
        <v/>
      </c>
      <c r="K276" s="115" t="n">
        <v>1</v>
      </c>
      <c r="L276" s="115">
        <f>ROUND(I276*8,0)</f>
        <v/>
      </c>
      <c r="M276" s="115">
        <f>ROUND(J276*10,0)</f>
        <v/>
      </c>
    </row>
    <row r="277" ht="15" customHeight="1" s="116">
      <c r="A277" s="128" t="n"/>
      <c r="B277" s="135" t="n"/>
      <c r="C277" s="128" t="n"/>
      <c r="D277" s="128" t="n"/>
      <c r="E277" s="135" t="n"/>
      <c r="F277" s="128" t="n"/>
      <c r="G277" s="128" t="n"/>
      <c r="H277" s="128" t="n"/>
      <c r="I277" s="128" t="n"/>
      <c r="J277" s="153" t="n"/>
    </row>
    <row r="278" ht="15" customHeight="1" s="116">
      <c r="A278" s="128" t="n"/>
      <c r="B278" s="135" t="n"/>
      <c r="C278" s="128" t="n"/>
      <c r="D278" s="128" t="n"/>
      <c r="E278" s="135" t="n"/>
      <c r="F278" s="128" t="n"/>
      <c r="G278" s="128" t="n"/>
      <c r="H278" s="128" t="n"/>
      <c r="I278" s="128" t="n"/>
      <c r="J278" s="153" t="n"/>
    </row>
    <row r="279" ht="15" customHeight="1" s="116">
      <c r="A279" s="128" t="n"/>
      <c r="B279" s="135" t="n"/>
      <c r="C279" s="128" t="n"/>
      <c r="D279" s="128" t="n"/>
      <c r="E279" s="135" t="n"/>
      <c r="F279" s="128" t="n"/>
      <c r="G279" s="128" t="n"/>
      <c r="H279" s="128" t="n"/>
      <c r="I279" s="128" t="n"/>
      <c r="J279" s="153" t="n"/>
    </row>
    <row r="280" ht="15" customHeight="1" s="116">
      <c r="A280" s="128" t="n"/>
      <c r="B280" s="135" t="n"/>
      <c r="C280" s="128" t="n"/>
      <c r="D280" s="128" t="n"/>
      <c r="E280" s="135" t="n"/>
      <c r="F280" s="128" t="n"/>
      <c r="G280" s="128" t="n"/>
      <c r="H280" s="128" t="n"/>
      <c r="I280" s="128" t="n"/>
      <c r="J280" s="153" t="n"/>
    </row>
    <row r="281" ht="15" customHeight="1" s="116">
      <c r="A281" s="128" t="n"/>
      <c r="B281" s="135" t="n"/>
      <c r="C281" s="128" t="n"/>
      <c r="D281" s="128" t="n"/>
      <c r="E281" s="135" t="n"/>
      <c r="F281" s="128" t="n"/>
      <c r="G281" s="128" t="n"/>
      <c r="H281" s="128" t="n"/>
      <c r="I281" s="128" t="n"/>
      <c r="J281" s="153" t="n"/>
    </row>
    <row r="282" ht="15" customHeight="1" s="116">
      <c r="A282" s="128" t="n"/>
      <c r="B282" s="135" t="n"/>
      <c r="C282" s="128" t="n"/>
      <c r="D282" s="128" t="n"/>
      <c r="E282" s="135" t="n"/>
      <c r="F282" s="128" t="n"/>
      <c r="G282" s="128" t="n"/>
      <c r="H282" s="128" t="n"/>
      <c r="I282" s="128" t="n"/>
      <c r="J282" s="153" t="n"/>
    </row>
    <row r="283" ht="15" customHeight="1" s="116">
      <c r="A283" s="128" t="n"/>
      <c r="B283" s="135" t="n"/>
      <c r="C283" s="128" t="n"/>
      <c r="D283" s="128" t="n"/>
      <c r="E283" s="135" t="n"/>
      <c r="F283" s="128" t="n"/>
      <c r="G283" s="128" t="n"/>
      <c r="H283" s="128" t="n"/>
      <c r="I283" s="128" t="n"/>
      <c r="J283" s="153" t="n"/>
    </row>
    <row r="284" ht="15" customHeight="1" s="116">
      <c r="A284" s="128" t="n"/>
      <c r="B284" s="135" t="n"/>
      <c r="C284" s="128" t="n"/>
      <c r="D284" s="128" t="n"/>
      <c r="E284" s="135" t="n"/>
      <c r="F284" s="128" t="n"/>
      <c r="G284" s="128" t="n"/>
      <c r="H284" s="128" t="n"/>
      <c r="I284" s="128" t="n"/>
      <c r="J284" s="153" t="n"/>
    </row>
    <row r="285" ht="15" customHeight="1" s="116">
      <c r="A285" s="128" t="n"/>
      <c r="B285" s="135" t="n"/>
      <c r="C285" s="128" t="n"/>
      <c r="D285" s="128" t="n"/>
      <c r="E285" s="135" t="n"/>
      <c r="F285" s="128" t="n"/>
      <c r="G285" s="128" t="n"/>
      <c r="H285" s="128" t="n"/>
      <c r="I285" s="128" t="n"/>
      <c r="J285" s="153" t="n"/>
    </row>
    <row r="286" ht="15" customHeight="1" s="116">
      <c r="A286" s="128" t="n"/>
      <c r="B286" s="135" t="n"/>
      <c r="C286" s="128" t="n"/>
      <c r="D286" s="128" t="n"/>
      <c r="E286" s="135" t="n"/>
      <c r="F286" s="128" t="n"/>
      <c r="G286" s="128" t="n"/>
      <c r="H286" s="128" t="n"/>
      <c r="I286" s="128" t="n"/>
      <c r="J286" s="153" t="n"/>
    </row>
    <row r="287" ht="15" customHeight="1" s="116">
      <c r="A287" s="128" t="n"/>
      <c r="B287" s="135" t="n"/>
      <c r="C287" s="128" t="n"/>
      <c r="D287" s="128" t="n"/>
      <c r="E287" s="135" t="n"/>
      <c r="F287" s="128" t="n"/>
      <c r="G287" s="128" t="n"/>
      <c r="H287" s="128" t="n"/>
      <c r="I287" s="128" t="n"/>
      <c r="J287" s="153" t="n"/>
    </row>
    <row r="288" ht="15" customHeight="1" s="116">
      <c r="A288" s="128" t="n"/>
      <c r="B288" s="135" t="n"/>
      <c r="C288" s="128" t="n"/>
      <c r="D288" s="128" t="n"/>
      <c r="E288" s="135" t="n"/>
      <c r="F288" s="128" t="n"/>
      <c r="G288" s="128" t="n"/>
      <c r="H288" s="128" t="n"/>
      <c r="I288" s="128" t="n"/>
      <c r="J288" s="153" t="n"/>
    </row>
    <row r="289" ht="15" customHeight="1" s="116">
      <c r="A289" s="128" t="n"/>
      <c r="B289" s="135" t="n"/>
      <c r="C289" s="128" t="n"/>
      <c r="D289" s="128" t="n"/>
      <c r="E289" s="135" t="n"/>
      <c r="F289" s="128" t="n"/>
      <c r="G289" s="128" t="n"/>
      <c r="H289" s="128" t="n"/>
      <c r="I289" s="128" t="n"/>
      <c r="J289" s="153" t="n"/>
    </row>
    <row r="290" ht="15" customHeight="1" s="116">
      <c r="A290" s="128" t="n"/>
      <c r="B290" s="135" t="n"/>
      <c r="C290" s="128" t="n"/>
      <c r="D290" s="128" t="n"/>
      <c r="E290" s="135" t="n"/>
      <c r="F290" s="128" t="n"/>
      <c r="G290" s="128" t="n"/>
      <c r="H290" s="128" t="n"/>
      <c r="I290" s="128" t="n"/>
      <c r="J290" s="153" t="n"/>
    </row>
    <row r="291" ht="15" customHeight="1" s="116">
      <c r="A291" s="128" t="n"/>
      <c r="B291" s="135" t="n"/>
      <c r="C291" s="128" t="n"/>
      <c r="D291" s="128" t="n"/>
      <c r="E291" s="135" t="n"/>
      <c r="F291" s="128" t="n"/>
      <c r="G291" s="128" t="n"/>
      <c r="H291" s="128" t="n"/>
      <c r="I291" s="128" t="n"/>
      <c r="J291" s="153" t="n"/>
    </row>
    <row r="292" ht="15" customHeight="1" s="116">
      <c r="A292" s="128" t="n"/>
      <c r="B292" s="135" t="n"/>
      <c r="C292" s="128" t="n"/>
      <c r="D292" s="128" t="n"/>
      <c r="E292" s="135" t="n"/>
      <c r="F292" s="128" t="n"/>
      <c r="G292" s="128" t="n"/>
      <c r="H292" s="128" t="n"/>
      <c r="I292" s="128" t="n"/>
      <c r="J292" s="153" t="n"/>
    </row>
    <row r="293" ht="15" customHeight="1" s="116">
      <c r="A293" s="128" t="n"/>
      <c r="B293" s="135" t="n"/>
      <c r="C293" s="128" t="n"/>
      <c r="D293" s="128" t="n"/>
      <c r="E293" s="135" t="n"/>
      <c r="F293" s="128" t="n"/>
      <c r="G293" s="128" t="n"/>
      <c r="H293" s="128" t="n"/>
      <c r="I293" s="128" t="n"/>
      <c r="J293" s="153" t="n"/>
    </row>
    <row r="294" ht="15" customHeight="1" s="116">
      <c r="A294" s="128" t="n"/>
      <c r="B294" s="135" t="n"/>
      <c r="C294" s="128" t="n"/>
      <c r="D294" s="128" t="n"/>
      <c r="E294" s="135" t="n"/>
      <c r="F294" s="128" t="n"/>
      <c r="G294" s="128" t="n"/>
      <c r="H294" s="128" t="n"/>
      <c r="I294" s="128" t="n"/>
      <c r="J294" s="153" t="n"/>
    </row>
    <row r="295" ht="15" customHeight="1" s="116">
      <c r="A295" s="128" t="n"/>
      <c r="B295" s="135" t="n"/>
      <c r="C295" s="128" t="n"/>
      <c r="D295" s="128" t="n"/>
      <c r="E295" s="135" t="n"/>
      <c r="F295" s="128" t="n"/>
      <c r="G295" s="128" t="n"/>
      <c r="H295" s="128" t="n"/>
      <c r="I295" s="128" t="n"/>
      <c r="J295" s="153" t="n"/>
    </row>
    <row r="296" ht="15" customHeight="1" s="116">
      <c r="A296" s="128" t="n"/>
      <c r="B296" s="135" t="n"/>
      <c r="C296" s="128" t="n"/>
      <c r="D296" s="128" t="n"/>
      <c r="E296" s="135" t="n"/>
      <c r="F296" s="128" t="n"/>
      <c r="G296" s="128" t="n"/>
      <c r="H296" s="128" t="n"/>
      <c r="I296" s="128" t="n"/>
      <c r="J296" s="153" t="n"/>
    </row>
    <row r="297" ht="15" customHeight="1" s="116">
      <c r="A297" s="128" t="n"/>
      <c r="B297" s="135" t="n"/>
      <c r="C297" s="128" t="n"/>
      <c r="D297" s="128" t="n"/>
      <c r="E297" s="135" t="n"/>
      <c r="F297" s="128" t="n"/>
      <c r="G297" s="128" t="n"/>
      <c r="H297" s="128" t="n"/>
      <c r="I297" s="128" t="n"/>
      <c r="J297" s="153" t="n"/>
    </row>
    <row r="298" ht="15" customHeight="1" s="116">
      <c r="A298" s="128" t="n"/>
      <c r="B298" s="135" t="n"/>
      <c r="C298" s="128" t="n"/>
      <c r="D298" s="128" t="n"/>
      <c r="E298" s="135" t="n"/>
      <c r="F298" s="128" t="n"/>
      <c r="G298" s="128" t="n"/>
      <c r="H298" s="128" t="n"/>
      <c r="I298" s="128" t="n"/>
      <c r="J298" s="153" t="n"/>
    </row>
    <row r="299" ht="15" customHeight="1" s="116">
      <c r="A299" s="128" t="n"/>
      <c r="B299" s="135" t="n"/>
      <c r="C299" s="128" t="n"/>
      <c r="D299" s="128" t="n"/>
      <c r="E299" s="135" t="n"/>
      <c r="F299" s="128" t="n"/>
      <c r="G299" s="128" t="n"/>
      <c r="H299" s="128" t="n"/>
      <c r="I299" s="128" t="n"/>
      <c r="J299" s="153" t="n"/>
    </row>
    <row r="300" ht="15" customHeight="1" s="116">
      <c r="A300" s="128" t="n"/>
      <c r="B300" s="135" t="n"/>
      <c r="C300" s="128" t="n"/>
      <c r="D300" s="128" t="n"/>
      <c r="E300" s="135" t="n"/>
      <c r="F300" s="128" t="n"/>
      <c r="G300" s="128" t="n"/>
      <c r="H300" s="128" t="n"/>
      <c r="I300" s="128" t="n"/>
      <c r="J300" s="153" t="n"/>
    </row>
    <row r="301" ht="15" customHeight="1" s="116">
      <c r="A301" s="128" t="n"/>
      <c r="B301" s="135" t="n"/>
      <c r="C301" s="128" t="n"/>
      <c r="D301" s="128" t="n"/>
      <c r="E301" s="135" t="n"/>
      <c r="F301" s="128" t="n"/>
      <c r="G301" s="128" t="n"/>
      <c r="H301" s="128" t="n"/>
      <c r="I301" s="128" t="n"/>
      <c r="J301" s="153" t="n"/>
    </row>
    <row r="302" ht="15" customHeight="1" s="116">
      <c r="A302" s="128" t="n"/>
      <c r="B302" s="135" t="n"/>
      <c r="C302" s="128" t="n"/>
      <c r="D302" s="128" t="n"/>
      <c r="E302" s="135" t="n"/>
      <c r="F302" s="128" t="n"/>
      <c r="G302" s="128" t="n"/>
      <c r="H302" s="128" t="n"/>
      <c r="I302" s="128" t="n"/>
      <c r="J302" s="153" t="n"/>
    </row>
    <row r="303" ht="15" customHeight="1" s="116">
      <c r="A303" s="128" t="n"/>
      <c r="B303" s="135" t="n"/>
      <c r="C303" s="128" t="n"/>
      <c r="D303" s="128" t="n"/>
      <c r="E303" s="135" t="n"/>
      <c r="F303" s="128" t="n"/>
      <c r="G303" s="128" t="n"/>
      <c r="H303" s="128" t="n"/>
      <c r="I303" s="128" t="n"/>
      <c r="J303" s="153" t="n"/>
    </row>
    <row r="304" ht="15" customHeight="1" s="116">
      <c r="A304" s="128" t="n"/>
      <c r="B304" s="135" t="n"/>
      <c r="C304" s="128" t="n"/>
      <c r="D304" s="128" t="n"/>
      <c r="E304" s="135" t="n"/>
      <c r="F304" s="128" t="n"/>
      <c r="G304" s="128" t="n"/>
      <c r="H304" s="128" t="n"/>
      <c r="I304" s="128" t="n"/>
      <c r="J304" s="153" t="n"/>
    </row>
    <row r="305" ht="15" customHeight="1" s="116">
      <c r="A305" s="128" t="n"/>
      <c r="B305" s="135" t="n"/>
      <c r="C305" s="128" t="n"/>
      <c r="D305" s="128" t="n"/>
      <c r="E305" s="135" t="n"/>
      <c r="F305" s="128" t="n"/>
      <c r="G305" s="128" t="n"/>
      <c r="H305" s="128" t="n"/>
      <c r="I305" s="128" t="n"/>
      <c r="J305" s="153" t="n"/>
    </row>
    <row r="306" ht="15" customHeight="1" s="116">
      <c r="A306" s="128" t="n"/>
      <c r="B306" s="135" t="n"/>
      <c r="C306" s="128" t="n"/>
      <c r="D306" s="128" t="n"/>
      <c r="E306" s="135" t="n"/>
      <c r="F306" s="128" t="n"/>
      <c r="G306" s="128" t="n"/>
      <c r="H306" s="128" t="n"/>
      <c r="I306" s="128" t="n"/>
      <c r="J306" s="153" t="n"/>
    </row>
    <row r="307" ht="15" customHeight="1" s="116">
      <c r="A307" s="128" t="n"/>
      <c r="B307" s="135" t="n"/>
      <c r="C307" s="128" t="n"/>
      <c r="D307" s="128" t="n"/>
      <c r="E307" s="135" t="n"/>
      <c r="F307" s="128" t="n"/>
      <c r="G307" s="128" t="n"/>
      <c r="H307" s="128" t="n"/>
      <c r="I307" s="128" t="n"/>
      <c r="J307" s="153" t="n"/>
    </row>
    <row r="308" ht="15" customHeight="1" s="116">
      <c r="A308" s="128" t="n"/>
      <c r="B308" s="135" t="n"/>
      <c r="C308" s="128" t="n"/>
      <c r="D308" s="128" t="n"/>
      <c r="E308" s="135" t="n"/>
      <c r="F308" s="128" t="n"/>
      <c r="G308" s="128" t="n"/>
      <c r="H308" s="128" t="n"/>
      <c r="I308" s="128" t="n"/>
      <c r="J308" s="153" t="n"/>
    </row>
    <row r="309" ht="15" customHeight="1" s="116">
      <c r="A309" s="128" t="n"/>
      <c r="B309" s="135" t="n"/>
      <c r="C309" s="128" t="n"/>
      <c r="D309" s="128" t="n"/>
      <c r="E309" s="135" t="n"/>
      <c r="F309" s="128" t="n"/>
      <c r="G309" s="128" t="n"/>
      <c r="H309" s="128" t="n"/>
      <c r="I309" s="128" t="n"/>
      <c r="J309" s="153" t="n"/>
    </row>
    <row r="310" ht="15" customHeight="1" s="116">
      <c r="A310" s="128" t="n"/>
      <c r="B310" s="135" t="n"/>
      <c r="C310" s="128" t="n"/>
      <c r="D310" s="128" t="n"/>
      <c r="E310" s="135" t="n"/>
      <c r="F310" s="128" t="n"/>
      <c r="G310" s="128" t="n"/>
      <c r="H310" s="128" t="n"/>
      <c r="I310" s="128" t="n"/>
      <c r="J310" s="153" t="n"/>
    </row>
    <row r="311" ht="15" customHeight="1" s="116">
      <c r="A311" s="128" t="n"/>
      <c r="B311" s="135" t="n"/>
      <c r="C311" s="128" t="n"/>
      <c r="D311" s="128" t="n"/>
      <c r="E311" s="135" t="n"/>
      <c r="F311" s="128" t="n"/>
      <c r="G311" s="128" t="n"/>
      <c r="H311" s="128" t="n"/>
      <c r="I311" s="128" t="n"/>
      <c r="J311" s="153" t="n"/>
    </row>
    <row r="312" ht="15" customHeight="1" s="116">
      <c r="A312" s="128" t="n"/>
      <c r="B312" s="135" t="n"/>
      <c r="C312" s="128" t="n"/>
      <c r="D312" s="128" t="n"/>
      <c r="E312" s="135" t="n"/>
      <c r="F312" s="128" t="n"/>
      <c r="G312" s="128" t="n"/>
      <c r="H312" s="128" t="n"/>
      <c r="I312" s="128" t="n"/>
      <c r="J312" s="153" t="n"/>
    </row>
    <row r="313" ht="15" customHeight="1" s="116">
      <c r="A313" s="128" t="n"/>
      <c r="B313" s="135" t="n"/>
      <c r="C313" s="128" t="n"/>
      <c r="D313" s="128" t="n"/>
      <c r="E313" s="135" t="n"/>
      <c r="F313" s="128" t="n"/>
      <c r="G313" s="128" t="n"/>
      <c r="H313" s="128" t="n"/>
      <c r="I313" s="128" t="n"/>
      <c r="J313" s="153" t="n"/>
    </row>
    <row r="314" ht="15" customHeight="1" s="116">
      <c r="A314" s="128" t="n"/>
      <c r="B314" s="135" t="n"/>
      <c r="C314" s="128" t="n"/>
      <c r="D314" s="128" t="n"/>
      <c r="E314" s="135" t="n"/>
      <c r="F314" s="128" t="n"/>
      <c r="G314" s="128" t="n"/>
      <c r="H314" s="128" t="n"/>
      <c r="I314" s="128" t="n"/>
      <c r="J314" s="153" t="n"/>
    </row>
    <row r="315" ht="15" customHeight="1" s="116">
      <c r="A315" s="128" t="n"/>
      <c r="B315" s="135" t="n"/>
      <c r="C315" s="128" t="n"/>
      <c r="D315" s="128" t="n"/>
      <c r="E315" s="135" t="n"/>
      <c r="F315" s="128" t="n"/>
      <c r="G315" s="128" t="n"/>
      <c r="H315" s="128" t="n"/>
      <c r="I315" s="128" t="n"/>
      <c r="J315" s="153" t="n"/>
    </row>
    <row r="316" ht="15" customHeight="1" s="116">
      <c r="A316" s="128" t="n"/>
      <c r="B316" s="135" t="n"/>
      <c r="C316" s="128" t="n"/>
      <c r="D316" s="128" t="n"/>
      <c r="E316" s="135" t="n"/>
      <c r="F316" s="128" t="n"/>
      <c r="G316" s="128" t="n"/>
      <c r="H316" s="128" t="n"/>
      <c r="I316" s="128" t="n"/>
      <c r="J316" s="153" t="n"/>
    </row>
    <row r="317" ht="15" customHeight="1" s="116">
      <c r="A317" s="128" t="n"/>
      <c r="B317" s="135" t="n"/>
      <c r="C317" s="128" t="n"/>
      <c r="D317" s="128" t="n"/>
      <c r="E317" s="135" t="n"/>
      <c r="F317" s="128" t="n"/>
      <c r="G317" s="128" t="n"/>
      <c r="H317" s="128" t="n"/>
      <c r="I317" s="128" t="n"/>
      <c r="J317" s="153" t="n"/>
    </row>
    <row r="318" ht="15" customHeight="1" s="116">
      <c r="A318" s="128" t="n"/>
      <c r="B318" s="135" t="n"/>
      <c r="C318" s="128" t="n"/>
      <c r="D318" s="128" t="n"/>
      <c r="E318" s="135" t="n"/>
      <c r="F318" s="128" t="n"/>
      <c r="G318" s="128" t="n"/>
      <c r="H318" s="128" t="n"/>
      <c r="I318" s="128" t="n"/>
      <c r="J318" s="153" t="n"/>
    </row>
    <row r="319" ht="15" customHeight="1" s="116">
      <c r="A319" s="128" t="n"/>
      <c r="B319" s="135" t="n"/>
      <c r="C319" s="128" t="n"/>
      <c r="D319" s="128" t="n"/>
      <c r="E319" s="135" t="n"/>
      <c r="F319" s="128" t="n"/>
      <c r="G319" s="128" t="n"/>
      <c r="H319" s="128" t="n"/>
      <c r="I319" s="128" t="n"/>
      <c r="J319" s="153" t="n"/>
    </row>
    <row r="320" ht="15" customHeight="1" s="116">
      <c r="A320" s="128" t="n"/>
      <c r="B320" s="135" t="n"/>
      <c r="C320" s="128" t="n"/>
      <c r="D320" s="128" t="n"/>
      <c r="E320" s="135" t="n"/>
      <c r="F320" s="128" t="n"/>
      <c r="G320" s="128" t="n"/>
      <c r="H320" s="128" t="n"/>
      <c r="I320" s="128" t="n"/>
      <c r="J320" s="153" t="n"/>
    </row>
    <row r="321" ht="15" customHeight="1" s="116">
      <c r="A321" s="128" t="n"/>
      <c r="B321" s="135" t="n"/>
      <c r="C321" s="128" t="n"/>
      <c r="D321" s="128" t="n"/>
      <c r="E321" s="135" t="n"/>
      <c r="F321" s="128" t="n"/>
      <c r="G321" s="128" t="n"/>
      <c r="H321" s="128" t="n"/>
      <c r="I321" s="128" t="n"/>
      <c r="J321" s="153" t="n"/>
    </row>
    <row r="322" ht="15" customHeight="1" s="116">
      <c r="A322" s="128" t="n"/>
      <c r="B322" s="135" t="n"/>
      <c r="C322" s="128" t="n"/>
      <c r="D322" s="128" t="n"/>
      <c r="E322" s="135" t="n"/>
      <c r="F322" s="128" t="n"/>
      <c r="G322" s="128" t="n"/>
      <c r="H322" s="128" t="n"/>
      <c r="I322" s="128" t="n"/>
      <c r="J322" s="153" t="n"/>
    </row>
    <row r="323" ht="15" customHeight="1" s="116">
      <c r="A323" s="128" t="n"/>
      <c r="B323" s="135" t="n"/>
      <c r="C323" s="128" t="n"/>
      <c r="D323" s="128" t="n"/>
      <c r="E323" s="135" t="n"/>
      <c r="F323" s="128" t="n"/>
      <c r="G323" s="128" t="n"/>
      <c r="H323" s="128" t="n"/>
      <c r="I323" s="128" t="n"/>
      <c r="J323" s="153" t="n"/>
    </row>
    <row r="324" ht="15" customHeight="1" s="116">
      <c r="A324" s="128" t="n"/>
      <c r="B324" s="135" t="n"/>
      <c r="C324" s="128" t="n"/>
      <c r="D324" s="128" t="n"/>
      <c r="E324" s="135" t="n"/>
      <c r="F324" s="128" t="n"/>
      <c r="G324" s="128" t="n"/>
      <c r="H324" s="128" t="n"/>
      <c r="I324" s="128" t="n"/>
      <c r="J324" s="153" t="n"/>
    </row>
    <row r="325" ht="15" customHeight="1" s="116">
      <c r="A325" s="128" t="n"/>
      <c r="B325" s="135" t="n"/>
      <c r="C325" s="128" t="n"/>
      <c r="D325" s="128" t="n"/>
      <c r="E325" s="135" t="n"/>
      <c r="F325" s="128" t="n"/>
      <c r="G325" s="128" t="n"/>
      <c r="H325" s="128" t="n"/>
      <c r="I325" s="128" t="n"/>
      <c r="J325" s="153" t="n"/>
    </row>
    <row r="326" ht="15" customHeight="1" s="116">
      <c r="A326" s="128" t="n"/>
      <c r="B326" s="135" t="n"/>
      <c r="C326" s="128" t="n"/>
      <c r="D326" s="128" t="n"/>
      <c r="E326" s="135" t="n"/>
      <c r="F326" s="128" t="n"/>
      <c r="G326" s="128" t="n"/>
      <c r="H326" s="128" t="n"/>
      <c r="I326" s="128" t="n"/>
      <c r="J326" s="153" t="n"/>
    </row>
    <row r="327" ht="15" customHeight="1" s="116">
      <c r="A327" s="128" t="n"/>
      <c r="B327" s="135" t="n"/>
      <c r="C327" s="128" t="n"/>
      <c r="D327" s="128" t="n"/>
      <c r="E327" s="135" t="n"/>
      <c r="F327" s="128" t="n"/>
      <c r="G327" s="128" t="n"/>
      <c r="H327" s="128" t="n"/>
      <c r="I327" s="128" t="n"/>
      <c r="J327" s="153" t="n"/>
    </row>
    <row r="328" ht="15" customHeight="1" s="116">
      <c r="A328" s="128" t="n"/>
      <c r="B328" s="135" t="n"/>
      <c r="C328" s="128" t="n"/>
      <c r="D328" s="128" t="n"/>
      <c r="E328" s="135" t="n"/>
      <c r="F328" s="128" t="n"/>
      <c r="G328" s="128" t="n"/>
      <c r="H328" s="128" t="n"/>
      <c r="I328" s="128" t="n"/>
      <c r="J328" s="153" t="n"/>
    </row>
    <row r="329" ht="15" customHeight="1" s="116">
      <c r="A329" s="128" t="n"/>
      <c r="B329" s="135" t="n"/>
      <c r="C329" s="128" t="n"/>
      <c r="D329" s="128" t="n"/>
      <c r="E329" s="135" t="n"/>
      <c r="F329" s="128" t="n"/>
      <c r="G329" s="128" t="n"/>
      <c r="H329" s="128" t="n"/>
      <c r="I329" s="128" t="n"/>
      <c r="J329" s="153" t="n"/>
    </row>
    <row r="330" ht="15" customHeight="1" s="116">
      <c r="A330" s="128" t="n"/>
      <c r="B330" s="135" t="n"/>
      <c r="C330" s="128" t="n"/>
      <c r="D330" s="128" t="n"/>
      <c r="E330" s="135" t="n"/>
      <c r="F330" s="128" t="n"/>
      <c r="G330" s="128" t="n"/>
      <c r="H330" s="128" t="n"/>
      <c r="I330" s="128" t="n"/>
      <c r="J330" s="153" t="n"/>
    </row>
    <row r="331" ht="15" customHeight="1" s="116">
      <c r="A331" s="128" t="n"/>
      <c r="B331" s="135" t="n"/>
      <c r="C331" s="128" t="n"/>
      <c r="D331" s="128" t="n"/>
      <c r="E331" s="135" t="n"/>
      <c r="F331" s="128" t="n"/>
      <c r="G331" s="128" t="n"/>
      <c r="H331" s="128" t="n"/>
      <c r="I331" s="128" t="n"/>
      <c r="J331" s="153" t="n"/>
    </row>
    <row r="332" ht="15" customHeight="1" s="116">
      <c r="A332" s="128" t="n"/>
      <c r="B332" s="135" t="n"/>
      <c r="C332" s="128" t="n"/>
      <c r="D332" s="128" t="n"/>
      <c r="E332" s="135" t="n"/>
      <c r="F332" s="128" t="n"/>
      <c r="G332" s="128" t="n"/>
      <c r="H332" s="128" t="n"/>
      <c r="I332" s="128" t="n"/>
      <c r="J332" s="153" t="n"/>
    </row>
    <row r="333" ht="15" customHeight="1" s="116">
      <c r="A333" s="128" t="n"/>
      <c r="B333" s="135" t="n"/>
      <c r="C333" s="128" t="n"/>
      <c r="D333" s="128" t="n"/>
      <c r="E333" s="135" t="n"/>
      <c r="F333" s="128" t="n"/>
      <c r="G333" s="128" t="n"/>
      <c r="H333" s="128" t="n"/>
      <c r="I333" s="128" t="n"/>
      <c r="J333" s="153" t="n"/>
    </row>
    <row r="334" ht="15" customHeight="1" s="116">
      <c r="A334" s="128" t="n"/>
      <c r="B334" s="135" t="n"/>
      <c r="C334" s="128" t="n"/>
      <c r="D334" s="128" t="n"/>
      <c r="E334" s="135" t="n"/>
      <c r="F334" s="128" t="n"/>
      <c r="G334" s="128" t="n"/>
      <c r="H334" s="128" t="n"/>
      <c r="I334" s="128" t="n"/>
      <c r="J334" s="153" t="n"/>
    </row>
    <row r="335" ht="15" customHeight="1" s="116">
      <c r="A335" s="128" t="n"/>
      <c r="B335" s="135" t="n"/>
      <c r="C335" s="128" t="n"/>
      <c r="D335" s="128" t="n"/>
      <c r="E335" s="135" t="n"/>
      <c r="F335" s="128" t="n"/>
      <c r="G335" s="128" t="n"/>
      <c r="H335" s="128" t="n"/>
      <c r="I335" s="128" t="n"/>
      <c r="J335" s="153" t="n"/>
    </row>
    <row r="336" ht="15" customHeight="1" s="116">
      <c r="A336" s="128" t="n"/>
      <c r="B336" s="135" t="n"/>
      <c r="C336" s="128" t="n"/>
      <c r="D336" s="128" t="n"/>
      <c r="E336" s="135" t="n"/>
      <c r="F336" s="128" t="n"/>
      <c r="G336" s="128" t="n"/>
      <c r="H336" s="128" t="n"/>
      <c r="I336" s="128" t="n"/>
      <c r="J336" s="153" t="n"/>
    </row>
    <row r="337" ht="15" customHeight="1" s="116">
      <c r="A337" s="128" t="n"/>
      <c r="B337" s="135" t="n"/>
      <c r="C337" s="128" t="n"/>
      <c r="D337" s="128" t="n"/>
      <c r="E337" s="135" t="n"/>
      <c r="F337" s="128" t="n"/>
      <c r="G337" s="128" t="n"/>
      <c r="H337" s="128" t="n"/>
      <c r="I337" s="128" t="n"/>
      <c r="J337" s="153" t="n"/>
    </row>
    <row r="338" ht="15" customHeight="1" s="116">
      <c r="A338" s="128" t="n"/>
      <c r="B338" s="135" t="n"/>
      <c r="C338" s="128" t="n"/>
      <c r="D338" s="128" t="n"/>
      <c r="E338" s="135" t="n"/>
      <c r="F338" s="128" t="n"/>
      <c r="G338" s="128" t="n"/>
      <c r="H338" s="128" t="n"/>
      <c r="I338" s="128" t="n"/>
      <c r="J338" s="153" t="n"/>
    </row>
    <row r="339" ht="15" customHeight="1" s="116">
      <c r="A339" s="128" t="n"/>
      <c r="B339" s="135" t="n"/>
      <c r="C339" s="128" t="n"/>
      <c r="D339" s="128" t="n"/>
      <c r="E339" s="135" t="n"/>
      <c r="F339" s="128" t="n"/>
      <c r="G339" s="128" t="n"/>
      <c r="H339" s="128" t="n"/>
      <c r="I339" s="128" t="n"/>
      <c r="J339" s="153" t="n"/>
    </row>
    <row r="340" ht="15" customHeight="1" s="116">
      <c r="A340" s="128" t="n"/>
      <c r="B340" s="135" t="n"/>
      <c r="C340" s="128" t="n"/>
      <c r="D340" s="128" t="n"/>
      <c r="E340" s="135" t="n"/>
      <c r="F340" s="128" t="n"/>
      <c r="G340" s="128" t="n"/>
      <c r="H340" s="128" t="n"/>
      <c r="I340" s="128" t="n"/>
      <c r="J340" s="153" t="n"/>
    </row>
    <row r="341" ht="15" customHeight="1" s="116">
      <c r="A341" s="128" t="n"/>
      <c r="B341" s="135" t="n"/>
      <c r="C341" s="128" t="n"/>
      <c r="D341" s="128" t="n"/>
      <c r="E341" s="135" t="n"/>
      <c r="F341" s="128" t="n"/>
      <c r="G341" s="128" t="n"/>
      <c r="H341" s="128" t="n"/>
      <c r="I341" s="128" t="n"/>
      <c r="J341" s="153" t="n"/>
    </row>
    <row r="342" ht="15" customHeight="1" s="116">
      <c r="A342" s="128" t="n"/>
      <c r="B342" s="135" t="n"/>
      <c r="C342" s="128" t="n"/>
      <c r="D342" s="128" t="n"/>
      <c r="E342" s="135" t="n"/>
      <c r="F342" s="128" t="n"/>
      <c r="G342" s="128" t="n"/>
      <c r="H342" s="128" t="n"/>
      <c r="I342" s="128" t="n"/>
      <c r="J342" s="153" t="n"/>
    </row>
    <row r="343" ht="15" customHeight="1" s="116">
      <c r="A343" s="128" t="n"/>
      <c r="B343" s="135" t="n"/>
      <c r="C343" s="128" t="n"/>
      <c r="D343" s="128" t="n"/>
      <c r="E343" s="135" t="n"/>
      <c r="F343" s="128" t="n"/>
      <c r="G343" s="128" t="n"/>
      <c r="H343" s="128" t="n"/>
      <c r="I343" s="128" t="n"/>
      <c r="J343" s="153" t="n"/>
    </row>
    <row r="344" ht="15" customHeight="1" s="116">
      <c r="A344" s="128" t="n"/>
      <c r="B344" s="135" t="n"/>
      <c r="C344" s="128" t="n"/>
      <c r="D344" s="128" t="n"/>
      <c r="E344" s="135" t="n"/>
      <c r="F344" s="128" t="n"/>
      <c r="G344" s="128" t="n"/>
      <c r="H344" s="128" t="n"/>
      <c r="I344" s="128" t="n"/>
      <c r="J344" s="153" t="n"/>
    </row>
    <row r="345" ht="15" customHeight="1" s="116">
      <c r="A345" s="128" t="n"/>
      <c r="B345" s="135" t="n"/>
      <c r="C345" s="128" t="n"/>
      <c r="D345" s="128" t="n"/>
      <c r="E345" s="135" t="n"/>
      <c r="F345" s="128" t="n"/>
      <c r="G345" s="128" t="n"/>
      <c r="H345" s="128" t="n"/>
      <c r="I345" s="128" t="n"/>
      <c r="J345" s="153" t="n"/>
    </row>
    <row r="346" ht="15" customHeight="1" s="116">
      <c r="A346" s="128" t="n"/>
      <c r="B346" s="135" t="n"/>
      <c r="C346" s="128" t="n"/>
      <c r="D346" s="128" t="n"/>
      <c r="E346" s="135" t="n"/>
      <c r="F346" s="128" t="n"/>
      <c r="G346" s="128" t="n"/>
      <c r="H346" s="128" t="n"/>
      <c r="I346" s="128" t="n"/>
      <c r="J346" s="153" t="n"/>
    </row>
    <row r="347" ht="15" customHeight="1" s="116">
      <c r="A347" s="128" t="n"/>
      <c r="B347" s="135" t="n"/>
      <c r="C347" s="128" t="n"/>
      <c r="D347" s="128" t="n"/>
      <c r="E347" s="135" t="n"/>
      <c r="F347" s="128" t="n"/>
      <c r="G347" s="128" t="n"/>
      <c r="H347" s="128" t="n"/>
      <c r="I347" s="128" t="n"/>
      <c r="J347" s="153" t="n"/>
    </row>
    <row r="348" ht="15" customHeight="1" s="116">
      <c r="A348" s="128" t="n"/>
      <c r="B348" s="135" t="n"/>
      <c r="C348" s="128" t="n"/>
      <c r="D348" s="128" t="n"/>
      <c r="E348" s="135" t="n"/>
      <c r="F348" s="128" t="n"/>
      <c r="G348" s="128" t="n"/>
      <c r="H348" s="128" t="n"/>
      <c r="I348" s="128" t="n"/>
      <c r="J348" s="153" t="n"/>
    </row>
    <row r="349" ht="15" customHeight="1" s="116">
      <c r="A349" s="128" t="n"/>
      <c r="B349" s="135" t="n"/>
      <c r="C349" s="128" t="n"/>
      <c r="D349" s="128" t="n"/>
      <c r="E349" s="135" t="n"/>
      <c r="F349" s="128" t="n"/>
      <c r="G349" s="128" t="n"/>
      <c r="H349" s="128" t="n"/>
      <c r="I349" s="128" t="n"/>
      <c r="J349" s="153" t="n"/>
    </row>
    <row r="350" ht="15" customHeight="1" s="116">
      <c r="A350" s="128" t="n"/>
      <c r="B350" s="135" t="n"/>
      <c r="C350" s="128" t="n"/>
      <c r="D350" s="128" t="n"/>
      <c r="E350" s="135" t="n"/>
      <c r="F350" s="128" t="n"/>
      <c r="G350" s="128" t="n"/>
      <c r="H350" s="128" t="n"/>
      <c r="I350" s="128" t="n"/>
      <c r="J350" s="153" t="n"/>
    </row>
    <row r="351" ht="15" customHeight="1" s="116">
      <c r="A351" s="128" t="n"/>
      <c r="B351" s="135" t="n"/>
      <c r="C351" s="128" t="n"/>
      <c r="D351" s="128" t="n"/>
      <c r="E351" s="135" t="n"/>
      <c r="F351" s="128" t="n"/>
      <c r="G351" s="128" t="n"/>
      <c r="H351" s="128" t="n"/>
      <c r="I351" s="128" t="n"/>
      <c r="J351" s="153" t="n"/>
    </row>
    <row r="352" ht="15" customHeight="1" s="116">
      <c r="A352" s="128" t="n"/>
      <c r="B352" s="135" t="n"/>
      <c r="C352" s="128" t="n"/>
      <c r="D352" s="128" t="n"/>
      <c r="E352" s="135" t="n"/>
      <c r="F352" s="128" t="n"/>
      <c r="G352" s="128" t="n"/>
      <c r="H352" s="128" t="n"/>
      <c r="I352" s="128" t="n"/>
      <c r="J352" s="153" t="n"/>
    </row>
    <row r="353" ht="15" customHeight="1" s="116">
      <c r="A353" s="128" t="n"/>
      <c r="B353" s="135" t="n"/>
      <c r="C353" s="128" t="n"/>
      <c r="D353" s="128" t="n"/>
      <c r="E353" s="135" t="n"/>
      <c r="F353" s="128" t="n"/>
      <c r="G353" s="128" t="n"/>
      <c r="H353" s="128" t="n"/>
      <c r="I353" s="128" t="n"/>
      <c r="J353" s="153" t="n"/>
    </row>
    <row r="354" ht="15" customHeight="1" s="116">
      <c r="A354" s="128" t="n"/>
      <c r="B354" s="135" t="n"/>
      <c r="C354" s="128" t="n"/>
      <c r="D354" s="128" t="n"/>
      <c r="E354" s="135" t="n"/>
      <c r="F354" s="128" t="n"/>
      <c r="G354" s="128" t="n"/>
      <c r="H354" s="128" t="n"/>
      <c r="I354" s="128" t="n"/>
      <c r="J354" s="153" t="n"/>
    </row>
    <row r="355" ht="15" customHeight="1" s="116">
      <c r="A355" s="128" t="n"/>
      <c r="B355" s="135" t="n"/>
      <c r="C355" s="128" t="n"/>
      <c r="D355" s="128" t="n"/>
      <c r="E355" s="135" t="n"/>
      <c r="F355" s="128" t="n"/>
      <c r="G355" s="128" t="n"/>
      <c r="H355" s="128" t="n"/>
      <c r="I355" s="128" t="n"/>
      <c r="J355" s="153" t="n"/>
    </row>
    <row r="356" ht="15" customHeight="1" s="116">
      <c r="A356" s="128" t="n"/>
      <c r="B356" s="135" t="n"/>
      <c r="C356" s="128" t="n"/>
      <c r="D356" s="128" t="n"/>
      <c r="E356" s="135" t="n"/>
      <c r="F356" s="128" t="n"/>
      <c r="G356" s="128" t="n"/>
      <c r="H356" s="128" t="n"/>
      <c r="I356" s="128" t="n"/>
      <c r="J356" s="153" t="n"/>
    </row>
    <row r="357" ht="15" customHeight="1" s="116">
      <c r="A357" s="128" t="n"/>
      <c r="B357" s="135" t="n"/>
      <c r="C357" s="128" t="n"/>
      <c r="D357" s="128" t="n"/>
      <c r="E357" s="135" t="n"/>
      <c r="F357" s="128" t="n"/>
      <c r="G357" s="128" t="n"/>
      <c r="H357" s="128" t="n"/>
      <c r="I357" s="128" t="n"/>
      <c r="J357" s="153" t="n"/>
    </row>
    <row r="358" ht="15" customHeight="1" s="116">
      <c r="A358" s="128" t="n"/>
      <c r="B358" s="135" t="n"/>
      <c r="C358" s="128" t="n"/>
      <c r="D358" s="128" t="n"/>
      <c r="E358" s="135" t="n"/>
      <c r="F358" s="128" t="n"/>
      <c r="G358" s="128" t="n"/>
      <c r="H358" s="128" t="n"/>
      <c r="I358" s="128" t="n"/>
      <c r="J358" s="153" t="n"/>
    </row>
    <row r="359" ht="15" customHeight="1" s="116">
      <c r="A359" s="128" t="n"/>
      <c r="B359" s="135" t="n"/>
      <c r="C359" s="128" t="n"/>
      <c r="D359" s="128" t="n"/>
      <c r="E359" s="135" t="n"/>
      <c r="F359" s="128" t="n"/>
      <c r="G359" s="128" t="n"/>
      <c r="H359" s="128" t="n"/>
      <c r="I359" s="128" t="n"/>
      <c r="J359" s="153" t="n"/>
    </row>
    <row r="360" ht="15" customHeight="1" s="116">
      <c r="A360" s="128" t="n"/>
      <c r="B360" s="135" t="n"/>
      <c r="C360" s="128" t="n"/>
      <c r="D360" s="128" t="n"/>
      <c r="E360" s="135" t="n"/>
      <c r="F360" s="128" t="n"/>
      <c r="G360" s="128" t="n"/>
      <c r="H360" s="128" t="n"/>
      <c r="I360" s="128" t="n"/>
      <c r="J360" s="153"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H4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15" min="1" max="1"/>
    <col width="26" customWidth="1" style="115" min="2" max="2"/>
    <col width="20" customWidth="1" style="115" min="3" max="3"/>
    <col width="26" customWidth="1" style="115" min="4" max="5"/>
    <col width="18" customWidth="1" style="115" min="6" max="6"/>
    <col width="22" customWidth="1" style="115" min="7" max="7"/>
    <col width="16" customWidth="1" style="115" min="8" max="8"/>
  </cols>
  <sheetData>
    <row r="1" ht="18" customHeight="1" s="116">
      <c r="A1" s="117" t="inlineStr">
        <is>
          <t>V2 - Taxonomia Completa de Cartas</t>
        </is>
      </c>
    </row>
    <row r="2" ht="15" customHeight="1" s="116">
      <c r="A2" s="123" t="inlineStr">
        <is>
          <t>Todo tipo de carta que existe (ou pode existir) no jogo, com a personalidade visual de cada um. Layout base varia por Categoria; icone/cor varia por Subtipo dentro dela.</t>
        </is>
      </c>
    </row>
    <row r="4" ht="27.75" customHeight="1" s="116">
      <c r="A4" s="132" t="inlineStr">
        <is>
          <t>Categoria</t>
        </is>
      </c>
      <c r="B4" s="132" t="inlineStr">
        <is>
          <t>Tipo/Subtipo</t>
        </is>
      </c>
      <c r="C4" s="132" t="inlineStr">
        <is>
          <t>Tem Medalhoes?</t>
        </is>
      </c>
      <c r="D4" s="132" t="inlineStr">
        <is>
          <t>O que os Medalhoes Mostram</t>
        </is>
      </c>
      <c r="E4" s="132" t="inlineStr">
        <is>
          <t>Selo/Icone Superior Varia Por</t>
        </is>
      </c>
      <c r="F4" s="132" t="inlineStr">
        <is>
          <t>Ornamento Escala Com</t>
        </is>
      </c>
      <c r="G4" s="132" t="inlineStr">
        <is>
          <t>Fonte de Dados (aba)</t>
        </is>
      </c>
      <c r="H4" s="132" t="inlineStr">
        <is>
          <t>Qtd. Estimada</t>
        </is>
      </c>
    </row>
    <row r="5" ht="31.5" customHeight="1" s="116">
      <c r="A5" s="192" t="inlineStr">
        <is>
          <t>MONSTRO (carta cheia)</t>
        </is>
      </c>
      <c r="B5" s="193" t="inlineStr">
        <is>
          <t>Comum</t>
        </is>
      </c>
      <c r="C5" s="194" t="inlineStr">
        <is>
          <t>Sim - Ataque + Vida</t>
        </is>
      </c>
      <c r="D5" s="194" t="inlineStr">
        <is>
          <t>Dano do monstro / HP do monstro</t>
        </is>
      </c>
      <c r="E5" s="194" t="inlineStr">
        <is>
          <t>Especie (56 icones prontos)</t>
        </is>
      </c>
      <c r="F5" s="194" t="inlineStr">
        <is>
          <t>Papel</t>
        </is>
      </c>
      <c r="G5" s="194" t="inlineStr">
        <is>
          <t>Bestiario</t>
        </is>
      </c>
      <c r="H5" s="194" t="inlineStr">
        <is>
          <t>14</t>
        </is>
      </c>
    </row>
    <row r="6" ht="31.5" customHeight="1" s="116">
      <c r="A6" s="195" t="n"/>
      <c r="B6" s="193" t="inlineStr">
        <is>
          <t>Elite</t>
        </is>
      </c>
      <c r="C6" s="194" t="inlineStr">
        <is>
          <t>Sim - Ataque + Vida</t>
        </is>
      </c>
      <c r="D6" s="194" t="inlineStr">
        <is>
          <t>Dano / HP</t>
        </is>
      </c>
      <c r="E6" s="194" t="inlineStr">
        <is>
          <t>Especie</t>
        </is>
      </c>
      <c r="F6" s="194" t="inlineStr">
        <is>
          <t>Papel</t>
        </is>
      </c>
      <c r="G6" s="194" t="inlineStr">
        <is>
          <t>Bestiario</t>
        </is>
      </c>
      <c r="H6" s="194" t="inlineStr">
        <is>
          <t>14</t>
        </is>
      </c>
    </row>
    <row r="7" ht="31.5" customHeight="1" s="116">
      <c r="A7" s="195" t="n"/>
      <c r="B7" s="193" t="inlineStr">
        <is>
          <t>Boss</t>
        </is>
      </c>
      <c r="C7" s="194" t="inlineStr">
        <is>
          <t>Sim - Ataque + Vida</t>
        </is>
      </c>
      <c r="D7" s="194" t="inlineStr">
        <is>
          <t>Dano / HP</t>
        </is>
      </c>
      <c r="E7" s="194" t="inlineStr">
        <is>
          <t>Especie</t>
        </is>
      </c>
      <c r="F7" s="194" t="inlineStr">
        <is>
          <t>Papel</t>
        </is>
      </c>
      <c r="G7" s="194" t="inlineStr">
        <is>
          <t>Bestiario</t>
        </is>
      </c>
      <c r="H7" s="194" t="inlineStr">
        <is>
          <t>14</t>
        </is>
      </c>
    </row>
    <row r="8" ht="31.5" customHeight="1" s="116">
      <c r="A8" s="196" t="n"/>
      <c r="B8" s="193" t="inlineStr">
        <is>
          <t>Cosmico</t>
        </is>
      </c>
      <c r="C8" s="194" t="inlineStr">
        <is>
          <t>Sim - Ataque + Vida</t>
        </is>
      </c>
      <c r="D8" s="194" t="inlineStr">
        <is>
          <t>Dano / HP</t>
        </is>
      </c>
      <c r="E8" s="194" t="inlineStr">
        <is>
          <t>Especie</t>
        </is>
      </c>
      <c r="F8" s="194" t="inlineStr">
        <is>
          <t>Papel</t>
        </is>
      </c>
      <c r="G8" s="194" t="inlineStr">
        <is>
          <t>Bestiario</t>
        </is>
      </c>
      <c r="H8" s="194" t="inlineStr">
        <is>
          <t>14</t>
        </is>
      </c>
    </row>
    <row r="9" ht="31.5" customHeight="1" s="116">
      <c r="A9" s="192" t="inlineStr">
        <is>
          <t>EQUIPAMENTO (medalhoes de stat + nivel)</t>
        </is>
      </c>
      <c r="B9" s="193" t="inlineStr">
        <is>
          <t>Arma</t>
        </is>
      </c>
      <c r="C9" s="194" t="inlineStr">
        <is>
          <t>Sim - Dano + Nivel sugerido</t>
        </is>
      </c>
      <c r="D9" s="194" t="inlineStr">
        <is>
          <t>Dano por Golpe / Faixa de nivel</t>
        </is>
      </c>
      <c r="E9" s="194" t="inlineStr">
        <is>
          <t>Tipo de arma (7 icones)</t>
        </is>
      </c>
      <c r="F9" s="194" t="inlineStr">
        <is>
          <t>Tier</t>
        </is>
      </c>
      <c r="G9" s="194" t="inlineStr">
        <is>
          <t>Armas</t>
        </is>
      </c>
      <c r="H9" s="194" t="inlineStr">
        <is>
          <t>294 (98x3 raridades)</t>
        </is>
      </c>
    </row>
    <row r="10" ht="31.5" customHeight="1" s="116">
      <c r="A10" s="196" t="n"/>
      <c r="B10" s="193" t="inlineStr">
        <is>
          <t>Armadura</t>
        </is>
      </c>
      <c r="C10" s="194" t="inlineStr">
        <is>
          <t>Sim - Defesa + Nivel sugerido</t>
        </is>
      </c>
      <c r="D10" s="194" t="inlineStr">
        <is>
          <t>Defesa Final / Faixa de nivel</t>
        </is>
      </c>
      <c r="E10" s="194" t="inlineStr">
        <is>
          <t>Slot (8 icones)</t>
        </is>
      </c>
      <c r="F10" s="194" t="inlineStr">
        <is>
          <t>Tier</t>
        </is>
      </c>
      <c r="G10" s="194" t="inlineStr">
        <is>
          <t>Armaduras</t>
        </is>
      </c>
      <c r="H10" s="194" t="inlineStr">
        <is>
          <t>336 (112x3 raridades)</t>
        </is>
      </c>
    </row>
    <row r="11" ht="31.5" customHeight="1" s="116">
      <c r="A11" s="192" t="inlineStr">
        <is>
          <t>ENXUTA (sem medalhoes, so efeito)</t>
        </is>
      </c>
      <c r="B11" s="193" t="inlineStr">
        <is>
          <t>Consumivel</t>
        </is>
      </c>
      <c r="C11" s="194" t="inlineStr">
        <is>
          <t>Nao</t>
        </is>
      </c>
      <c r="D11" s="194" t="inlineStr">
        <is>
          <t>-</t>
        </is>
      </c>
      <c r="E11" s="194" t="inlineStr">
        <is>
          <t>Tipo (Pocao/Comida/Antidoto)</t>
        </is>
      </c>
      <c r="F11" s="194" t="inlineStr">
        <is>
          <t>Tier</t>
        </is>
      </c>
      <c r="G11" s="194" t="inlineStr">
        <is>
          <t>Consumiveis</t>
        </is>
      </c>
      <c r="H11" s="194" t="inlineStr">
        <is>
          <t>56</t>
        </is>
      </c>
    </row>
    <row r="12" ht="31.5" customHeight="1" s="116">
      <c r="A12" s="196" t="n"/>
      <c r="B12" s="193" t="inlineStr">
        <is>
          <t>Evento</t>
        </is>
      </c>
      <c r="C12" s="194" t="inlineStr">
        <is>
          <t>Nao (ou 1 opcional p/ dificuldade)</t>
        </is>
      </c>
      <c r="D12" s="194" t="inlineStr">
        <is>
          <t>-</t>
        </is>
      </c>
      <c r="E12" s="194" t="inlineStr">
        <is>
          <t>Tipo de evento (Combate/Achado/Armadilha)</t>
        </is>
      </c>
      <c r="F12" s="194" t="inlineStr">
        <is>
          <t>Nivel de perigo</t>
        </is>
      </c>
      <c r="G12" s="194" t="inlineStr">
        <is>
          <t>Exploracao-Encontros</t>
        </is>
      </c>
      <c r="H12" s="194" t="inlineStr">
        <is>
          <t>6+ (livre p/ criar mais)</t>
        </is>
      </c>
    </row>
    <row r="13" ht="31.5" customHeight="1" s="116">
      <c r="A13" s="192" t="inlineStr">
        <is>
          <t>LOCAL (mesma estrutura, icone de subtipo muda)</t>
        </is>
      </c>
      <c r="B13" s="193" t="inlineStr">
        <is>
          <t>Cidade</t>
        </is>
      </c>
      <c r="C13" s="194" t="inlineStr">
        <is>
          <t>Nao</t>
        </is>
      </c>
      <c r="D13" s="194" t="inlineStr">
        <is>
          <t>-</t>
        </is>
      </c>
      <c r="E13" s="194" t="inlineStr">
        <is>
          <t>Icone de castelo/casa</t>
        </is>
      </c>
      <c r="F13" s="194" t="inlineStr">
        <is>
          <t>Teto de tier coberto</t>
        </is>
      </c>
      <c r="G13" s="194" t="inlineStr">
        <is>
          <t>Cidades e NPCs</t>
        </is>
      </c>
      <c r="H13" s="194" t="inlineStr">
        <is>
          <t>7</t>
        </is>
      </c>
    </row>
    <row r="14" ht="31.5" customHeight="1" s="116">
      <c r="A14" s="195" t="n"/>
      <c r="B14" s="193" t="inlineStr">
        <is>
          <t>Dungeon (farm de monstros)</t>
        </is>
      </c>
      <c r="C14" s="194" t="inlineStr">
        <is>
          <t>Nao</t>
        </is>
      </c>
      <c r="D14" s="194" t="inlineStr">
        <is>
          <t>-</t>
        </is>
      </c>
      <c r="E14" s="194" t="inlineStr">
        <is>
          <t>Icone de porta/caveira</t>
        </is>
      </c>
      <c r="F14" s="194" t="inlineStr">
        <is>
          <t>Nivel de perigo do local</t>
        </is>
      </c>
      <c r="G14" s="194" t="inlineStr">
        <is>
          <t>Mundo-Locais</t>
        </is>
      </c>
      <c r="H14" s="194" t="inlineStr">
        <is>
          <t>vários (subtipo)</t>
        </is>
      </c>
    </row>
    <row r="15" ht="31.5" customHeight="1" s="116">
      <c r="A15" s="196" t="n"/>
      <c r="B15" s="193" t="inlineStr">
        <is>
          <t>Mina / Floresta / Fenda / Ruina</t>
        </is>
      </c>
      <c r="C15" s="194" t="inlineStr">
        <is>
          <t>Nao</t>
        </is>
      </c>
      <c r="D15" s="194" t="inlineStr">
        <is>
          <t>-</t>
        </is>
      </c>
      <c r="E15" s="194" t="inlineStr">
        <is>
          <t>Icone por tipo de terreno</t>
        </is>
      </c>
      <c r="F15" s="194" t="inlineStr">
        <is>
          <t>Nivel de perigo do local</t>
        </is>
      </c>
      <c r="G15" s="194" t="inlineStr">
        <is>
          <t>Mundo-Locais</t>
        </is>
      </c>
      <c r="H15" s="194" t="inlineStr">
        <is>
          <t>vários (subtipo)</t>
        </is>
      </c>
    </row>
    <row r="16" ht="31.5" customHeight="1" s="116">
      <c r="A16" s="192" t="inlineStr">
        <is>
          <t>ARTEFATO (unico, fora do grind normal)</t>
        </is>
      </c>
      <c r="B16" s="193" t="inlineStr">
        <is>
          <t>Fragmento do Aspecto</t>
        </is>
      </c>
      <c r="C16" s="194" t="inlineStr">
        <is>
          <t>Nao</t>
        </is>
      </c>
      <c r="D16" s="194" t="inlineStr">
        <is>
          <t>-</t>
        </is>
      </c>
      <c r="E16" s="194" t="inlineStr">
        <is>
          <t>Simbolo da Mao (fixo, os 5 sao iguais)</t>
        </is>
      </c>
      <c r="F16" s="194" t="inlineStr">
        <is>
          <t>Ato (1 a 5)</t>
        </is>
      </c>
      <c r="G16" s="194" t="inlineStr">
        <is>
          <t>NOVA aba a criar</t>
        </is>
      </c>
      <c r="H16" s="194" t="inlineStr">
        <is>
          <t>5 (um por Ato)</t>
        </is>
      </c>
    </row>
    <row r="17" ht="31.5" customHeight="1" s="116">
      <c r="A17" s="196" t="n"/>
      <c r="B17" s="193" t="inlineStr">
        <is>
          <t>Artefato Unico (reserva)</t>
        </is>
      </c>
      <c r="C17" s="194" t="inlineStr">
        <is>
          <t>Opcional</t>
        </is>
      </c>
      <c r="D17" s="194" t="inlineStr">
        <is>
          <t>Depende do item</t>
        </is>
      </c>
      <c r="E17" s="194" t="inlineStr">
        <is>
          <t>Especifico de cada um</t>
        </is>
      </c>
      <c r="F17" s="194" t="inlineStr">
        <is>
          <t>Lore/raridade narrativa</t>
        </is>
      </c>
      <c r="G17" s="194" t="inlineStr">
        <is>
          <t>NOVA aba, criar sob demanda</t>
        </is>
      </c>
      <c r="H17" s="194" t="inlineStr">
        <is>
          <t>sob demanda</t>
        </is>
      </c>
    </row>
    <row r="18" ht="31.5" customHeight="1" s="116">
      <c r="A18" s="192" t="inlineStr">
        <is>
          <t>MAGIA</t>
        </is>
      </c>
      <c r="B18" s="193" t="inlineStr">
        <is>
          <t>Habilidade/Magia</t>
        </is>
      </c>
      <c r="C18" s="194" t="inlineStr">
        <is>
          <t>Sim - Custo de Mana + Dano</t>
        </is>
      </c>
      <c r="D18" s="194" t="inlineStr">
        <is>
          <t>Custo Mana / Dano de exemplo</t>
        </is>
      </c>
      <c r="E18" s="194" t="inlineStr">
        <is>
          <t>Elemento (6 icones)</t>
        </is>
      </c>
      <c r="F18" s="194" t="inlineStr">
        <is>
          <t>Basico/Avancado</t>
        </is>
      </c>
      <c r="G18" s="194" t="inlineStr">
        <is>
          <t>Magia e Habilidades</t>
        </is>
      </c>
      <c r="H18" s="194" t="inlineStr">
        <is>
          <t>12</t>
        </is>
      </c>
    </row>
    <row r="19" ht="31.5" customHeight="1" s="116">
      <c r="A19" s="192" t="inlineStr">
        <is>
          <t>MISSAO</t>
        </is>
      </c>
      <c r="B19" s="193" t="inlineStr">
        <is>
          <t>Missao Principal</t>
        </is>
      </c>
      <c r="C19" s="194" t="inlineStr">
        <is>
          <t>Sim - Ouro + XP</t>
        </is>
      </c>
      <c r="D19" s="194" t="inlineStr">
        <is>
          <t>Recompensa Ouro / Recompensa XP</t>
        </is>
      </c>
      <c r="E19" s="194" t="inlineStr">
        <is>
          <t>Simbolo do Ato</t>
        </is>
      </c>
      <c r="F19" s="194" t="inlineStr">
        <is>
          <t>Ato (1 a 5)</t>
        </is>
      </c>
      <c r="G19" s="194" t="inlineStr">
        <is>
          <t>Missoes</t>
        </is>
      </c>
      <c r="H19" s="194" t="inlineStr">
        <is>
          <t>14</t>
        </is>
      </c>
    </row>
    <row r="22" ht="15.75" customHeight="1" s="116">
      <c r="A22" s="197" t="inlineStr">
        <is>
          <t>Escala de Ornamentacao Universal (4 Bandas)</t>
        </is>
      </c>
    </row>
    <row r="23" ht="15" customHeight="1" s="116">
      <c r="A23" s="123" t="inlineStr">
        <is>
          <t>Mesma logica em TODA carta do jogo - quanto mais alta a banda, mais dourado/chamativo. Baseado nas 4 joias de referencia que voce mandou.</t>
        </is>
      </c>
    </row>
    <row r="25" ht="27.75" customHeight="1" s="116">
      <c r="A25" s="132" t="inlineStr">
        <is>
          <t>Banda</t>
        </is>
      </c>
      <c r="B25" s="132" t="inlineStr">
        <is>
          <t>Cor da Joia/Selo</t>
        </is>
      </c>
      <c r="C25" s="132" t="inlineStr">
        <is>
          <t>Hex</t>
        </is>
      </c>
      <c r="D25" s="132" t="inlineStr">
        <is>
          <t>Estilo da Borda</t>
        </is>
      </c>
      <c r="E25" s="132" t="inlineStr">
        <is>
          <t>Monstro (Papel)</t>
        </is>
      </c>
      <c r="F25" s="132" t="inlineStr">
        <is>
          <t>Item (Grupo de Tiers)</t>
        </is>
      </c>
    </row>
    <row r="26" ht="30" customHeight="1" s="116">
      <c r="A26" s="193" t="inlineStr">
        <is>
          <t>1 - Iniciante</t>
        </is>
      </c>
      <c r="B26" s="194" t="inlineStr">
        <is>
          <t>Vermelho fosco</t>
        </is>
      </c>
      <c r="C26" s="194" t="inlineStr">
        <is>
          <t>#8C2F2F</t>
        </is>
      </c>
      <c r="D26" s="198" t="inlineStr">
        <is>
          <t>Metal simples, sem entalhe extra, fosco</t>
        </is>
      </c>
      <c r="E26" s="194" t="inlineStr">
        <is>
          <t>Comum</t>
        </is>
      </c>
      <c r="F26" s="198" t="inlineStr">
        <is>
          <t>Sucata, Bronze, Ferro, Prata</t>
        </is>
      </c>
    </row>
    <row r="27" ht="30" customHeight="1" s="116">
      <c r="A27" s="193" t="inlineStr">
        <is>
          <t>2 - Intermediario</t>
        </is>
      </c>
      <c r="B27" s="194" t="inlineStr">
        <is>
          <t>Azul</t>
        </is>
      </c>
      <c r="C27" s="194" t="inlineStr">
        <is>
          <t>#2F6FD9</t>
        </is>
      </c>
      <c r="D27" s="198" t="inlineStr">
        <is>
          <t>Entalhe mais rico, pequenos cravos, brilho leve</t>
        </is>
      </c>
      <c r="E27" s="194" t="inlineStr">
        <is>
          <t>Elite</t>
        </is>
      </c>
      <c r="F27" s="198" t="inlineStr">
        <is>
          <t>Aco Elfico, Mecanismo Anao, Vidro Vulcanico, Ferro Orquico</t>
        </is>
      </c>
    </row>
    <row r="28" ht="30" customHeight="1" s="116">
      <c r="A28" s="193" t="inlineStr">
        <is>
          <t>3 - Avancado</t>
        </is>
      </c>
      <c r="B28" s="194" t="inlineStr">
        <is>
          <t>Dourado</t>
        </is>
      </c>
      <c r="C28" s="194" t="inlineStr">
        <is>
          <t>#D4A017</t>
        </is>
      </c>
      <c r="D28" s="198" t="inlineStr">
        <is>
          <t>Espinhos/chifres decorativos, multiplas facetas</t>
        </is>
      </c>
      <c r="E28" s="194" t="inlineStr">
        <is>
          <t>Boss</t>
        </is>
      </c>
      <c r="F28" s="198" t="inlineStr">
        <is>
          <t>Mithril, Ebano, Adamantina, Osso de Dragao</t>
        </is>
      </c>
    </row>
    <row r="29" ht="30" customHeight="1" s="116">
      <c r="A29" s="193" t="inlineStr">
        <is>
          <t>4 - Lendario</t>
        </is>
      </c>
      <c r="B29" s="194" t="inlineStr">
        <is>
          <t>Roxo com brilho dourado ao redor</t>
        </is>
      </c>
      <c r="C29" s="194" t="inlineStr">
        <is>
          <t>#9B30D9 + glow #D4A017</t>
        </is>
      </c>
      <c r="D29" s="198" t="inlineStr">
        <is>
          <t>Aura visivel, parece quase flutuar, maximo de detalhe</t>
        </is>
      </c>
      <c r="E29" s="194" t="inlineStr">
        <is>
          <t>Cosmico</t>
        </is>
      </c>
      <c r="F29" s="198" t="inlineStr">
        <is>
          <t>Pacto Daedrico, Estelar/Cosmico</t>
        </is>
      </c>
    </row>
    <row r="31" ht="15" customHeight="1" s="116">
      <c r="A31" s="123" t="inlineStr">
        <is>
          <t>Nota: Raridade (Comum/Raro/Lendario, so em Item) e um eixo SEPARADO - continua sendo so a estrela da fita, nao mexe na borda inteira.</t>
        </is>
      </c>
    </row>
    <row r="33" ht="15.75" customHeight="1" s="116">
      <c r="A33" s="197" t="inlineStr">
        <is>
          <t>Checklist Universal - Antes de Montar Qualquer Carta</t>
        </is>
      </c>
    </row>
    <row r="34" ht="15" customHeight="1" s="116">
      <c r="A34" s="123" t="inlineStr">
        <is>
          <t>Confere esses 8 itens pra QUALQUER carta, de qualquer tipo, antes de considerar pronta.</t>
        </is>
      </c>
    </row>
    <row r="36" ht="27.75" customHeight="1" s="116">
      <c r="A36" s="132" t="inlineStr">
        <is>
          <t>#</t>
        </is>
      </c>
      <c r="B36" s="132" t="inlineStr">
        <is>
          <t>Item do Checklist</t>
        </is>
      </c>
      <c r="C36" s="132" t="inlineStr">
        <is>
          <t>Onde Aparece na Carta</t>
        </is>
      </c>
      <c r="D36" s="132" t="inlineStr">
        <is>
          <t>De Onde Vem o Dado</t>
        </is>
      </c>
    </row>
    <row r="37" ht="21.75" customHeight="1" s="116">
      <c r="A37" s="194" t="n">
        <v>1</v>
      </c>
      <c r="B37" s="193" t="inlineStr">
        <is>
          <t>Nome</t>
        </is>
      </c>
      <c r="C37" s="199" t="inlineStr">
        <is>
          <t>Fita curva no topo</t>
        </is>
      </c>
      <c r="D37" s="199" t="inlineStr">
        <is>
          <t>Planilha (coluna Nome/Nome Sugerido)</t>
        </is>
      </c>
    </row>
    <row r="38" ht="21.75" customHeight="1" s="116">
      <c r="A38" s="194" t="n">
        <v>2</v>
      </c>
      <c r="B38" s="193" t="inlineStr">
        <is>
          <t>Subtitulo/Tipo</t>
        </is>
      </c>
      <c r="C38" s="199" t="inlineStr">
        <is>
          <t>Faixa pequena abaixo do nome</t>
        </is>
      </c>
      <c r="D38" s="199" t="inlineStr">
        <is>
          <t>Papel / Tier / Tipo de local, conforme a categoria</t>
        </is>
      </c>
    </row>
    <row r="39" ht="21.75" customHeight="1" s="116">
      <c r="A39" s="194" t="n">
        <v>3</v>
      </c>
      <c r="B39" s="193" t="inlineStr">
        <is>
          <t>Arte</t>
        </is>
      </c>
      <c r="C39" s="199" t="inlineStr">
        <is>
          <t>Janela quadrada (1:1) central</t>
        </is>
      </c>
      <c r="D39" s="199" t="inlineStr">
        <is>
          <t>Gerada por IA, isolada, sem fundo</t>
        </is>
      </c>
    </row>
    <row r="40" ht="21.75" customHeight="1" s="116">
      <c r="A40" s="194" t="n">
        <v>4</v>
      </c>
      <c r="B40" s="193" t="inlineStr">
        <is>
          <t>Selo/Icone superior</t>
        </is>
      </c>
      <c r="C40" s="199" t="inlineStr">
        <is>
          <t>Circulo superior esquerdo</t>
        </is>
      </c>
      <c r="D40" s="199" t="inlineStr">
        <is>
          <t>Icone especifico (aba correspondente, coluna Icone)</t>
        </is>
      </c>
    </row>
    <row r="41" ht="21.75" customHeight="1" s="116">
      <c r="A41" s="194" t="n">
        <v>5</v>
      </c>
      <c r="B41" s="193" t="inlineStr">
        <is>
          <t>Banda de ornamentacao</t>
        </is>
      </c>
      <c r="C41" s="199" t="inlineStr">
        <is>
          <t>Borda inteira + selo</t>
        </is>
      </c>
      <c r="D41" s="199" t="inlineStr">
        <is>
          <t>Tabela 'Escala de Ornamentacao' acima</t>
        </is>
      </c>
    </row>
    <row r="42" ht="21.75" customHeight="1" s="116">
      <c r="A42" s="194" t="n">
        <v>6</v>
      </c>
      <c r="B42" s="193" t="inlineStr">
        <is>
          <t>Texto de Efeito/Habilidade</t>
        </is>
      </c>
      <c r="C42" s="199" t="inlineStr">
        <is>
          <t>Caixa central inferior</t>
        </is>
      </c>
      <c r="D42" s="199" t="inlineStr">
        <is>
          <t>Coluna de efeito da aba correspondente</t>
        </is>
      </c>
    </row>
    <row r="43" ht="21.75" customHeight="1" s="116">
      <c r="A43" s="194" t="n">
        <v>7</v>
      </c>
      <c r="B43" s="193" t="inlineStr">
        <is>
          <t>Texto de Historia</t>
        </is>
      </c>
      <c r="C43" s="199" t="inlineStr">
        <is>
          <t>Caixa menor abaixo do efeito</t>
        </is>
      </c>
      <c r="D43" s="199" t="inlineStr">
        <is>
          <t>Coluna Historia da aba correspondente</t>
        </is>
      </c>
    </row>
    <row r="44" ht="21.75" customHeight="1" s="116">
      <c r="A44" s="194" t="n">
        <v>8</v>
      </c>
      <c r="B44" s="193" t="inlineStr">
        <is>
          <t>Numeros/Medalhoes (se tiver)</t>
        </is>
      </c>
      <c r="C44" s="199" t="inlineStr">
        <is>
          <t>Circulos inferiores</t>
        </is>
      </c>
      <c r="D44" s="199" t="inlineStr">
        <is>
          <t>Ver coluna 'O que os Medalhoes Mostram' na tabela de tipos</t>
        </is>
      </c>
    </row>
  </sheetData>
  <mergeCells count="5">
    <mergeCell ref="A9:A10"/>
    <mergeCell ref="A16:A17"/>
    <mergeCell ref="A5:A8"/>
    <mergeCell ref="A11:A12"/>
    <mergeCell ref="A13:A1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F1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115" min="1" max="1"/>
    <col width="10" customWidth="1" style="115" min="2" max="2"/>
    <col width="24" customWidth="1" style="115" min="3" max="3"/>
    <col width="32" customWidth="1" style="115" min="4" max="4"/>
    <col width="42" customWidth="1" style="115" min="5" max="6"/>
  </cols>
  <sheetData>
    <row r="1" ht="17.25" customHeight="1" s="116">
      <c r="A1" s="117" t="inlineStr">
        <is>
          <t>Os 5 Fragmentos do Aspecto</t>
        </is>
      </c>
    </row>
    <row r="2" ht="15" customHeight="1" s="116">
      <c r="A2" s="123" t="inlineStr">
        <is>
          <t>Um por Ato. Colecionar os 5 destrava o confronto final contra O Aspecto da Infeccao (tier 14, Ato V). Todos usam Banda 4 (Lendaria) na moldura.</t>
        </is>
      </c>
    </row>
    <row r="4" ht="15" customHeight="1" s="116">
      <c r="A4" s="132" t="inlineStr">
        <is>
          <t>Ato</t>
        </is>
      </c>
      <c r="B4" s="132" t="inlineStr">
        <is>
          <t>Numeral</t>
        </is>
      </c>
      <c r="C4" s="132" t="inlineStr">
        <is>
          <t>Nome do Fragmento</t>
        </is>
      </c>
      <c r="D4" s="132" t="inlineStr">
        <is>
          <t>Origem (quem/onde dropa)</t>
        </is>
      </c>
      <c r="E4" s="132" t="inlineStr">
        <is>
          <t>Descricao Visual da Arte</t>
        </is>
      </c>
      <c r="F4" s="132" t="inlineStr">
        <is>
          <t>Historia</t>
        </is>
      </c>
    </row>
    <row r="5" ht="54.75" customHeight="1" s="116">
      <c r="A5" s="193" t="inlineStr">
        <is>
          <t>I</t>
        </is>
      </c>
      <c r="B5" s="194" t="inlineStr">
        <is>
          <t>I</t>
        </is>
      </c>
      <c r="C5" s="193" t="inlineStr">
        <is>
          <t>Fragmento do Sangue</t>
        </is>
      </c>
      <c r="D5" s="199" t="inlineStr">
        <is>
          <t>Javali Selvagem Alfa (boss, Sucata Enferrujada)</t>
        </is>
      </c>
      <c r="E5" s="199" t="inlineStr">
        <is>
          <t>Um caco de metal vermelho-escuro, com marcas de dedos ensanguentados gravadas na superficie.</t>
        </is>
      </c>
      <c r="F5" s="200" t="inlineStr">
        <is>
          <t>Antes de ser a Mao inteira, ja era isso: um pedaco pequeno demais pra assustar sozinho.</t>
        </is>
      </c>
    </row>
    <row r="6" ht="54.75" customHeight="1" s="116">
      <c r="A6" s="193" t="inlineStr">
        <is>
          <t>II</t>
        </is>
      </c>
      <c r="B6" s="194" t="inlineStr">
        <is>
          <t>II</t>
        </is>
      </c>
      <c r="C6" s="193" t="inlineStr">
        <is>
          <t>Fragmento do Silencio</t>
        </is>
      </c>
      <c r="D6" s="199" t="inlineStr">
        <is>
          <t>Senhor dos Mortos-Vivos (boss, Prata)</t>
        </is>
      </c>
      <c r="E6" s="199" t="inlineStr">
        <is>
          <t>Um caco cinza-azulado que nao reflete som nenhum ao redor - ate o vento parece evitar tocar nele.</t>
        </is>
      </c>
      <c r="F6" s="200" t="inlineStr">
        <is>
          <t>Quem carrega esse fragmento por tempo demais esquece o proprio som da propria voz.</t>
        </is>
      </c>
    </row>
    <row r="7" ht="54.75" customHeight="1" s="116">
      <c r="A7" s="193" t="inlineStr">
        <is>
          <t>III</t>
        </is>
      </c>
      <c r="B7" s="194" t="inlineStr">
        <is>
          <t>III</t>
        </is>
      </c>
      <c r="C7" s="193" t="inlineStr">
        <is>
          <t>Fragmento do Trono</t>
        </is>
      </c>
      <c r="D7" s="199" t="inlineStr">
        <is>
          <t>Arauto Daedrico (boss, Pacto Daedrico) - ou o equivalente do Ato III</t>
        </is>
      </c>
      <c r="E7" s="199" t="inlineStr">
        <is>
          <t>Um caco roxo-purpureo com uma rachadura em forma de coroa, como se algo tivesse tentado governar atraves dele.</t>
        </is>
      </c>
      <c r="F7" s="200" t="inlineStr">
        <is>
          <t>Nao concede poder. Concede a ilusao de merece-lo - e isso ja bastou pra corromper um rei.</t>
        </is>
      </c>
    </row>
    <row r="8" ht="54.75" customHeight="1" s="116">
      <c r="A8" s="193" t="inlineStr">
        <is>
          <t>IV</t>
        </is>
      </c>
      <c r="B8" s="194" t="inlineStr">
        <is>
          <t>IV</t>
        </is>
      </c>
      <c r="C8" s="193" t="inlineStr">
        <is>
          <t>Fragmento da Carne</t>
        </is>
      </c>
      <c r="D8" s="199" t="inlineStr">
        <is>
          <t>Amalgama Vivente / Guardiao da Fenda Morta (bosses do Ato IV)</t>
        </is>
      </c>
      <c r="E8" s="199" t="inlineStr">
        <is>
          <t>Um caco organico, quase pulsante, com uma textura que parece pele mais do que pedra.</t>
        </is>
      </c>
      <c r="F8" s="200" t="inlineStr">
        <is>
          <t>Cresce um milimetro a cada lua cheia. Ninguem tem coragem de medir ha quanto tempo carrega o seu.</t>
        </is>
      </c>
    </row>
    <row r="9" ht="54.75" customHeight="1" s="116">
      <c r="A9" s="193" t="inlineStr">
        <is>
          <t>V</t>
        </is>
      </c>
      <c r="B9" s="194" t="inlineStr">
        <is>
          <t>V</t>
        </is>
      </c>
      <c r="C9" s="193" t="inlineStr">
        <is>
          <t>Fragmento Final</t>
        </is>
      </c>
      <c r="D9" s="199" t="inlineStr">
        <is>
          <t>O Aspecto da Infeccao (dropa ao ser enfraquecido, nao morto)</t>
        </is>
      </c>
      <c r="E9" s="199" t="inlineStr">
        <is>
          <t>Um caco que parece absorver a luz ao redor, com veios dourados pulsando lentamente por dentro.</t>
        </is>
      </c>
      <c r="F9" s="200" t="inlineStr">
        <is>
          <t>Nao e um pedaco da Mao. E a prova de que, por um instante, alguem conseguiu fazer ela recuar.</t>
        </is>
      </c>
    </row>
    <row r="11" ht="15" customHeight="1" s="116">
      <c r="A11" s="123" t="inlineStr">
        <is>
          <t>Regra de uso: ao reunir os 5, o Guia de Missao do O Limiar libera a missao 'A Mao que Segura o Fim' (ja existente na aba Campanha-Atos).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N9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9" customWidth="1" style="115" min="1" max="1"/>
    <col width="5.12" customWidth="1" style="115" min="2" max="2"/>
    <col width="25.08" customWidth="1" style="115" min="3" max="3"/>
    <col width="22.65" customWidth="1" style="115" min="4" max="4"/>
    <col width="15.1" customWidth="1" style="115" min="5" max="5"/>
    <col width="22.65" customWidth="1" style="115" min="6" max="6"/>
    <col width="31.42" customWidth="1" style="115" min="8" max="8"/>
    <col width="12.68" customWidth="1" style="115" min="10" max="10"/>
    <col width="43.82" customWidth="1" style="115" min="11" max="11"/>
    <col width="16" customWidth="1" style="115" min="13" max="14"/>
  </cols>
  <sheetData>
    <row r="1" ht="17.35" customHeight="1" s="116">
      <c r="A1" s="177" t="inlineStr">
        <is>
          <t>Artefatos Únicos &amp; Relíquias Amaldiçoadas</t>
        </is>
      </c>
    </row>
    <row r="2" ht="15" customHeight="1" s="116"/>
    <row r="3" ht="15" customHeight="1" s="116">
      <c r="A3" s="165" t="inlineStr">
        <is>
          <t>ID</t>
        </is>
      </c>
      <c r="B3" s="165" t="inlineStr">
        <is>
          <t>Nome do Artefato / Relíquia</t>
        </is>
      </c>
      <c r="C3" s="165" t="inlineStr">
        <is>
          <t>Categoria</t>
        </is>
      </c>
      <c r="D3" s="165" t="inlineStr">
        <is>
          <t>Tier Equivalente &amp; Ato</t>
        </is>
      </c>
      <c r="E3" s="165" t="inlineStr">
        <is>
          <t>Origem / Localização de Encontro</t>
        </is>
      </c>
      <c r="F3" s="165" t="inlineStr">
        <is>
          <t>Condição de Sintonização / Uso</t>
        </is>
      </c>
      <c r="G3" s="165" t="inlineStr">
        <is>
          <t>Efeito Principal &amp; Poder de Jogo</t>
        </is>
      </c>
      <c r="H3" s="165" t="inlineStr">
        <is>
          <t>A Maldição / Custo de Risco-Recompensa</t>
        </is>
      </c>
      <c r="I3" s="165" t="inlineStr">
        <is>
          <t>Valor Estimado em Ouro</t>
        </is>
      </c>
      <c r="J3" s="165" t="inlineStr">
        <is>
          <t>História &amp; Lore Profunda</t>
        </is>
      </c>
      <c r="K3" s="165" t="inlineStr">
        <is>
          <t>Subcategoria</t>
        </is>
      </c>
      <c r="L3" s="165" t="inlineStr">
        <is>
          <t>Dano/Defesa Base</t>
        </is>
      </c>
      <c r="M3" s="165" t="inlineStr">
        <is>
          <t>Mod. Próprio Lendário</t>
        </is>
      </c>
      <c r="N3" s="118" t="inlineStr">
        <is>
          <t>Combate?</t>
        </is>
      </c>
    </row>
    <row r="4" ht="15" customHeight="1" s="116">
      <c r="A4" s="119" t="n">
        <v>1</v>
      </c>
      <c r="B4" s="119" t="inlineStr">
        <is>
          <t>A Lâmina da Guarda Quebrada</t>
        </is>
      </c>
      <c r="C4" s="119" t="inlineStr">
        <is>
          <t>Arma Ancestral (Espada de Ferro)</t>
        </is>
      </c>
      <c r="D4" s="119" t="inlineStr">
        <is>
          <t>Tier 3 (Ato I)</t>
        </is>
      </c>
      <c r="E4" s="119" t="inlineStr">
        <is>
          <t>Ruínas da Antiga Forja (Câmara do Capitão)</t>
        </is>
      </c>
      <c r="F4" s="119" t="inlineStr">
        <is>
          <t>FOR 14 ou Vínculo com a guarda caída</t>
        </is>
      </c>
      <c r="G4" s="119" t="inlineStr">
        <is>
          <t>Dano: 16 (+3 contra inimigos com armadura de ferro ou armação metálica)</t>
        </is>
      </c>
      <c r="H4" s="119" t="inlineStr">
        <is>
          <t>Não pode empunhar escudo; o braço esquerdo treme como se lembrasse do colapso da forja</t>
        </is>
      </c>
      <c r="I4" s="119" t="n">
        <v>150</v>
      </c>
      <c r="J4" s="119" t="inlineStr">
        <is>
          <t>Pertenceu ao último comandante da guarda de fronteira antes que a Mão Carmesim tocasse a vila.</t>
        </is>
      </c>
      <c r="K4" s="119" t="inlineStr">
        <is>
          <t>Artefato/Relíquia</t>
        </is>
      </c>
      <c r="N4" s="115" t="inlineStr">
        <is>
          <t>Sim</t>
        </is>
      </c>
    </row>
    <row r="5" ht="15" customHeight="1" s="116">
      <c r="A5" s="119" t="n">
        <v>2</v>
      </c>
      <c r="B5" s="119" t="inlineStr">
        <is>
          <t>O Olho de Vidro do Salteador</t>
        </is>
      </c>
      <c r="C5" s="119" t="inlineStr">
        <is>
          <t>Joia / Amuleto Amaldiçoado</t>
        </is>
      </c>
      <c r="D5" s="119" t="inlineStr">
        <is>
          <t>Tier 2 (Ato I)</t>
        </is>
      </c>
      <c r="E5" s="119" t="inlineStr">
        <is>
          <t>Estrada dos Bandidos (Baú Camuflado na Caverna)</t>
        </is>
      </c>
      <c r="F5" s="119" t="inlineStr">
        <is>
          <t>SAB 12</t>
        </is>
      </c>
      <c r="G5" s="119" t="inlineStr">
        <is>
          <t>Concede Visão no Escuro total e +2 em testes de Percepção (SAB)</t>
        </is>
      </c>
      <c r="H5" s="119" t="inlineStr">
        <is>
          <t>Reduz testes de Carisma com humanos comuns em -1 (olhar perturbador que enxerga espectros onde não há)</t>
        </is>
      </c>
      <c r="I5" s="119" t="n">
        <v>80</v>
      </c>
      <c r="J5" s="119" t="inlineStr">
        <is>
          <t>Arrancado de um espião que tentou espiar o primeiro ritual de sangue na estrada velha.</t>
        </is>
      </c>
      <c r="K5" s="119" t="inlineStr">
        <is>
          <t>Artefato/Relíquia</t>
        </is>
      </c>
      <c r="N5" s="115" t="inlineStr">
        <is>
          <t>Não</t>
        </is>
      </c>
    </row>
    <row r="6" ht="15" customHeight="1" s="116">
      <c r="A6" s="119" t="n">
        <v>3</v>
      </c>
      <c r="B6" s="119" t="inlineStr">
        <is>
          <t>O Anel de Dente do Javali Alfa</t>
        </is>
      </c>
      <c r="C6" s="119" t="inlineStr">
        <is>
          <t>Joia / Amuleto</t>
        </is>
      </c>
      <c r="D6" s="119" t="inlineStr">
        <is>
          <t>Tier 2 (Ato I)</t>
        </is>
      </c>
      <c r="E6" s="119" t="inlineStr">
        <is>
          <t>Covil do Javali Selvagem Alfa</t>
        </is>
      </c>
      <c r="F6" s="119" t="inlineStr">
        <is>
          <t>Derrotar o Javali Alfa sozinho ou dar o golpe final</t>
        </is>
      </c>
      <c r="G6" s="119" t="inlineStr">
        <is>
          <t>Ao sofrer dano em combate ganha +2 de Bônus de Ataque no turno seguinte</t>
        </is>
      </c>
      <c r="H6" s="119" t="inlineStr">
        <is>
          <t>Não pode usar a ação de Fuga enquanto estiver com menos de 50% de Vida</t>
        </is>
      </c>
      <c r="I6" s="119" t="n">
        <v>100</v>
      </c>
      <c r="J6" s="119" t="inlineStr">
        <is>
          <t>Cravado com a presa partida do monstro que guardava as bordas da floresta antes de enlouquecer.</t>
        </is>
      </c>
      <c r="K6" s="119" t="inlineStr">
        <is>
          <t>Artefato/Relíquia</t>
        </is>
      </c>
      <c r="N6" s="115" t="inlineStr">
        <is>
          <t>Não</t>
        </is>
      </c>
    </row>
    <row r="7" ht="15" customHeight="1" s="116">
      <c r="A7" s="119" t="n">
        <v>4</v>
      </c>
      <c r="B7" s="119" t="inlineStr">
        <is>
          <t>A Corrente dos Esquecidos</t>
        </is>
      </c>
      <c r="C7" s="119" t="inlineStr">
        <is>
          <t>Arma Ancestral (Chicote/Corrente de Sucata)</t>
        </is>
      </c>
      <c r="D7" s="119" t="inlineStr">
        <is>
          <t>Tier 1 (Ato I)</t>
        </is>
      </c>
      <c r="E7" s="119" t="inlineStr">
        <is>
          <t>Esgotos Profundos da Valória</t>
        </is>
      </c>
      <c r="F7" s="119" t="inlineStr">
        <is>
          <t>DES 12</t>
        </is>
      </c>
      <c r="G7" s="119" t="inlineStr">
        <is>
          <t>Ataques causam 5 de dano e têm 25% de chance de Imobilizar o alvo por 1 turno</t>
        </is>
      </c>
      <c r="H7" s="119" t="inlineStr">
        <is>
          <t>Causa 1 de dano de sangramento ao próprio portador ao ser enrolada no braço para combate</t>
        </is>
      </c>
      <c r="I7" s="119" t="n">
        <v>45</v>
      </c>
      <c r="J7" s="119" t="inlineStr">
        <is>
          <t>Feita dos grilhões de prisioneiros que foram trancados nos esgotos quando a praga começou.</t>
        </is>
      </c>
      <c r="K7" s="119" t="inlineStr">
        <is>
          <t>Artefato/Relíquia</t>
        </is>
      </c>
      <c r="N7" s="115" t="inlineStr">
        <is>
          <t>Sim</t>
        </is>
      </c>
    </row>
    <row r="8" ht="15" customHeight="1" s="116">
      <c r="A8" s="119" t="n">
        <v>5</v>
      </c>
      <c r="B8" s="119" t="inlineStr">
        <is>
          <t>O Escudo da Sentinela Afogada</t>
        </is>
      </c>
      <c r="C8" s="119" t="inlineStr">
        <is>
          <t>Escudo Sagrado (Bronze)</t>
        </is>
      </c>
      <c r="D8" s="119" t="inlineStr">
        <is>
          <t>Tier 2 (Ato I)</t>
        </is>
      </c>
      <c r="E8" s="119" t="inlineStr">
        <is>
          <t>Mina de Bronze (Fundo do Poço Inundado)</t>
        </is>
      </c>
      <c r="F8" s="119" t="inlineStr">
        <is>
          <t>FOR 12</t>
        </is>
      </c>
      <c r="G8" s="119" t="inlineStr">
        <is>
          <t>Absorve completamente o primeiro ataque físico recebido em cada combate</t>
        </is>
      </c>
      <c r="H8" s="119" t="inlineStr">
        <is>
          <t>Pesa o dobro de um escudo normal; penalidade de -2 em testes de Fuga e natação</t>
        </is>
      </c>
      <c r="I8" s="119" t="n">
        <v>95</v>
      </c>
      <c r="J8" s="119" t="inlineStr">
        <is>
          <t>Carregado por um guarda kobold que preferiu se afogar a deixar a rainha-aranha avançar sobre a cidade.</t>
        </is>
      </c>
      <c r="K8" s="119" t="inlineStr">
        <is>
          <t>Artefato/Relíquia</t>
        </is>
      </c>
      <c r="N8" s="115" t="inlineStr">
        <is>
          <t>Sim</t>
        </is>
      </c>
    </row>
    <row r="9" ht="15" customHeight="1" s="116">
      <c r="A9" s="119" t="n">
        <v>6</v>
      </c>
      <c r="B9" s="119" t="inlineStr">
        <is>
          <t>O Sino Que Não Deve Tocar</t>
        </is>
      </c>
      <c r="C9" s="119" t="inlineStr">
        <is>
          <t>Relíquia do Laerte / Objeto Arcano</t>
        </is>
      </c>
      <c r="D9" s="119" t="inlineStr">
        <is>
          <t>Tier 4 (Ato II)</t>
        </is>
      </c>
      <c r="E9" s="119" t="inlineStr">
        <is>
          <t>Criptas de Prata (Câmara do Sino Soterrado)</t>
        </is>
      </c>
      <c r="F9" s="119" t="inlineStr">
        <is>
          <t>INT ou SAB 14</t>
        </is>
      </c>
      <c r="G9" s="119" t="inlineStr">
        <is>
          <t>Ao ser tocado anula toda conjuração de magias e habilidades de TODOS no combate por 2 turnos</t>
        </is>
      </c>
      <c r="H9" s="119" t="inlineStr">
        <is>
          <t>Ensurdece o usuário até o fim do combate (-2 em Percepção) e atrai o Ceifador do Silêncio para o próximo descanso</t>
        </is>
      </c>
      <c r="I9" s="119" t="n">
        <v>250</v>
      </c>
      <c r="J9" s="119" t="inlineStr">
        <is>
          <t>O sino que os sacerdotes tocaram para tentar afastar a morte. Só serviu para atrair o silêncio eterno.</t>
        </is>
      </c>
      <c r="K9" s="119" t="inlineStr">
        <is>
          <t>Artefato/Relíquia</t>
        </is>
      </c>
      <c r="N9" s="115" t="inlineStr">
        <is>
          <t>Não</t>
        </is>
      </c>
    </row>
    <row r="10" ht="15" customHeight="1" s="116">
      <c r="A10" s="119" t="n">
        <v>7</v>
      </c>
      <c r="B10" s="119" t="inlineStr">
        <is>
          <t>A Lâmina da Elfa Sem Nome</t>
        </is>
      </c>
      <c r="C10" s="119" t="inlineStr">
        <is>
          <t>Arma Ancestral (Adaga Élfica)</t>
        </is>
      </c>
      <c r="D10" s="119" t="inlineStr">
        <is>
          <t>Tier 5 (Ato II)</t>
        </is>
      </c>
      <c r="E10" s="119" t="inlineStr">
        <is>
          <t>Ruínas Élficas (Sarcófago de Jade)</t>
        </is>
      </c>
      <c r="F10" s="119" t="inlineStr">
        <is>
          <t>DES 16 e Alinhamento neutro/puro</t>
        </is>
      </c>
      <c r="G10" s="119" t="inlineStr">
        <is>
          <t>Dano: 38 (Lendário); ignora toda a Defesa de alvos que já tenham sofrido dano no combate</t>
        </is>
      </c>
      <c r="H10" s="119" t="inlineStr">
        <is>
          <t>O portador é incapaz de mentir ou omitir a verdade em qualquer diálogo (a lâmina impõe verdade absoluta)</t>
        </is>
      </c>
      <c r="I10" s="119" t="n">
        <v>420</v>
      </c>
      <c r="J10" s="119" t="inlineStr">
        <is>
          <t>Forjada para a princesa élfica que recusou se curvar quando os generais aceitaram o pacto com a Mão.</t>
        </is>
      </c>
      <c r="K10" s="119" t="inlineStr">
        <is>
          <t>Artefato/Relíquia</t>
        </is>
      </c>
      <c r="N10" s="115" t="inlineStr">
        <is>
          <t>Sim</t>
        </is>
      </c>
    </row>
    <row r="11" ht="15" customHeight="1" s="116">
      <c r="A11" s="119" t="n">
        <v>8</v>
      </c>
      <c r="B11" s="119" t="inlineStr">
        <is>
          <t>O Relógio de Engrenagens Vivas</t>
        </is>
      </c>
      <c r="C11" s="119" t="inlineStr">
        <is>
          <t>Objeto Arcano Anão</t>
        </is>
      </c>
      <c r="D11" s="119" t="inlineStr">
        <is>
          <t>Tier 6 (Ato II)</t>
        </is>
      </c>
      <c r="E11" s="119" t="inlineStr">
        <is>
          <t>Câmara Mecânica Anã (Puzzle do Pêndulo Central)</t>
        </is>
      </c>
      <c r="F11" s="119" t="inlineStr">
        <is>
          <t>INT 16</t>
        </is>
      </c>
      <c r="G11" s="119" t="inlineStr">
        <is>
          <t>1x por combate concede ao usuário 2 turnos completos consecutivos</t>
        </is>
      </c>
      <c r="H11" s="119" t="inlineStr">
        <is>
          <t>Ao final dos 2 turnos o usuário sofre dano verdadeiro igual ao seu nível atual (o tempo roubado é pago em vida)</t>
        </is>
      </c>
      <c r="I11" s="119" t="n">
        <v>600</v>
      </c>
      <c r="J11" s="119" t="inlineStr">
        <is>
          <t>Construído por engenheiros anões que tentaram prever o fim do mundo. O relógio acertou a data exata.</t>
        </is>
      </c>
      <c r="K11" s="119" t="inlineStr">
        <is>
          <t>Artefato/Relíquia</t>
        </is>
      </c>
      <c r="N11" s="115" t="inlineStr">
        <is>
          <t>Não</t>
        </is>
      </c>
    </row>
    <row r="12" ht="15" customHeight="1" s="116">
      <c r="A12" s="119" t="n">
        <v>9</v>
      </c>
      <c r="B12" s="119" t="inlineStr">
        <is>
          <t>O Manto do Ceifador Silencioso</t>
        </is>
      </c>
      <c r="C12" s="119" t="inlineStr">
        <is>
          <t>Armadura Sagrada (Capa de Prata e Sombra)</t>
        </is>
      </c>
      <c r="D12" s="119" t="inlineStr">
        <is>
          <t>Tier 4 (Ato II)</t>
        </is>
      </c>
      <c r="E12" s="119" t="inlineStr">
        <is>
          <t>Catedrais Soterradas de Prata</t>
        </is>
      </c>
      <c r="F12" s="119" t="inlineStr">
        <is>
          <t>SAB 14</t>
        </is>
      </c>
      <c r="G12" s="119" t="inlineStr">
        <is>
          <t>Passos e ataques não emitem som; concede +3 em testes de Furtividade e Fuga</t>
        </is>
      </c>
      <c r="H12" s="119" t="inlineStr">
        <is>
          <t>A voz do usuário se apaga completamente enquanto veste o manto; impossível falar com aliados em batalha</t>
        </is>
      </c>
      <c r="I12" s="119" t="n">
        <v>300</v>
      </c>
      <c r="J12" s="119" t="inlineStr">
        <is>
          <t>Tecido com as mortalhas dos primeiros que morreram sem gritar quando o Ceifador passou.</t>
        </is>
      </c>
      <c r="K12" s="119" t="inlineStr">
        <is>
          <t>Artefato/Relíquia</t>
        </is>
      </c>
      <c r="N12" s="115" t="inlineStr">
        <is>
          <t>Sim</t>
        </is>
      </c>
    </row>
    <row r="13" ht="15" customHeight="1" s="116">
      <c r="A13" s="119" t="n">
        <v>10</v>
      </c>
      <c r="B13" s="119" t="inlineStr">
        <is>
          <t>O Martelo da Fornalha Perdida</t>
        </is>
      </c>
      <c r="C13" s="119" t="inlineStr">
        <is>
          <t>Arma Ancestral (Martelo de Guerra Anão)</t>
        </is>
      </c>
      <c r="D13" s="119" t="inlineStr">
        <is>
          <t>Tier 6 (Ato II)</t>
        </is>
      </c>
      <c r="E13" s="119" t="inlineStr">
        <is>
          <t>Forja Mecânica Profunda da Câmara Anã</t>
        </is>
      </c>
      <c r="F13" s="119" t="inlineStr">
        <is>
          <t>FOR 16</t>
        </is>
      </c>
      <c r="G13" s="119" t="inlineStr">
        <is>
          <t>Causa dano em dobro contra golens construções mecânicas e escudos de ferro</t>
        </is>
      </c>
      <c r="H13" s="119" t="inlineStr">
        <is>
          <t>Fica incandescente após 4 turnos de combate contínuo causando 2 de dano de fogo ao usuário por rodada</t>
        </is>
      </c>
      <c r="I13" s="119" t="n">
        <v>550</v>
      </c>
      <c r="J13" s="119" t="inlineStr">
        <is>
          <t>Usado para quebrar as máquinas que os anões criaram quando perderam o controle de suas forjas.</t>
        </is>
      </c>
      <c r="K13" s="119" t="inlineStr">
        <is>
          <t>Artefato/Relíquia</t>
        </is>
      </c>
      <c r="N13" s="115" t="inlineStr">
        <is>
          <t>Sim</t>
        </is>
      </c>
    </row>
    <row r="14" ht="15" customHeight="1" s="116">
      <c r="A14" s="119" t="n">
        <v>11</v>
      </c>
      <c r="B14" s="119" t="inlineStr">
        <is>
          <t>A Coroa dos Cem Sussurros</t>
        </is>
      </c>
      <c r="C14" s="119" t="inlineStr">
        <is>
          <t>Joia / Elmo Amaldiçoado</t>
        </is>
      </c>
      <c r="D14" s="119" t="inlineStr">
        <is>
          <t>Tier 8 (Ato III)</t>
        </is>
      </c>
      <c r="E14" s="119" t="inlineStr">
        <is>
          <t>Desfiladeiro dos Zelotes (Trono do Rei Sem Corpo)</t>
        </is>
      </c>
      <c r="F14" s="119" t="inlineStr">
        <is>
          <t>SAB 16 ou CON 16</t>
        </is>
      </c>
      <c r="G14" s="119" t="inlineStr">
        <is>
          <t>Revela a fraqueza do inimigo concedendo +3 de Defesa e +2 de Ataque contra o alvo focado</t>
        </is>
      </c>
      <c r="H14" s="119" t="inlineStr">
        <is>
          <t>O usuário ouve sussurros constantes; ao descansar rola 1d20 (em 1-5 não recupera pontos de Mana)</t>
        </is>
      </c>
      <c r="I14" s="119" t="n">
        <v>850</v>
      </c>
      <c r="J14" s="119" t="inlineStr">
        <is>
          <t>Usada pelo monarca que entregou seu reino ao culto da Mão acreditando que governaria para sempre.</t>
        </is>
      </c>
      <c r="K14" s="119" t="inlineStr">
        <is>
          <t>Artefato/Relíquia</t>
        </is>
      </c>
      <c r="N14" s="115" t="inlineStr">
        <is>
          <t>Não</t>
        </is>
      </c>
    </row>
    <row r="15" ht="15" customHeight="1" s="116">
      <c r="A15" s="119" t="n">
        <v>12</v>
      </c>
      <c r="B15" s="119" t="inlineStr">
        <is>
          <t>A Espada de Obsidiana Queimada</t>
        </is>
      </c>
      <c r="C15" s="119" t="inlineStr">
        <is>
          <t>Arma Ancestral (Lâmina de Vidro Vulcânico)</t>
        </is>
      </c>
      <c r="D15" s="119" t="inlineStr">
        <is>
          <t>Tier 7 (Ato III)</t>
        </is>
      </c>
      <c r="E15" s="119" t="inlineStr">
        <is>
          <t>Fenda Vulcânica Ativa (Altar de Lava)</t>
        </is>
      </c>
      <c r="F15" s="119" t="inlineStr">
        <is>
          <t>FOR 16 e DES 14</t>
        </is>
      </c>
      <c r="G15" s="119" t="inlineStr">
        <is>
          <t>Dano: 70 (Lendário); aplica Queimadura severa que causa 4 de dano por turno por 3 rodadas</t>
        </is>
      </c>
      <c r="H15" s="119" t="inlineStr">
        <is>
          <t>Não pode ser guardada na bainha enquanto quente; queima equipamentos e causa 3 de dano se guardada antes de esfriar</t>
        </is>
      </c>
      <c r="I15" s="119" t="n">
        <v>720</v>
      </c>
      <c r="J15" s="119" t="inlineStr">
        <is>
          <t>Retirada do coração da rocha derretida no exato segundo em que o Guardião da Fenda despertou.</t>
        </is>
      </c>
      <c r="K15" s="119" t="inlineStr">
        <is>
          <t>Artefato/Relíquia</t>
        </is>
      </c>
      <c r="N15" s="115" t="inlineStr">
        <is>
          <t>Sim</t>
        </is>
      </c>
    </row>
    <row r="16" ht="15" customHeight="1" s="116">
      <c r="A16" s="119" t="n">
        <v>13</v>
      </c>
      <c r="B16" s="119" t="inlineStr">
        <is>
          <t>O Estandarte do Bando Despedaçado</t>
        </is>
      </c>
      <c r="C16" s="119" t="inlineStr">
        <is>
          <t>Relíquia de Guerra Orc</t>
        </is>
      </c>
      <c r="D16" s="119" t="inlineStr">
        <is>
          <t>Tier 8 (Ato III)</t>
        </is>
      </c>
      <c r="E16" s="119" t="inlineStr">
        <is>
          <t>Acampamento Orc (Mastro de Honra)</t>
        </is>
      </c>
      <c r="F16" s="119" t="inlineStr">
        <is>
          <t>FOR 18</t>
        </is>
      </c>
      <c r="G16" s="119" t="inlineStr">
        <is>
          <t>Todos os aliados no combate ganham +2 de Ataque permanente e imunidade total a efeitos de Medo</t>
        </is>
      </c>
      <c r="H16" s="119" t="inlineStr">
        <is>
          <t>O portador deve fincar o mastro no chão e não pode se mover daquela casa/posição até o fim da luta</t>
        </is>
      </c>
      <c r="I16" s="119" t="n">
        <v>900</v>
      </c>
      <c r="J16" s="119" t="inlineStr">
        <is>
          <t>O símbolo sob o qual três clãs orcs lutaram até o último guerreiro cair diante da corrupção.</t>
        </is>
      </c>
      <c r="K16" s="119" t="inlineStr">
        <is>
          <t>Artefato/Relíquia</t>
        </is>
      </c>
      <c r="N16" s="115" t="inlineStr">
        <is>
          <t>Não</t>
        </is>
      </c>
    </row>
    <row r="17" ht="15" customHeight="1" s="116">
      <c r="A17" s="119" t="n">
        <v>14</v>
      </c>
      <c r="B17" s="119" t="inlineStr">
        <is>
          <t>O Coração de Mithril Resfriado</t>
        </is>
      </c>
      <c r="C17" s="119" t="inlineStr">
        <is>
          <t>Joia / Amuleto</t>
        </is>
      </c>
      <c r="D17" s="119" t="inlineStr">
        <is>
          <t>Tier 9 (Ato III/IV)</t>
        </is>
      </c>
      <c r="E17" s="119" t="inlineStr">
        <is>
          <t>Cavernas Profundas de Mithril (Altar Subterrâneo)</t>
        </is>
      </c>
      <c r="F17" s="119" t="inlineStr">
        <is>
          <t>INT 18</t>
        </is>
      </c>
      <c r="G17" s="119" t="inlineStr">
        <is>
          <t>Reduz o custo de Mana de todas as magias em 2 (mínimo 1) e concede +10 de Defesa contra feitiços em área</t>
        </is>
      </c>
      <c r="H17" s="119" t="inlineStr">
        <is>
          <t>Torna o corpo do usuário gélido como gelo; vulnerabilidade a dano de Fogo (+50% de dano recebido)</t>
        </is>
      </c>
      <c r="I17" s="119" t="n">
        <v>1200</v>
      </c>
      <c r="J17" s="119" t="inlineStr">
        <is>
          <t>O núcleo petrificado de um elemental que congelou para selar a entrada das cavernas ancestrais.</t>
        </is>
      </c>
      <c r="K17" s="119" t="inlineStr">
        <is>
          <t>Artefato/Relíquia</t>
        </is>
      </c>
      <c r="N17" s="115" t="inlineStr">
        <is>
          <t>Não</t>
        </is>
      </c>
    </row>
    <row r="18" ht="15" customHeight="1" s="116">
      <c r="A18" s="119" t="n">
        <v>15</v>
      </c>
      <c r="B18" s="119" t="inlineStr">
        <is>
          <t>A Foice do Pântano Esquecido</t>
        </is>
      </c>
      <c r="C18" s="119" t="inlineStr">
        <is>
          <t>Arma Ancestral (Foice Rúnica)</t>
        </is>
      </c>
      <c r="D18" s="119" t="inlineStr">
        <is>
          <t>Tier 7 (Ato III)</t>
        </is>
      </c>
      <c r="E18" s="119" t="inlineStr">
        <is>
          <t>Pântano Esquecido (Raiz da Árvore Afogada)</t>
        </is>
      </c>
      <c r="F18" s="119" t="inlineStr">
        <is>
          <t>SAB 16 ou DES 16</t>
        </is>
      </c>
      <c r="G18" s="119" t="inlineStr">
        <is>
          <t>Converte 30% de todo dano físico causado em cura de HP instantânea para o usuário</t>
        </is>
      </c>
      <c r="H18" s="119" t="inlineStr">
        <is>
          <t>O usuário desenvolve sede mórbida por combate; poções comuns de cura perdem 50% de sua eficácia nele</t>
        </is>
      </c>
      <c r="I18" s="119" t="n">
        <v>780</v>
      </c>
      <c r="J18" s="119" t="inlineStr">
        <is>
          <t>Pertenceu a uma curandeira que recorreu a magias proibidas para salvar sua vila da névoa tóxica.</t>
        </is>
      </c>
      <c r="K18" s="119" t="inlineStr">
        <is>
          <t>Artefato/Relíquia</t>
        </is>
      </c>
      <c r="N18" s="115" t="inlineStr">
        <is>
          <t>Sim</t>
        </is>
      </c>
    </row>
    <row r="19" ht="15" customHeight="1" s="116">
      <c r="A19" s="119" t="n">
        <v>16</v>
      </c>
      <c r="B19" s="119" t="inlineStr">
        <is>
          <t>A Couraça da Carne Rastejante</t>
        </is>
      </c>
      <c r="C19" s="119" t="inlineStr">
        <is>
          <t>Armadura Amaldiçoada (Peitoral de Ébano Vivo)</t>
        </is>
      </c>
      <c r="D19" s="119" t="inlineStr">
        <is>
          <t>Tier 10 (Ato IV)</t>
        </is>
      </c>
      <c r="E19" s="119" t="inlineStr">
        <is>
          <t>Fenda Vulcânica Morta (Ninho do Amálgama)</t>
        </is>
      </c>
      <c r="F19" s="119" t="inlineStr">
        <is>
          <t>CON 18</t>
        </is>
      </c>
      <c r="G19" s="119" t="inlineStr">
        <is>
          <t>Defesa: 16 (Lendária); regenera 5 de Vida (HP) automaticamente a cada início de turno do herói</t>
        </is>
      </c>
      <c r="H19" s="119" t="inlineStr">
        <is>
          <t>A couraça se funde à carne; não pode ser removida sem cirurgia (perde 50% do HP máximo até o próximo descanso)</t>
        </is>
      </c>
      <c r="I19" s="119" t="n">
        <v>1600</v>
      </c>
      <c r="J19" s="119" t="inlineStr">
        <is>
          <t>Criada pela fusão da carne de guerreiros assimilados que ainda tentam proteger quem a veste.</t>
        </is>
      </c>
      <c r="K19" s="119" t="inlineStr">
        <is>
          <t>Artefato/Relíquia</t>
        </is>
      </c>
      <c r="N19" s="115" t="inlineStr">
        <is>
          <t>Sim</t>
        </is>
      </c>
    </row>
    <row r="20" ht="15" customHeight="1" s="116">
      <c r="A20" s="119" t="n">
        <v>17</v>
      </c>
      <c r="B20" s="119" t="inlineStr">
        <is>
          <t>A Lança do Matador de Titãs</t>
        </is>
      </c>
      <c r="C20" s="119" t="inlineStr">
        <is>
          <t>Arma Ancestral (Lança de Adamantina Pura)</t>
        </is>
      </c>
      <c r="D20" s="119" t="inlineStr">
        <is>
          <t>Tier 11 (Ato IV)</t>
        </is>
      </c>
      <c r="E20" s="119" t="inlineStr">
        <is>
          <t>Alto Bastião (Cofre Proibido dos Campeões)</t>
        </is>
      </c>
      <c r="F20" s="119" t="inlineStr">
        <is>
          <t>FOR 20</t>
        </is>
      </c>
      <c r="G20" s="119" t="inlineStr">
        <is>
          <t>Dano: 160 (Lendário); ignora qualquer escudo barreira ou redução de dano de criaturas com mais de 1000 HP</t>
        </is>
      </c>
      <c r="H20" s="119" t="inlineStr">
        <is>
          <t>Pesa quase 40kg; impõe penalidade permanente de -2 em Destreza e impede ataques extras no mesmo turno</t>
        </is>
      </c>
      <c r="I20" s="119" t="n">
        <v>2200</v>
      </c>
      <c r="J20" s="119" t="inlineStr">
        <is>
          <t>Forjada para derrubar o primeiro titã corrompido que marchou contra a grande fortaleza dos homens.</t>
        </is>
      </c>
      <c r="K20" s="119" t="inlineStr">
        <is>
          <t>Artefato/Relíquia</t>
        </is>
      </c>
      <c r="N20" s="115" t="inlineStr">
        <is>
          <t>Sim</t>
        </is>
      </c>
    </row>
    <row r="21" ht="15" customHeight="1" s="116">
      <c r="A21" s="119" t="n">
        <v>18</v>
      </c>
      <c r="B21" s="119" t="inlineStr">
        <is>
          <t>O Olho do Dragão Ancião Cego</t>
        </is>
      </c>
      <c r="C21" s="119" t="inlineStr">
        <is>
          <t>Objeto Arcano Dracônico</t>
        </is>
      </c>
      <c r="D21" s="119" t="inlineStr">
        <is>
          <t>Tier 12 (Ato IV)</t>
        </is>
      </c>
      <c r="E21" s="119" t="inlineStr">
        <is>
          <t>Covil do Dragão Ancião (Pilar de Ossos)</t>
        </is>
      </c>
      <c r="F21" s="119" t="inlineStr">
        <is>
          <t>SAB 18 ou INT 18</t>
        </is>
      </c>
      <c r="G21" s="119" t="inlineStr">
        <is>
          <t>Revela os pontos vitais de dragões e criaturas cósmicas fazendo todos os ataques do grupo causarem +20% de dano</t>
        </is>
      </c>
      <c r="H21" s="119" t="inlineStr">
        <is>
          <t>O usuário sangra pelos olhos ao ativar a visão do dragão sofrendo 10 de dano verdadeiro imediato</t>
        </is>
      </c>
      <c r="I21" s="119" t="n">
        <v>2800</v>
      </c>
      <c r="J21" s="119" t="inlineStr">
        <is>
          <t>O olho arrancado do grande wyrm que preferiu arrancar a própria visão a testemunhar o avanço da Mão.</t>
        </is>
      </c>
      <c r="K21" s="119" t="inlineStr">
        <is>
          <t>Artefato/Relíquia</t>
        </is>
      </c>
      <c r="N21" s="115" t="inlineStr">
        <is>
          <t>Não</t>
        </is>
      </c>
    </row>
    <row r="22" ht="15" customHeight="1" s="116">
      <c r="A22" s="119" t="n">
        <v>19</v>
      </c>
      <c r="B22" s="119" t="inlineStr">
        <is>
          <t>O Manto de Cinza Impenetrável</t>
        </is>
      </c>
      <c r="C22" s="119" t="inlineStr">
        <is>
          <t>Armadura Sagrada (Manto de Tecido de Ébano)</t>
        </is>
      </c>
      <c r="D22" s="119" t="inlineStr">
        <is>
          <t>Tier 10 (Ato IV)</t>
        </is>
      </c>
      <c r="E22" s="119" t="inlineStr">
        <is>
          <t>Tumba das Cinzas Mortas da Fenda</t>
        </is>
      </c>
      <c r="F22" s="119" t="inlineStr">
        <is>
          <t>CON 16</t>
        </is>
      </c>
      <c r="G22" s="119" t="inlineStr">
        <is>
          <t>Imunidade total a qualquer dano de Veneno Sangramento e Queimadura de qualquer fonte</t>
        </is>
      </c>
      <c r="H22" s="119" t="inlineStr">
        <is>
          <t>O usuário se move em velocidade reduzida; não pode realizar reações ou ataques de oportunidade em batalha</t>
        </is>
      </c>
      <c r="I22" s="119" t="n">
        <v>1400</v>
      </c>
      <c r="J22" s="119" t="inlineStr">
        <is>
          <t>Costurado a partir das cinzas de uma ordem de paladinos que queimou até a morte sem recuar.</t>
        </is>
      </c>
      <c r="K22" s="119" t="inlineStr">
        <is>
          <t>Artefato/Relíquia</t>
        </is>
      </c>
      <c r="N22" s="115" t="inlineStr">
        <is>
          <t>Sim</t>
        </is>
      </c>
    </row>
    <row r="23" ht="15" customHeight="1" s="116">
      <c r="A23" s="119" t="n">
        <v>20</v>
      </c>
      <c r="B23" s="119" t="inlineStr">
        <is>
          <t>A Espada Partida do Herói Caído</t>
        </is>
      </c>
      <c r="C23" s="119" t="inlineStr">
        <is>
          <t>Arma Ancestral (Lâmina de Adamantina Quebrada)</t>
        </is>
      </c>
      <c r="D23" s="119" t="inlineStr">
        <is>
          <t>Tier 11 (Ato IV)</t>
        </is>
      </c>
      <c r="E23" s="119" t="inlineStr">
        <is>
          <t>Campo de Batalha Esquecido (Monumento Central)</t>
        </is>
      </c>
      <c r="F23" s="119" t="inlineStr">
        <is>
          <t>FOR 18 e Determinação Inabalável</t>
        </is>
      </c>
      <c r="G23" s="119" t="inlineStr">
        <is>
          <t>Se o herói cair para 0 HP ele retorna imediatamente com 50% de Vida em estado de fúria divina invulnerável por 1 turno</t>
        </is>
      </c>
      <c r="H23" s="119" t="inlineStr">
        <is>
          <t>Ao término do combate da ressurreição o herói desmaia exausto por 24 horas completas</t>
        </is>
      </c>
      <c r="I23" s="119" t="n">
        <v>2500</v>
      </c>
      <c r="J23" s="119" t="inlineStr">
        <is>
          <t>A lâmina do herói cujo nome foi apagado da história mas cuja coragem impediu o fim do mundo no ciclo anterior.</t>
        </is>
      </c>
      <c r="K23" s="119" t="inlineStr">
        <is>
          <t>Artefato/Relíquia</t>
        </is>
      </c>
      <c r="N23" s="115" t="inlineStr">
        <is>
          <t>Sim</t>
        </is>
      </c>
    </row>
    <row r="24" ht="15" customHeight="1" s="116">
      <c r="A24" s="119" t="n">
        <v>21</v>
      </c>
      <c r="B24" s="119" t="inlineStr">
        <is>
          <t>O Pacto dos Dez Dedos Ensanguentados</t>
        </is>
      </c>
      <c r="C24" s="119" t="inlineStr">
        <is>
          <t>Tomo Proibido Daédrico</t>
        </is>
      </c>
      <c r="D24" s="119" t="inlineStr">
        <is>
          <t>Tier 13 (Ato V)</t>
        </is>
      </c>
      <c r="E24" s="119" t="inlineStr">
        <is>
          <t>Círculo Ritualístico Daédrico (Altar Central)</t>
        </is>
      </c>
      <c r="F24" s="119" t="inlineStr">
        <is>
          <t>INT 20 ou SAB 20</t>
        </is>
      </c>
      <c r="G24" s="119" t="inlineStr">
        <is>
          <t>Permite ao conjurador lançar qualquer magia do jogo (mesmo de outros elementos) dobrando o dano total</t>
        </is>
      </c>
      <c r="H24" s="119" t="inlineStr">
        <is>
          <t>Cada conjuração queima permanentemente 1 ponto de Mana Máxima do personagem durante toda a campanha</t>
        </is>
      </c>
      <c r="I24" s="119" t="n">
        <v>3500</v>
      </c>
      <c r="J24" s="119" t="inlineStr">
        <is>
          <t>O livro escrito com o sangue dos dez primeiros cultistas que apertaram a Mão quando ela tocou a terra.</t>
        </is>
      </c>
      <c r="K24" s="119" t="inlineStr">
        <is>
          <t>Artefato/Relíquia</t>
        </is>
      </c>
      <c r="N24" s="115" t="inlineStr">
        <is>
          <t>Não</t>
        </is>
      </c>
    </row>
    <row r="25" ht="15" customHeight="1" s="116">
      <c r="A25" s="119" t="n">
        <v>22</v>
      </c>
      <c r="B25" s="119" t="inlineStr">
        <is>
          <t>A Lâmina da Fenda Primordial</t>
        </is>
      </c>
      <c r="C25" s="119" t="inlineStr">
        <is>
          <t>Arma Cósmica (Espada Astral de Luz Sólida)</t>
        </is>
      </c>
      <c r="D25" s="119" t="inlineStr">
        <is>
          <t>Tier 14 (Ato V)</t>
        </is>
      </c>
      <c r="E25" s="119" t="inlineStr">
        <is>
          <t>Além do Portal Estelar (O Vazio Cósmico)</t>
        </is>
      </c>
      <c r="F25" s="119" t="inlineStr">
        <is>
          <t>INT 20 e SAB 20</t>
        </is>
      </c>
      <c r="G25" s="119" t="inlineStr">
        <is>
          <t>Dano: 280 (Mítico); corta a própria linha do tempo impedindo que o inimigo reaja ou contra-ataque no mesmo turno</t>
        </is>
      </c>
      <c r="H25" s="119" t="inlineStr">
        <is>
          <t>A presença do portador começa a se apagar da realidade; NPCs comuns das cidades esquecem quem ele é após 1 dia</t>
        </is>
      </c>
      <c r="I25" s="119" t="n">
        <v>5000</v>
      </c>
      <c r="J25" s="119" t="inlineStr">
        <is>
          <t>Não foi forjada por mãos humanas nem divinas; é a própria lâmina que separou o mundo material do abismo.</t>
        </is>
      </c>
      <c r="K25" s="119" t="inlineStr">
        <is>
          <t>Artefato/Relíquia</t>
        </is>
      </c>
      <c r="N25" s="115" t="inlineStr">
        <is>
          <t>Sim</t>
        </is>
      </c>
    </row>
    <row r="26" ht="15" customHeight="1" s="116">
      <c r="A26" s="119" t="n">
        <v>23</v>
      </c>
      <c r="B26" s="119" t="inlineStr">
        <is>
          <t>O Cálice da Erradicação</t>
        </is>
      </c>
      <c r="C26" s="119" t="inlineStr">
        <is>
          <t>Relíquia Final da Campanha</t>
        </is>
      </c>
      <c r="D26" s="119" t="inlineStr">
        <is>
          <t>Tier 14 (Ato V)</t>
        </is>
      </c>
      <c r="E26" s="119" t="inlineStr">
        <is>
          <t>O Limiar (Altar do Clímax)</t>
        </is>
      </c>
      <c r="F26" s="119" t="inlineStr">
        <is>
          <t>Reunir os 5 Fragmentos do Aspecto</t>
        </is>
      </c>
      <c r="G26" s="119" t="inlineStr">
        <is>
          <t>É o único recipiente capaz de absorver e selar eternamente a Centelha do Aspecto da Infecção impedindo o ciclo</t>
        </is>
      </c>
      <c r="H26" s="119" t="inlineStr">
        <is>
          <t>Exige que o herói entregue sua memória mais preciosa ou seu vínculo mais forte para selar a Mão para sempre</t>
        </is>
      </c>
      <c r="I26" s="119" t="inlineStr">
        <is>
          <t>Inestimável (Fim de Jogo)</t>
        </is>
      </c>
      <c r="J26" s="119" t="inlineStr">
        <is>
          <t>O artefato pelo qual civilizações inteiras foram sacrificadas na esperança de que alguém um dia terminasse o trabalho.</t>
        </is>
      </c>
      <c r="K26" s="119" t="inlineStr">
        <is>
          <t>Artefato/Relíquia</t>
        </is>
      </c>
      <c r="N26" s="115" t="inlineStr">
        <is>
          <t>Não</t>
        </is>
      </c>
    </row>
    <row r="27" ht="15" customHeight="1" s="116">
      <c r="A27" s="119" t="n">
        <v>24</v>
      </c>
      <c r="B27" s="119" t="inlineStr">
        <is>
          <t>O Facão do Colhedor</t>
        </is>
      </c>
      <c r="C27" s="119" t="inlineStr">
        <is>
          <t>Arma Lendária (Facão de Sucata)</t>
        </is>
      </c>
      <c r="D27" s="119" t="inlineStr">
        <is>
          <t>Tier 1 (Ato I)</t>
        </is>
      </c>
      <c r="E27" s="119" t="inlineStr">
        <is>
          <t>Butim do Colhedor do Primeiro Sangue</t>
        </is>
      </c>
      <c r="F27" s="119" t="inlineStr">
        <is>
          <t>Derrotar o Colhedor do Primeiro Sangue</t>
        </is>
      </c>
      <c r="G27" s="119" t="inlineStr">
        <is>
          <t>Cura 20% do dano causado como HP ao acertar</t>
        </is>
      </c>
      <c r="H27" s="119" t="inlineStr">
        <is>
          <t>Nenhuma maldição conhecida</t>
        </is>
      </c>
      <c r="I27" s="119" t="n">
        <v>180</v>
      </c>
      <c r="J27" s="119" t="inlineStr">
        <is>
          <t>Pertenceu ao cultista que achava que colher sangue era um ato de fé.</t>
        </is>
      </c>
      <c r="K27" s="119" t="inlineStr">
        <is>
          <t>Lendário</t>
        </is>
      </c>
      <c r="L27" s="119">
        <f>ROUND(INDEX(Tiers!$I$9:$I$22,MATCH("Sucata Enferrujada",Tiers!$B$9:$B$22,0))*1*1,0)</f>
        <v/>
      </c>
      <c r="M27" s="119" t="n">
        <v>1</v>
      </c>
      <c r="N27" s="115" t="inlineStr">
        <is>
          <t>Sim</t>
        </is>
      </c>
    </row>
    <row r="28" ht="15" customHeight="1" s="116">
      <c r="A28" s="119" t="n">
        <v>25</v>
      </c>
      <c r="B28" s="119" t="inlineStr">
        <is>
          <t>A Adaga da Velha Martha</t>
        </is>
      </c>
      <c r="C28" s="119" t="inlineStr">
        <is>
          <t>Arma Lendária (Adaga)</t>
        </is>
      </c>
      <c r="D28" s="119" t="inlineStr">
        <is>
          <t>Tier 1 (Ato I)</t>
        </is>
      </c>
      <c r="E28" s="119" t="inlineStr">
        <is>
          <t>Presente da Velha Martha, Valória</t>
        </is>
      </c>
      <c r="F28" s="119" t="inlineStr">
        <is>
          <t>Concluir "O Chá da Velha Martha" em bons termos</t>
        </is>
      </c>
      <c r="G28" s="119" t="inlineStr">
        <is>
          <t>Cura 5 HP ao acertar um golpe crítico</t>
        </is>
      </c>
      <c r="H28" s="119" t="inlineStr">
        <is>
          <t>Nenhuma maldição conhecida</t>
        </is>
      </c>
      <c r="I28" s="119" t="n">
        <v>60</v>
      </c>
      <c r="J28" s="119" t="inlineStr">
        <is>
          <t>Feita pra cortar erva. Aprendeu a cortar carne.</t>
        </is>
      </c>
      <c r="K28" s="119" t="inlineStr">
        <is>
          <t>Lendário</t>
        </is>
      </c>
      <c r="L28" s="119">
        <f>ROUND(INDEX(Tiers!$I$9:$I$22,MATCH("Sucata Enferrujada",Tiers!$B$9:$B$22,0))*0.8*1,0)</f>
        <v/>
      </c>
      <c r="M28" s="119" t="n">
        <v>1</v>
      </c>
      <c r="N28" s="115" t="inlineStr">
        <is>
          <t>Sim</t>
        </is>
      </c>
    </row>
    <row r="29" ht="15" customHeight="1" s="116">
      <c r="A29" s="119" t="n">
        <v>26</v>
      </c>
      <c r="B29" s="119" t="inlineStr">
        <is>
          <t>O Escudo de Vane</t>
        </is>
      </c>
      <c r="C29" s="119" t="inlineStr">
        <is>
          <t>Armadura Lendária (Escudo)</t>
        </is>
      </c>
      <c r="D29" s="119" t="inlineStr">
        <is>
          <t>Tier 1 (Ato I)</t>
        </is>
      </c>
      <c r="E29" s="119" t="inlineStr">
        <is>
          <t>Capitão Vane, Valória</t>
        </is>
      </c>
      <c r="F29" s="119" t="inlineStr">
        <is>
          <t>Alta reputação com a Milícia dos Desamparados</t>
        </is>
      </c>
      <c r="G29" s="119" t="inlineStr">
        <is>
          <t>Reduz em 3 o dano do primeiro golpe recebido em cada combate</t>
        </is>
      </c>
      <c r="H29" s="119" t="inlineStr">
        <is>
          <t>Nenhuma maldição conhecida</t>
        </is>
      </c>
      <c r="I29" s="119" t="n">
        <v>120</v>
      </c>
      <c r="J29" s="119" t="inlineStr">
        <is>
          <t>Ele não conseguiu proteger a capital. Talvez proteja você.</t>
        </is>
      </c>
      <c r="K29" s="119" t="inlineStr">
        <is>
          <t>Lendário</t>
        </is>
      </c>
      <c r="L29" s="119">
        <f>ROUND(ROUND(INDEX('Curva Mestra'!$D$20:$D$94,MATCH(INDEX(Tiers!$E$9:$E$22,MATCH("Sucata Enferrujada",Tiers!$B$9:$B$22,0)),'Curva Mestra'!$A$20:$A$94,0)),0)*0.15*Tiers!$B$5*1,0)</f>
        <v/>
      </c>
      <c r="M29" s="119" t="n">
        <v>1</v>
      </c>
      <c r="N29" s="115" t="inlineStr">
        <is>
          <t>Sim</t>
        </is>
      </c>
    </row>
    <row r="30" ht="15" customHeight="1" s="116">
      <c r="A30" s="119" t="n">
        <v>27</v>
      </c>
      <c r="B30" s="119" t="inlineStr">
        <is>
          <t>O Amuleto do Último Peregrino</t>
        </is>
      </c>
      <c r="C30" s="119" t="inlineStr">
        <is>
          <t>Acessório Lendário (Amuleto)</t>
        </is>
      </c>
      <c r="D30" s="119" t="inlineStr">
        <is>
          <t>Tier 1 (Ato I)</t>
        </is>
      </c>
      <c r="E30" s="119" t="inlineStr">
        <is>
          <t>Estrada dos Bandidos</t>
        </is>
      </c>
      <c r="F30" s="119" t="inlineStr">
        <is>
          <t>Encontrado como loot raro na Estrada dos Bandidos</t>
        </is>
      </c>
      <c r="G30" s="119" t="inlineStr">
        <is>
          <t>+2 em testes pra resistir a Imobilização</t>
        </is>
      </c>
      <c r="H30" s="119" t="inlineStr">
        <is>
          <t>Nenhuma maldição conhecida</t>
        </is>
      </c>
      <c r="I30" s="119" t="n">
        <v>70</v>
      </c>
      <c r="J30" s="119" t="inlineStr">
        <is>
          <t>Pertenceu a alguém que quase escapou. Você ainda pode.</t>
        </is>
      </c>
      <c r="K30" s="119" t="inlineStr">
        <is>
          <t>Lendário</t>
        </is>
      </c>
      <c r="L30" s="119" t="inlineStr">
        <is>
          <t>—</t>
        </is>
      </c>
      <c r="M30" s="119" t="n">
        <v>1</v>
      </c>
      <c r="N30" s="115" t="inlineStr">
        <is>
          <t>Sim</t>
        </is>
      </c>
    </row>
    <row r="31" ht="15" customHeight="1" s="116">
      <c r="A31" s="119" t="n">
        <v>28</v>
      </c>
      <c r="B31" s="119" t="inlineStr">
        <is>
          <t>A Picareta de Grimm</t>
        </is>
      </c>
      <c r="C31" s="119" t="inlineStr">
        <is>
          <t>Arma Lendária (Picareta de Bronze)</t>
        </is>
      </c>
      <c r="D31" s="119" t="inlineStr">
        <is>
          <t>Tier 2 (Ato I)</t>
        </is>
      </c>
      <c r="E31" s="119" t="inlineStr">
        <is>
          <t>Cinzenta</t>
        </is>
      </c>
      <c r="F31" s="119" t="inlineStr">
        <is>
          <t>Concluir "Os Livros de Grimm" e confrontar o Barão</t>
        </is>
      </c>
      <c r="G31" s="119" t="inlineStr">
        <is>
          <t>Ignora 2 pontos de Defesa contra golens e constructos</t>
        </is>
      </c>
      <c r="H31" s="119" t="inlineStr">
        <is>
          <t>Nenhuma maldição conhecida</t>
        </is>
      </c>
      <c r="I31" s="119" t="n">
        <v>250</v>
      </c>
      <c r="J31" s="119" t="inlineStr">
        <is>
          <t>Ele nunca cavou pessoalmente. Essa picareta cavou por ele, e ele só ficou com o crédito.</t>
        </is>
      </c>
      <c r="K31" s="119" t="inlineStr">
        <is>
          <t>Lendário</t>
        </is>
      </c>
      <c r="L31" s="119">
        <f>ROUND(INDEX(Tiers!$I$9:$I$22,MATCH("Bronze",Tiers!$B$9:$B$22,0))*1*1,0)</f>
        <v/>
      </c>
      <c r="M31" s="119" t="n">
        <v>1</v>
      </c>
      <c r="N31" s="115" t="inlineStr">
        <is>
          <t>Sim</t>
        </is>
      </c>
    </row>
    <row r="32" ht="15" customHeight="1" s="116">
      <c r="A32" s="119" t="n">
        <v>29</v>
      </c>
      <c r="B32" s="119" t="inlineStr">
        <is>
          <t>A Lâmina do Contrato Selado</t>
        </is>
      </c>
      <c r="C32" s="119" t="inlineStr">
        <is>
          <t>Arma Lendária (Espada de Bronze)</t>
        </is>
      </c>
      <c r="D32" s="119" t="inlineStr">
        <is>
          <t>Tier 2 (Ato I)</t>
        </is>
      </c>
      <c r="E32" s="119" t="inlineStr">
        <is>
          <t>Guilda dos Picaretas Negros</t>
        </is>
      </c>
      <c r="F32" s="119" t="inlineStr">
        <is>
          <t>Loot raro de Zelotes/Capatazes da Guilda</t>
        </is>
      </c>
      <c r="G32" s="119" t="inlineStr">
        <is>
          <t>+3 de dano contra criaturas ligadas à Guilda dos Picaretas Negros</t>
        </is>
      </c>
      <c r="H32" s="119" t="inlineStr">
        <is>
          <t>Nenhuma maldição conhecida</t>
        </is>
      </c>
      <c r="I32" s="119" t="n">
        <v>240</v>
      </c>
      <c r="J32" s="119" t="inlineStr">
        <is>
          <t>Assinada com sangue em vez de tinta — a Guilda não aceita menos.</t>
        </is>
      </c>
      <c r="K32" s="119" t="inlineStr">
        <is>
          <t>Lendário</t>
        </is>
      </c>
      <c r="L32" s="119">
        <f>ROUND(INDEX(Tiers!$I$9:$I$22,MATCH("Bronze",Tiers!$B$9:$B$22,0))*1*1,0)</f>
        <v/>
      </c>
      <c r="M32" s="119" t="n">
        <v>1</v>
      </c>
      <c r="N32" s="115" t="inlineStr">
        <is>
          <t>Sim</t>
        </is>
      </c>
    </row>
    <row r="33" ht="15" customHeight="1" s="116">
      <c r="A33" s="119" t="n">
        <v>30</v>
      </c>
      <c r="B33" s="119" t="inlineStr">
        <is>
          <t>A Couraça do Fundo do Poço</t>
        </is>
      </c>
      <c r="C33" s="119" t="inlineStr">
        <is>
          <t>Armadura Lendária (Peitoral de Bronze)</t>
        </is>
      </c>
      <c r="D33" s="119" t="inlineStr">
        <is>
          <t>Tier 2 (Ato I)</t>
        </is>
      </c>
      <c r="E33" s="119" t="inlineStr">
        <is>
          <t>Poço Inundado da Mina de Bronze</t>
        </is>
      </c>
      <c r="F33" s="119" t="inlineStr">
        <is>
          <t>Recuperada no fundo do Poço Inundado</t>
        </is>
      </c>
      <c r="G33" s="119" t="inlineStr">
        <is>
          <t>1x por combate, ignora completamente um golpe crítico recebido</t>
        </is>
      </c>
      <c r="H33" s="119" t="inlineStr">
        <is>
          <t>Nenhuma maldição conhecida</t>
        </is>
      </c>
      <c r="I33" s="119" t="n">
        <v>260</v>
      </c>
      <c r="J33" s="119" t="inlineStr">
        <is>
          <t>Ficou submersa tempo demais pra enferrujar direito — e tempo demais pra alguém ir buscar.</t>
        </is>
      </c>
      <c r="K33" s="119" t="inlineStr">
        <is>
          <t>Lendário</t>
        </is>
      </c>
      <c r="L33" s="119">
        <f>ROUND(ROUND(INDEX('Curva Mestra'!$D$20:$D$94,MATCH(INDEX(Tiers!$E$9:$E$22,MATCH("Bronze",Tiers!$B$9:$B$22,0)),'Curva Mestra'!$A$20:$A$94,0)),0)*0.26*Tiers!$B$5*1,0)</f>
        <v/>
      </c>
      <c r="M33" s="119" t="n">
        <v>1</v>
      </c>
      <c r="N33" s="115" t="inlineStr">
        <is>
          <t>Sim</t>
        </is>
      </c>
    </row>
    <row r="34" ht="15" customHeight="1" s="116">
      <c r="A34" s="119" t="n">
        <v>31</v>
      </c>
      <c r="B34" s="119" t="inlineStr">
        <is>
          <t>O Anel do Débito Eterno</t>
        </is>
      </c>
      <c r="C34" s="119" t="inlineStr">
        <is>
          <t>Acessório Lendário (Anel de Bronze)</t>
        </is>
      </c>
      <c r="D34" s="119" t="inlineStr">
        <is>
          <t>Tier 2 (Ato I)</t>
        </is>
      </c>
      <c r="E34" s="119" t="inlineStr">
        <is>
          <t>Guilda dos Picaretas Negros</t>
        </is>
      </c>
      <c r="F34" s="119" t="inlineStr">
        <is>
          <t>Loot raro em confrontos com a Guilda</t>
        </is>
      </c>
      <c r="G34" s="119" t="inlineStr">
        <is>
          <t>Vende itens a mercadores por +10% de Ouro</t>
        </is>
      </c>
      <c r="H34" s="119" t="inlineStr">
        <is>
          <t>Todo mundo que usou esse anel morreu devendo — efeito colateral narrativo, sem penalidade mecânica</t>
        </is>
      </c>
      <c r="I34" s="119" t="n">
        <v>150</v>
      </c>
      <c r="J34" s="119" t="inlineStr">
        <is>
          <t>Todo mundo que usou esse anel morreu devendo. Isso não impediu ninguém de tentar a sorte com ele.</t>
        </is>
      </c>
      <c r="K34" s="119" t="inlineStr">
        <is>
          <t>Lendário</t>
        </is>
      </c>
      <c r="L34" s="119" t="inlineStr">
        <is>
          <t>—</t>
        </is>
      </c>
      <c r="M34" s="119" t="n">
        <v>1</v>
      </c>
      <c r="N34" s="115" t="inlineStr">
        <is>
          <t>Sim</t>
        </is>
      </c>
    </row>
    <row r="35" ht="15" customHeight="1" s="116">
      <c r="A35" s="119" t="n">
        <v>32</v>
      </c>
      <c r="B35" s="119" t="inlineStr">
        <is>
          <t>A Espada do Executor</t>
        </is>
      </c>
      <c r="C35" s="119" t="inlineStr">
        <is>
          <t>Arma Lendária (Espada de Ferro)</t>
        </is>
      </c>
      <c r="D35" s="119" t="inlineStr">
        <is>
          <t>Tier 3 (Ato I)</t>
        </is>
      </c>
      <c r="E35" s="119" t="inlineStr">
        <is>
          <t>Ruínas da Antiga Forja (Câmara do Autômato)</t>
        </is>
      </c>
      <c r="F35" s="119" t="inlineStr">
        <is>
          <t>Derrotar O Executor da Forja Velha</t>
        </is>
      </c>
      <c r="G35" s="119" t="inlineStr">
        <is>
          <t>No primeiro turno de combate, causa dano de fogo em dobro</t>
        </is>
      </c>
      <c r="H35" s="119" t="inlineStr">
        <is>
          <t>Nenhuma maldição conhecida</t>
        </is>
      </c>
      <c r="I35" s="119" t="n">
        <v>300</v>
      </c>
      <c r="J35" s="119" t="inlineStr">
        <is>
          <t>Erguida junto com o autômato que ainda tenta forjar armas nos invasores.</t>
        </is>
      </c>
      <c r="K35" s="119" t="inlineStr">
        <is>
          <t>Lendário</t>
        </is>
      </c>
      <c r="L35" s="119">
        <f>ROUND(INDEX(Tiers!$I$9:$I$22,MATCH("Ferro",Tiers!$B$9:$B$22,0))*1*1,0)</f>
        <v/>
      </c>
      <c r="M35" s="119" t="n">
        <v>1</v>
      </c>
      <c r="N35" s="115" t="inlineStr">
        <is>
          <t>Sim</t>
        </is>
      </c>
    </row>
    <row r="36" ht="15" customHeight="1" s="116">
      <c r="A36" s="119" t="n">
        <v>33</v>
      </c>
      <c r="B36" s="119" t="inlineStr">
        <is>
          <t>O Machado do Primeiro Marcado</t>
        </is>
      </c>
      <c r="C36" s="119" t="inlineStr">
        <is>
          <t>Arma Lendária (Machado de Ferro)</t>
        </is>
      </c>
      <c r="D36" s="119" t="inlineStr">
        <is>
          <t>Tier 3 (Ato I)</t>
        </is>
      </c>
      <c r="E36" s="119" t="inlineStr">
        <is>
          <t>Local do confronto final do Ato I</t>
        </is>
      </c>
      <c r="F36" s="119" t="inlineStr">
        <is>
          <t>Derrotar O Primeiro Marcado</t>
        </is>
      </c>
      <c r="G36" s="119" t="inlineStr">
        <is>
          <t>+2 de Ataque contra cultistas do Culto dos Primeiros Marcados</t>
        </is>
      </c>
      <c r="H36" s="119" t="inlineStr">
        <is>
          <t>Nenhuma maldição conhecida</t>
        </is>
      </c>
      <c r="I36" s="119" t="n">
        <v>320</v>
      </c>
      <c r="J36" s="119" t="inlineStr">
        <is>
          <t>Pertenceu à primeira pessoa tocada pela Mão Carmesim na região — carrega o peso de uma fé que nunca devia ter existido.</t>
        </is>
      </c>
      <c r="K36" s="119" t="inlineStr">
        <is>
          <t>Lendário</t>
        </is>
      </c>
      <c r="L36" s="119">
        <f>ROUND(INDEX(Tiers!$I$9:$I$22,MATCH("Ferro",Tiers!$B$9:$B$22,0))*1.2*1,0)</f>
        <v/>
      </c>
      <c r="M36" s="119" t="n">
        <v>1</v>
      </c>
      <c r="N36" s="115" t="inlineStr">
        <is>
          <t>Sim</t>
        </is>
      </c>
    </row>
    <row r="37" ht="15" customHeight="1" s="116">
      <c r="A37" s="119" t="n">
        <v>34</v>
      </c>
      <c r="B37" s="119" t="inlineStr">
        <is>
          <t>O Elmo do Capitão Sem Nome</t>
        </is>
      </c>
      <c r="C37" s="119" t="inlineStr">
        <is>
          <t>Armadura Lendária (Elmo de Ferro)</t>
        </is>
      </c>
      <c r="D37" s="119" t="inlineStr">
        <is>
          <t>Tier 3 (Ato I)</t>
        </is>
      </c>
      <c r="E37" s="119" t="inlineStr">
        <is>
          <t>Ruínas da Antiga Forja</t>
        </is>
      </c>
      <c r="F37" s="119" t="inlineStr">
        <is>
          <t>Loot raro na Câmara do Capitão</t>
        </is>
      </c>
      <c r="G37" s="119" t="inlineStr">
        <is>
          <t>Ignora o primeiro efeito de Medo ou Intimidação sofrido em cada combate</t>
        </is>
      </c>
      <c r="H37" s="119" t="inlineStr">
        <is>
          <t>Nenhuma maldição conhecida</t>
        </is>
      </c>
      <c r="I37" s="119" t="n">
        <v>210</v>
      </c>
      <c r="J37" s="119" t="inlineStr">
        <is>
          <t>Pertenceu a um capitão cujo nome ninguém registrou — só o posto.</t>
        </is>
      </c>
      <c r="K37" s="119" t="inlineStr">
        <is>
          <t>Lendário</t>
        </is>
      </c>
      <c r="L37" s="119">
        <f>ROUND(ROUND(INDEX('Curva Mestra'!$D$20:$D$94,MATCH(INDEX(Tiers!$E$9:$E$22,MATCH("Ferro",Tiers!$B$9:$B$22,0)),'Curva Mestra'!$A$20:$A$94,0)),0)*0.11*Tiers!$B$5*1,0)</f>
        <v/>
      </c>
      <c r="M37" s="119" t="n">
        <v>1</v>
      </c>
      <c r="N37" s="115" t="inlineStr">
        <is>
          <t>Sim</t>
        </is>
      </c>
    </row>
    <row r="38" ht="15" customHeight="1" s="116">
      <c r="A38" s="119" t="n">
        <v>35</v>
      </c>
      <c r="B38" s="119" t="inlineStr">
        <is>
          <t>O Sinete do Posto Perdido</t>
        </is>
      </c>
      <c r="C38" s="119" t="inlineStr">
        <is>
          <t>Acessório Lendário (Anel)</t>
        </is>
      </c>
      <c r="D38" s="119" t="inlineStr">
        <is>
          <t>Tier 3 (Ato I)</t>
        </is>
      </c>
      <c r="E38" s="119" t="inlineStr">
        <is>
          <t>Posto de guarda em ruínas</t>
        </is>
      </c>
      <c r="F38" s="119" t="inlineStr">
        <is>
          <t>Loot raro contra mortos-vivos da região</t>
        </is>
      </c>
      <c r="G38" s="119" t="inlineStr">
        <is>
          <t>+1 de Bônus de Ataque contra Mortos-Vivos</t>
        </is>
      </c>
      <c r="H38" s="119" t="inlineStr">
        <is>
          <t>Nenhuma maldição conhecida</t>
        </is>
      </c>
      <c r="I38" s="119" t="n">
        <v>180</v>
      </c>
      <c r="J38" s="119" t="inlineStr">
        <is>
          <t>Selo de um posto de guarda que caiu antes de qualquer reforço chegar.</t>
        </is>
      </c>
      <c r="K38" s="119" t="inlineStr">
        <is>
          <t>Lendário</t>
        </is>
      </c>
      <c r="L38" s="119" t="inlineStr">
        <is>
          <t>—</t>
        </is>
      </c>
      <c r="M38" s="119" t="n">
        <v>1</v>
      </c>
      <c r="N38" s="115" t="inlineStr">
        <is>
          <t>Sim</t>
        </is>
      </c>
    </row>
    <row r="39" ht="15" customHeight="1" s="116">
      <c r="A39" s="119" t="n">
        <v>36</v>
      </c>
      <c r="B39" s="119" t="inlineStr">
        <is>
          <t>A Espada da Irmã Valéria</t>
        </is>
      </c>
      <c r="C39" s="119" t="inlineStr">
        <is>
          <t>Arma Lendária (Espada de Prata)</t>
        </is>
      </c>
      <c r="D39" s="119" t="inlineStr">
        <is>
          <t>Tier 4 (Ato II)</t>
        </is>
      </c>
      <c r="E39" s="119" t="inlineStr">
        <is>
          <t>Criptas de Prata</t>
        </is>
      </c>
      <c r="F39" s="119" t="inlineStr">
        <is>
          <t>Concluir "O Voto de Valéria"</t>
        </is>
      </c>
      <c r="G39" s="119" t="inlineStr">
        <is>
          <t>Causa +50% de dano contra Mortos-Vivos</t>
        </is>
      </c>
      <c r="H39" s="119" t="inlineStr">
        <is>
          <t>Nenhuma maldição conhecida</t>
        </is>
      </c>
      <c r="I39" s="119" t="n">
        <v>350</v>
      </c>
      <c r="J39" s="119" t="inlineStr">
        <is>
          <t>Forjada pro dia em que orar não bastasse mais.</t>
        </is>
      </c>
      <c r="K39" s="119" t="inlineStr">
        <is>
          <t>Lendário</t>
        </is>
      </c>
      <c r="L39" s="119">
        <f>ROUND(INDEX(Tiers!$I$9:$I$22,MATCH("Prata",Tiers!$B$9:$B$22,0))*1*0.85,0)</f>
        <v/>
      </c>
      <c r="M39" s="119" t="n">
        <v>0.85</v>
      </c>
      <c r="N39" s="115" t="inlineStr">
        <is>
          <t>Sim</t>
        </is>
      </c>
    </row>
    <row r="40" ht="15" customHeight="1" s="116">
      <c r="A40" s="119" t="n">
        <v>37</v>
      </c>
      <c r="B40" s="119" t="inlineStr">
        <is>
          <t>O Machado do Coveiro Silencioso</t>
        </is>
      </c>
      <c r="C40" s="119" t="inlineStr">
        <is>
          <t>Arma Lendária (Machado de Prata)</t>
        </is>
      </c>
      <c r="D40" s="119" t="inlineStr">
        <is>
          <t>Tier 4 (Ato II)</t>
        </is>
      </c>
      <c r="E40" s="119" t="inlineStr">
        <is>
          <t>Catedrais Soterradas</t>
        </is>
      </c>
      <c r="F40" s="119" t="inlineStr">
        <is>
          <t>Loot raro contra a Fraternidade dos Sem-Voz</t>
        </is>
      </c>
      <c r="G40" s="119" t="inlineStr">
        <is>
          <t>Cura 20% do dano causado como HP ao acertar um morto-vivo</t>
        </is>
      </c>
      <c r="H40" s="119" t="inlineStr">
        <is>
          <t>Nenhuma maldição conhecida</t>
        </is>
      </c>
      <c r="I40" s="119" t="n">
        <v>330</v>
      </c>
      <c r="J40" s="119" t="inlineStr">
        <is>
          <t>Pertenceu a um coveiro que parou de falar antes de parar de cavar.</t>
        </is>
      </c>
      <c r="K40" s="119" t="inlineStr">
        <is>
          <t>Lendário</t>
        </is>
      </c>
      <c r="L40" s="119">
        <f>ROUND(INDEX(Tiers!$I$9:$I$22,MATCH("Prata",Tiers!$B$9:$B$22,0))*1.2*1,0)</f>
        <v/>
      </c>
      <c r="M40" s="119" t="n">
        <v>1</v>
      </c>
      <c r="N40" s="115" t="inlineStr">
        <is>
          <t>Sim</t>
        </is>
      </c>
    </row>
    <row r="41" ht="15" customHeight="1" s="116">
      <c r="A41" s="119" t="n">
        <v>38</v>
      </c>
      <c r="B41" s="119" t="inlineStr">
        <is>
          <t>O Peitoral do Último Sacerdote</t>
        </is>
      </c>
      <c r="C41" s="119" t="inlineStr">
        <is>
          <t>Armadura Lendária (Peitoral de Prata)</t>
        </is>
      </c>
      <c r="D41" s="119" t="inlineStr">
        <is>
          <t>Tier 4 (Ato II)</t>
        </is>
      </c>
      <c r="E41" s="119" t="inlineStr">
        <is>
          <t>Criptas de Prata</t>
        </is>
      </c>
      <c r="F41" s="119" t="inlineStr">
        <is>
          <t>Loot raro na Catedral Soterrada</t>
        </is>
      </c>
      <c r="G41" s="119" t="inlineStr">
        <is>
          <t>Imune a efeitos de Medo causados por mortos-vivos</t>
        </is>
      </c>
      <c r="H41" s="119" t="inlineStr">
        <is>
          <t>Nenhuma maldição conhecida</t>
        </is>
      </c>
      <c r="I41" s="119" t="n">
        <v>300</v>
      </c>
      <c r="J41" s="119" t="inlineStr">
        <is>
          <t>Vestido por quem benzia a cripta todo dia, até não haver mais ninguém pra benzer.</t>
        </is>
      </c>
      <c r="K41" s="119" t="inlineStr">
        <is>
          <t>Lendário</t>
        </is>
      </c>
      <c r="L41" s="119">
        <f>ROUND(ROUND(INDEX('Curva Mestra'!$D$20:$D$94,MATCH(INDEX(Tiers!$E$9:$E$22,MATCH("Prata",Tiers!$B$9:$B$22,0)),'Curva Mestra'!$A$20:$A$94,0)),0)*0.26*Tiers!$B$5*1,0)</f>
        <v/>
      </c>
      <c r="M41" s="119" t="n">
        <v>1</v>
      </c>
      <c r="N41" s="115" t="inlineStr">
        <is>
          <t>Sim</t>
        </is>
      </c>
    </row>
    <row r="42" ht="15" customHeight="1" s="116">
      <c r="A42" s="119" t="n">
        <v>39</v>
      </c>
      <c r="B42" s="119" t="inlineStr">
        <is>
          <t>O Anel do Voto Selado</t>
        </is>
      </c>
      <c r="C42" s="119" t="inlineStr">
        <is>
          <t>Acessório Lendário (Anel de Prata)</t>
        </is>
      </c>
      <c r="D42" s="119" t="inlineStr">
        <is>
          <t>Tier 4 (Ato II)</t>
        </is>
      </c>
      <c r="E42" s="119" t="inlineStr">
        <is>
          <t>Criptas de Prata</t>
        </is>
      </c>
      <c r="F42" s="119" t="inlineStr">
        <is>
          <t>Concluir "A Irmã Traidora" poupando-a</t>
        </is>
      </c>
      <c r="G42" s="119" t="inlineStr">
        <is>
          <t>+2 em testes de Vontade contra a Fraternidade dos Sem-Voz</t>
        </is>
      </c>
      <c r="H42" s="119" t="inlineStr">
        <is>
          <t>Nenhuma maldição conhecida</t>
        </is>
      </c>
      <c r="I42" s="119" t="n">
        <v>220</v>
      </c>
      <c r="J42" s="119" t="inlineStr">
        <is>
          <t>Um voto de silêncio que ninguém teve coragem de quebrar — nem depois de morto.</t>
        </is>
      </c>
      <c r="K42" s="119" t="inlineStr">
        <is>
          <t>Lendário</t>
        </is>
      </c>
      <c r="L42" s="119" t="inlineStr">
        <is>
          <t>—</t>
        </is>
      </c>
      <c r="M42" s="119" t="n">
        <v>1</v>
      </c>
      <c r="N42" s="115" t="inlineStr">
        <is>
          <t>Sim</t>
        </is>
      </c>
    </row>
    <row r="43" ht="15" customHeight="1" s="116">
      <c r="A43" s="119" t="n">
        <v>40</v>
      </c>
      <c r="B43" s="119" t="inlineStr">
        <is>
          <t>O Arco de Silas</t>
        </is>
      </c>
      <c r="C43" s="119" t="inlineStr">
        <is>
          <t>Arma Lendária (Arco de Aço Élfico)</t>
        </is>
      </c>
      <c r="D43" s="119" t="inlineStr">
        <is>
          <t>Tier 5 (Ato II)</t>
        </is>
      </c>
      <c r="E43" s="119" t="inlineStr">
        <is>
          <t>Ruínas Élficas</t>
        </is>
      </c>
      <c r="F43" s="119" t="inlineStr">
        <is>
          <t>Concluir "O Luto de Silas"</t>
        </is>
      </c>
      <c r="G43" s="119" t="inlineStr">
        <is>
          <t>Vantagem em testes de Percepção contra emboscadas; +2 de dano contra a Ordem do Silêncio Eterno</t>
        </is>
      </c>
      <c r="H43" s="119" t="inlineStr">
        <is>
          <t>Nenhuma maldição conhecida</t>
        </is>
      </c>
      <c r="I43" s="119" t="n">
        <v>380</v>
      </c>
      <c r="J43" s="119" t="inlineStr">
        <is>
          <t>Ele jurou nunca mais ser pego de surpresa. Esse arco é a prova.</t>
        </is>
      </c>
      <c r="K43" s="119" t="inlineStr">
        <is>
          <t>Lendário</t>
        </is>
      </c>
      <c r="L43" s="119">
        <f>ROUND(INDEX(Tiers!$I$9:$I$22,MATCH("Aco Elfico",Tiers!$B$9:$B$22,0))*0.9*1,0)</f>
        <v/>
      </c>
      <c r="M43" s="119" t="n">
        <v>1</v>
      </c>
      <c r="N43" s="115" t="inlineStr">
        <is>
          <t>Sim</t>
        </is>
      </c>
    </row>
    <row r="44" ht="15" customHeight="1" s="116">
      <c r="A44" s="119" t="n">
        <v>41</v>
      </c>
      <c r="B44" s="119" t="inlineStr">
        <is>
          <t>A Adaga de Lyra</t>
        </is>
      </c>
      <c r="C44" s="119" t="inlineStr">
        <is>
          <t>Arma Lendária (Adaga de Aço Élfico)</t>
        </is>
      </c>
      <c r="D44" s="119" t="inlineStr">
        <is>
          <t>Tier 5 (Ato II)</t>
        </is>
      </c>
      <c r="E44" s="119" t="inlineStr">
        <is>
          <t>Ruínas Élficas</t>
        </is>
      </c>
      <c r="F44" s="119" t="inlineStr">
        <is>
          <t>Concluir "O Caçador de Conjuradores" salvando Lyra</t>
        </is>
      </c>
      <c r="G44" s="119" t="inlineStr">
        <is>
          <t>Recupera 1 ponto de Mana ao acertar um golpe crítico</t>
        </is>
      </c>
      <c r="H44" s="119" t="inlineStr">
        <is>
          <t>Nenhuma maldição conhecida</t>
        </is>
      </c>
      <c r="I44" s="119" t="n">
        <v>360</v>
      </c>
      <c r="J44" s="119" t="inlineStr">
        <is>
          <t>Ela nunca lutou pra matar. Só pra continuar tocando.</t>
        </is>
      </c>
      <c r="K44" s="119" t="inlineStr">
        <is>
          <t>Lendário</t>
        </is>
      </c>
      <c r="L44" s="119">
        <f>ROUND(INDEX(Tiers!$I$9:$I$22,MATCH("Aco Elfico",Tiers!$B$9:$B$22,0))*0.8*1,0)</f>
        <v/>
      </c>
      <c r="M44" s="119" t="n">
        <v>1</v>
      </c>
      <c r="N44" s="115" t="inlineStr">
        <is>
          <t>Sim</t>
        </is>
      </c>
    </row>
    <row r="45" ht="15" customHeight="1" s="116">
      <c r="A45" s="119" t="n">
        <v>42</v>
      </c>
      <c r="B45" s="119" t="inlineStr">
        <is>
          <t>O Peitoral de Elysea</t>
        </is>
      </c>
      <c r="C45" s="119" t="inlineStr">
        <is>
          <t>Armadura Lendária (Peitoral de Aço Élfico)</t>
        </is>
      </c>
      <c r="D45" s="119" t="inlineStr">
        <is>
          <t>Tier 5 (Ato II)</t>
        </is>
      </c>
      <c r="E45" s="119" t="inlineStr">
        <is>
          <t>Ecoril</t>
        </is>
      </c>
      <c r="F45" s="119" t="inlineStr">
        <is>
          <t>Alta reputação com a Vigília das Folhas de Prata</t>
        </is>
      </c>
      <c r="G45" s="119" t="inlineStr">
        <is>
          <t>+2 de Defesa contra ataques de conjuradores e magos</t>
        </is>
      </c>
      <c r="H45" s="119" t="inlineStr">
        <is>
          <t>Nenhuma maldição conhecida</t>
        </is>
      </c>
      <c r="I45" s="119" t="n">
        <v>340</v>
      </c>
      <c r="J45" s="119" t="inlineStr">
        <is>
          <t>Usado pela última regente élfica em cada negociação que evitou uma guerra.</t>
        </is>
      </c>
      <c r="K45" s="119" t="inlineStr">
        <is>
          <t>Lendário</t>
        </is>
      </c>
      <c r="L45" s="119">
        <f>ROUND(ROUND(INDEX('Curva Mestra'!$D$20:$D$94,MATCH(INDEX(Tiers!$E$9:$E$22,MATCH("Aco Elfico",Tiers!$B$9:$B$22,0)),'Curva Mestra'!$A$20:$A$94,0)),0)*0.26*Tiers!$B$5*1,0)</f>
        <v/>
      </c>
      <c r="M45" s="119" t="n">
        <v>1</v>
      </c>
      <c r="N45" s="115" t="inlineStr">
        <is>
          <t>Sim</t>
        </is>
      </c>
    </row>
    <row r="46" ht="15" customHeight="1" s="116">
      <c r="A46" s="119" t="n">
        <v>43</v>
      </c>
      <c r="B46" s="119" t="inlineStr">
        <is>
          <t>O Anel de Thrum</t>
        </is>
      </c>
      <c r="C46" s="119" t="inlineStr">
        <is>
          <t>Acessório Lendário (Anel de Aço Élfico)</t>
        </is>
      </c>
      <c r="D46" s="119" t="inlineStr">
        <is>
          <t>Tier 5 (Ato II)</t>
        </is>
      </c>
      <c r="E46" s="119" t="inlineStr">
        <is>
          <t>Ecoril</t>
        </is>
      </c>
      <c r="F46" s="119" t="inlineStr">
        <is>
          <t>Concluir "O Núcleo Desgovernado" ajudando Thrum</t>
        </is>
      </c>
      <c r="G46" s="119" t="inlineStr">
        <is>
          <t>Reduz em 50% o custo de reparo de equipamento</t>
        </is>
      </c>
      <c r="H46" s="119" t="inlineStr">
        <is>
          <t>Nenhuma maldição conhecida</t>
        </is>
      </c>
      <c r="I46" s="119" t="n">
        <v>260</v>
      </c>
      <c r="J46" s="119" t="inlineStr">
        <is>
          <t>Ele nunca confiou em magia. Confiava em parafuso e solda — e nisso, funcionava.</t>
        </is>
      </c>
      <c r="K46" s="119" t="inlineStr">
        <is>
          <t>Lendário</t>
        </is>
      </c>
      <c r="L46" s="119" t="inlineStr">
        <is>
          <t>—</t>
        </is>
      </c>
      <c r="M46" s="119" t="n">
        <v>1</v>
      </c>
      <c r="N46" s="115" t="inlineStr">
        <is>
          <t>Sim</t>
        </is>
      </c>
    </row>
    <row r="47" ht="15" customHeight="1" s="116">
      <c r="A47" s="119" t="n">
        <v>44</v>
      </c>
      <c r="B47" s="119" t="inlineStr">
        <is>
          <t>A Besta do Núcleo Ancestral</t>
        </is>
      </c>
      <c r="C47" s="119" t="inlineStr">
        <is>
          <t>Arma Lendária (Besta de Mecanismo Anão)</t>
        </is>
      </c>
      <c r="D47" s="119" t="inlineStr">
        <is>
          <t>Tier 6 (Ato II)</t>
        </is>
      </c>
      <c r="E47" s="119" t="inlineStr">
        <is>
          <t>Câmara Mecânica Anã</t>
        </is>
      </c>
      <c r="F47" s="119" t="inlineStr">
        <is>
          <t>Derrotar o Núcleo Mecânico Ancestral</t>
        </is>
      </c>
      <c r="G47" s="119" t="inlineStr">
        <is>
          <t>Ignora 3 pontos de Defesa contra constructos e autômatos</t>
        </is>
      </c>
      <c r="H47" s="119" t="inlineStr">
        <is>
          <t>Nenhuma maldição conhecida</t>
        </is>
      </c>
      <c r="I47" s="119" t="n">
        <v>420</v>
      </c>
      <c r="J47" s="119" t="inlineStr">
        <is>
          <t>Disparada uma vez contra o próprio Núcleo antes de perder o controle. Nunca mais errou o alvo.</t>
        </is>
      </c>
      <c r="K47" s="119" t="inlineStr">
        <is>
          <t>Lendário</t>
        </is>
      </c>
      <c r="L47" s="119">
        <f>ROUND(INDEX(Tiers!$I$9:$I$22,MATCH("Mecanismo Anao",Tiers!$B$9:$B$22,0))*0.9*1,0)</f>
        <v/>
      </c>
      <c r="M47" s="119" t="n">
        <v>1</v>
      </c>
      <c r="N47" s="115" t="inlineStr">
        <is>
          <t>Sim</t>
        </is>
      </c>
    </row>
    <row r="48" ht="15" customHeight="1" s="116">
      <c r="A48" s="119" t="n">
        <v>45</v>
      </c>
      <c r="B48" s="119" t="inlineStr">
        <is>
          <t>O Martelo do Colosso Contido</t>
        </is>
      </c>
      <c r="C48" s="119" t="inlineStr">
        <is>
          <t>Arma Lendária (Maça de Mecanismo Anão)</t>
        </is>
      </c>
      <c r="D48" s="119" t="inlineStr">
        <is>
          <t>Tier 6 (Ato II)</t>
        </is>
      </c>
      <c r="E48" s="119" t="inlineStr">
        <is>
          <t>Câmara Mecânica Anã</t>
        </is>
      </c>
      <c r="F48" s="119" t="inlineStr">
        <is>
          <t>Derrotar O Colosso a Vapor Desgovernado</t>
        </is>
      </c>
      <c r="G48" s="119" t="inlineStr">
        <is>
          <t>Causa dano em dobro contra construções mecânicas e escudos de metal</t>
        </is>
      </c>
      <c r="H48" s="119" t="inlineStr">
        <is>
          <t>Nenhuma maldição conhecida</t>
        </is>
      </c>
      <c r="I48" s="119" t="n">
        <v>400</v>
      </c>
      <c r="J48" s="119" t="inlineStr">
        <is>
          <t>Usado pra tentar desligar a máquina que ninguém mais sabia como parar.</t>
        </is>
      </c>
      <c r="K48" s="119" t="inlineStr">
        <is>
          <t>Lendário</t>
        </is>
      </c>
      <c r="L48" s="119">
        <f>ROUND(INDEX(Tiers!$I$9:$I$22,MATCH("Mecanismo Anao",Tiers!$B$9:$B$22,0))*1.1*1,0)</f>
        <v/>
      </c>
      <c r="M48" s="119" t="n">
        <v>1</v>
      </c>
      <c r="N48" s="115" t="inlineStr">
        <is>
          <t>Sim</t>
        </is>
      </c>
    </row>
    <row r="49" ht="15" customHeight="1" s="116">
      <c r="A49" s="119" t="n">
        <v>46</v>
      </c>
      <c r="B49" s="119" t="inlineStr">
        <is>
          <t>O Peitoral do Guardião do Puzzle</t>
        </is>
      </c>
      <c r="C49" s="119" t="inlineStr">
        <is>
          <t>Armadura Lendária (Peitoral de Mecanismo Anão)</t>
        </is>
      </c>
      <c r="D49" s="119" t="inlineStr">
        <is>
          <t>Tier 6 (Ato II)</t>
        </is>
      </c>
      <c r="E49" s="119" t="inlineStr">
        <is>
          <t>Câmara Mecânica Anã</t>
        </is>
      </c>
      <c r="F49" s="119" t="inlineStr">
        <is>
          <t>Concluir "O Relógio de Engrenagens Vivas" sem acionar a trava</t>
        </is>
      </c>
      <c r="G49" s="119" t="inlineStr">
        <is>
          <t>Reduz em 2 todo dano recebido de golpes de constructos</t>
        </is>
      </c>
      <c r="H49" s="119" t="inlineStr">
        <is>
          <t>Nenhuma maldição conhecida</t>
        </is>
      </c>
      <c r="I49" s="119" t="n">
        <v>360</v>
      </c>
      <c r="J49" s="119" t="inlineStr">
        <is>
          <t>Vestido por quem programou a última trava de segurança do puzzle central — e confiou nela até o fim.</t>
        </is>
      </c>
      <c r="K49" s="119" t="inlineStr">
        <is>
          <t>Lendário</t>
        </is>
      </c>
      <c r="L49" s="119">
        <f>ROUND(ROUND(INDEX('Curva Mestra'!$D$20:$D$94,MATCH(INDEX(Tiers!$E$9:$E$22,MATCH("Mecanismo Anao",Tiers!$B$9:$B$22,0)),'Curva Mestra'!$A$20:$A$94,0)),0)*0.26*Tiers!$B$5*1,0)</f>
        <v/>
      </c>
      <c r="M49" s="119" t="n">
        <v>1</v>
      </c>
      <c r="N49" s="115" t="inlineStr">
        <is>
          <t>Sim</t>
        </is>
      </c>
    </row>
    <row r="50" ht="15" customHeight="1" s="116">
      <c r="A50" s="119" t="n">
        <v>47</v>
      </c>
      <c r="B50" s="119" t="inlineStr">
        <is>
          <t>O Amuleto do Engenheiro Fantasma</t>
        </is>
      </c>
      <c r="C50" s="119" t="inlineStr">
        <is>
          <t>Acessório Lendário (Amuleto de Mecanismo Anão)</t>
        </is>
      </c>
      <c r="D50" s="119" t="inlineStr">
        <is>
          <t>Tier 6 (Ato II)</t>
        </is>
      </c>
      <c r="E50" s="119" t="inlineStr">
        <is>
          <t>Câmara Mecânica Anã</t>
        </is>
      </c>
      <c r="F50" s="119" t="inlineStr">
        <is>
          <t>Concluir "O Fiel Que Não Desistiu" terminando o projeto</t>
        </is>
      </c>
      <c r="G50" s="119" t="inlineStr">
        <is>
          <t>Cura 8 HP no início de cada turno enquanto abaixo de 30% de HP</t>
        </is>
      </c>
      <c r="H50" s="119" t="inlineStr">
        <is>
          <t>Nenhuma maldição conhecida</t>
        </is>
      </c>
      <c r="I50" s="119" t="n">
        <v>300</v>
      </c>
      <c r="J50" s="119" t="inlineStr">
        <is>
          <t>Ele nunca aceitou que o projeto não podia mais ser salvo. Esse amuleto foi seu último ajuste.</t>
        </is>
      </c>
      <c r="K50" s="119" t="inlineStr">
        <is>
          <t>Lendário</t>
        </is>
      </c>
      <c r="L50" s="119" t="inlineStr">
        <is>
          <t>—</t>
        </is>
      </c>
      <c r="M50" s="119" t="n">
        <v>1</v>
      </c>
      <c r="N50" s="115" t="inlineStr">
        <is>
          <t>Sim</t>
        </is>
      </c>
    </row>
    <row r="51" ht="15" customHeight="1" s="116">
      <c r="A51" s="119" t="n">
        <v>48</v>
      </c>
      <c r="B51" s="119" t="inlineStr">
        <is>
          <t>O Machado do Alto Forjador</t>
        </is>
      </c>
      <c r="C51" s="119" t="inlineStr">
        <is>
          <t>Arma Lendária (Machado de Vidro Vulcânico)</t>
        </is>
      </c>
      <c r="D51" s="119" t="inlineStr">
        <is>
          <t>Tier 7 (Ato III)</t>
        </is>
      </c>
      <c r="E51" s="119" t="inlineStr">
        <is>
          <t>Rocha Alta</t>
        </is>
      </c>
      <c r="F51" s="119" t="inlineStr">
        <is>
          <t>Alta reputação com o Conselho dos Mestres de Forja</t>
        </is>
      </c>
      <c r="G51" s="119" t="inlineStr">
        <is>
          <t>Aplica Queimadura severa (4 dano/turno por 2 turnos) ao acertar</t>
        </is>
      </c>
      <c r="H51" s="119" t="inlineStr">
        <is>
          <t>Nenhuma maldição conhecida</t>
        </is>
      </c>
      <c r="I51" s="119" t="n">
        <v>450</v>
      </c>
      <c r="J51" s="119" t="inlineStr">
        <is>
          <t>Ele nunca luta pessoalmente. Esse machado prova que já lutou o bastante.</t>
        </is>
      </c>
      <c r="K51" s="119" t="inlineStr">
        <is>
          <t>Lendário</t>
        </is>
      </c>
      <c r="L51" s="119">
        <f>ROUND(INDEX(Tiers!$I$9:$I$22,MATCH("Vidro Vulcanico",Tiers!$B$9:$B$22,0))*1.2*1,0)</f>
        <v/>
      </c>
      <c r="M51" s="119" t="n">
        <v>1</v>
      </c>
      <c r="N51" s="115" t="inlineStr">
        <is>
          <t>Sim</t>
        </is>
      </c>
    </row>
    <row r="52" ht="15" customHeight="1" s="116">
      <c r="A52" s="119" t="n">
        <v>49</v>
      </c>
      <c r="B52" s="119" t="inlineStr">
        <is>
          <t>A Adaga de Zafira</t>
        </is>
      </c>
      <c r="C52" s="119" t="inlineStr">
        <is>
          <t>Arma Lendária (Adaga de Vidro Vulcânico)</t>
        </is>
      </c>
      <c r="D52" s="119" t="inlineStr">
        <is>
          <t>Tier 7 (Ato III)</t>
        </is>
      </c>
      <c r="E52" s="119" t="inlineStr">
        <is>
          <t>Rocha Alta</t>
        </is>
      </c>
      <c r="F52" s="119" t="inlineStr">
        <is>
          <t>Concluir "Vidro Pra Forja" com bônus de confiança</t>
        </is>
      </c>
      <c r="G52" s="119" t="inlineStr">
        <is>
          <t>+50% de dano em combates próximos a lava ou fogo ativo</t>
        </is>
      </c>
      <c r="H52" s="119" t="inlineStr">
        <is>
          <t>Nenhuma maldição conhecida</t>
        </is>
      </c>
      <c r="I52" s="119" t="n">
        <v>420</v>
      </c>
      <c r="J52" s="119" t="inlineStr">
        <is>
          <t>Ela nunca precisou de espada. O fogo já fazia o trabalho por ela.</t>
        </is>
      </c>
      <c r="K52" s="119" t="inlineStr">
        <is>
          <t>Lendário</t>
        </is>
      </c>
      <c r="L52" s="119">
        <f>ROUND(INDEX(Tiers!$I$9:$I$22,MATCH("Vidro Vulcanico",Tiers!$B$9:$B$22,0))*0.8*0.85,0)</f>
        <v/>
      </c>
      <c r="M52" s="119" t="n">
        <v>0.85</v>
      </c>
      <c r="N52" s="115" t="inlineStr">
        <is>
          <t>Sim</t>
        </is>
      </c>
    </row>
    <row r="53" ht="15" customHeight="1" s="116">
      <c r="A53" s="119" t="n">
        <v>50</v>
      </c>
      <c r="B53" s="119" t="inlineStr">
        <is>
          <t>O Escudo do Arauto Caído</t>
        </is>
      </c>
      <c r="C53" s="119" t="inlineStr">
        <is>
          <t>Armadura Lendária (Escudo de Vidro Vulcânico)</t>
        </is>
      </c>
      <c r="D53" s="119" t="inlineStr">
        <is>
          <t>Tier 7 (Ato III)</t>
        </is>
      </c>
      <c r="E53" s="119" t="inlineStr">
        <is>
          <t>Fenda Vulcânica Ativa</t>
        </is>
      </c>
      <c r="F53" s="119" t="inlineStr">
        <is>
          <t>Derrotar O Arauto da Coroação Vazia</t>
        </is>
      </c>
      <c r="G53" s="119" t="inlineStr">
        <is>
          <t>Reduz em 50% o dano de Queimadura recebido</t>
        </is>
      </c>
      <c r="H53" s="119" t="inlineStr">
        <is>
          <t>Nenhuma maldição conhecida</t>
        </is>
      </c>
      <c r="I53" s="119" t="n">
        <v>400</v>
      </c>
      <c r="J53" s="119" t="inlineStr">
        <is>
          <t>Carregado por quem dizia falar pelo Rei sem corpo — ninguém mais sabe se ele acreditava nisso.</t>
        </is>
      </c>
      <c r="K53" s="119" t="inlineStr">
        <is>
          <t>Lendário</t>
        </is>
      </c>
      <c r="L53" s="119">
        <f>ROUND(ROUND(INDEX('Curva Mestra'!$D$20:$D$94,MATCH(INDEX(Tiers!$E$9:$E$22,MATCH("Vidro Vulcanico",Tiers!$B$9:$B$22,0)),'Curva Mestra'!$A$20:$A$94,0)),0)*0.15*Tiers!$B$5*1,0)</f>
        <v/>
      </c>
      <c r="M53" s="119" t="n">
        <v>1</v>
      </c>
      <c r="N53" s="115" t="inlineStr">
        <is>
          <t>Sim</t>
        </is>
      </c>
    </row>
    <row r="54" ht="15" customHeight="1" s="116">
      <c r="A54" s="119" t="n">
        <v>51</v>
      </c>
      <c r="B54" s="119" t="inlineStr">
        <is>
          <t>O Anel do Inquisidor Tobias</t>
        </is>
      </c>
      <c r="C54" s="119" t="inlineStr">
        <is>
          <t>Acessório Lendário (Anel de Vidro Vulcânico)</t>
        </is>
      </c>
      <c r="D54" s="119" t="inlineStr">
        <is>
          <t>Tier 7 (Ato III)</t>
        </is>
      </c>
      <c r="E54" s="119" t="inlineStr">
        <is>
          <t>Rocha Alta</t>
        </is>
      </c>
      <c r="F54" s="119" t="inlineStr">
        <is>
          <t>Concluir "O Sacrifício de Tobias"</t>
        </is>
      </c>
      <c r="G54" s="119" t="inlineStr">
        <is>
          <t>+2 de Ataque contra Zelotes da Mão Escarlate</t>
        </is>
      </c>
      <c r="H54" s="119" t="inlineStr">
        <is>
          <t>Nenhuma maldição conhecida</t>
        </is>
      </c>
      <c r="I54" s="119" t="n">
        <v>320</v>
      </c>
      <c r="J54" s="119" t="inlineStr">
        <is>
          <t>Ele perdeu a família pros Zelotes. Esse anel é a promessa de que eles vão perder mais.</t>
        </is>
      </c>
      <c r="K54" s="119" t="inlineStr">
        <is>
          <t>Lendário</t>
        </is>
      </c>
      <c r="L54" s="119" t="inlineStr">
        <is>
          <t>—</t>
        </is>
      </c>
      <c r="M54" s="119" t="n">
        <v>1</v>
      </c>
      <c r="N54" s="115" t="inlineStr">
        <is>
          <t>Sim</t>
        </is>
      </c>
    </row>
    <row r="55" ht="15" customHeight="1" s="116">
      <c r="A55" s="119" t="n">
        <v>52</v>
      </c>
      <c r="B55" s="119" t="inlineStr">
        <is>
          <t>O Machado de Malkor</t>
        </is>
      </c>
      <c r="C55" s="119" t="inlineStr">
        <is>
          <t>Arma Lendária (Machado de Ferro Órquico)</t>
        </is>
      </c>
      <c r="D55" s="119" t="inlineStr">
        <is>
          <t>Tier 8 (Ato III)</t>
        </is>
      </c>
      <c r="E55" s="119" t="inlineStr">
        <is>
          <t>Acampamento Orc</t>
        </is>
      </c>
      <c r="F55" s="119" t="inlineStr">
        <is>
          <t>Concluir "O Voto de Malkor"</t>
        </is>
      </c>
      <c r="G55" s="119" t="inlineStr">
        <is>
          <t>+3 de dano contra criaturas corrompidas pela Mão Carmesim</t>
        </is>
      </c>
      <c r="H55" s="119" t="inlineStr">
        <is>
          <t>Nenhuma maldição conhecida</t>
        </is>
      </c>
      <c r="I55" s="119" t="n">
        <v>480</v>
      </c>
      <c r="J55" s="119" t="inlineStr">
        <is>
          <t>Ele desertou no dia em que o chefe aceitou o sangue da Mão. Esse machado nunca aceitou nada.</t>
        </is>
      </c>
      <c r="K55" s="119" t="inlineStr">
        <is>
          <t>Lendário</t>
        </is>
      </c>
      <c r="L55" s="119">
        <f>ROUND(INDEX(Tiers!$I$9:$I$22,MATCH("Ferro Orquico",Tiers!$B$9:$B$22,0))*1.2*1,0)</f>
        <v/>
      </c>
      <c r="M55" s="119" t="n">
        <v>1</v>
      </c>
      <c r="N55" s="115" t="inlineStr">
        <is>
          <t>Sim</t>
        </is>
      </c>
    </row>
    <row r="56" ht="15" customHeight="1" s="116">
      <c r="A56" s="119" t="n">
        <v>53</v>
      </c>
      <c r="B56" s="119" t="inlineStr">
        <is>
          <t>A Adaga do Recruta Marcado</t>
        </is>
      </c>
      <c r="C56" s="119" t="inlineStr">
        <is>
          <t>Arma Lendária (Adaga de Ferro Órquico)</t>
        </is>
      </c>
      <c r="D56" s="119" t="inlineStr">
        <is>
          <t>Tier 8 (Ato III)</t>
        </is>
      </c>
      <c r="E56" s="119" t="inlineStr">
        <is>
          <t>Acampamento Orc</t>
        </is>
      </c>
      <c r="F56" s="119" t="inlineStr">
        <is>
          <t>Concluir "O Recruta Marcado" ajudando-o a fugir</t>
        </is>
      </c>
      <c r="G56" s="119" t="inlineStr">
        <is>
          <t>Causa +50% de dano contra alvos com menos de 30% de HP</t>
        </is>
      </c>
      <c r="H56" s="119" t="inlineStr">
        <is>
          <t>Nenhuma maldição conhecida</t>
        </is>
      </c>
      <c r="I56" s="119" t="n">
        <v>360</v>
      </c>
      <c r="J56" s="119" t="inlineStr">
        <is>
          <t>Pertencia a um jovem que escolheu fugir em vez de lutar por uma fé que não era dele.</t>
        </is>
      </c>
      <c r="K56" s="119" t="inlineStr">
        <is>
          <t>Lendário</t>
        </is>
      </c>
      <c r="L56" s="119">
        <f>ROUND(INDEX(Tiers!$I$9:$I$22,MATCH("Ferro Orquico",Tiers!$B$9:$B$22,0))*0.8*0.85,0)</f>
        <v/>
      </c>
      <c r="M56" s="119" t="n">
        <v>0.85</v>
      </c>
      <c r="N56" s="115" t="inlineStr">
        <is>
          <t>Sim</t>
        </is>
      </c>
    </row>
    <row r="57" ht="15" customHeight="1" s="116">
      <c r="A57" s="119" t="n">
        <v>54</v>
      </c>
      <c r="B57" s="119" t="inlineStr">
        <is>
          <t>O Peitoral do Campeão Cicatrizado</t>
        </is>
      </c>
      <c r="C57" s="119" t="inlineStr">
        <is>
          <t>Armadura Lendária (Peitoral de Ferro Órquico)</t>
        </is>
      </c>
      <c r="D57" s="119" t="inlineStr">
        <is>
          <t>Tier 8 (Ato III)</t>
        </is>
      </c>
      <c r="E57" s="119" t="inlineStr">
        <is>
          <t>Acampamento Orc</t>
        </is>
      </c>
      <c r="F57" s="119" t="inlineStr">
        <is>
          <t>Derrotar ou recrutar o Campeão Cicatrizado Orc</t>
        </is>
      </c>
      <c r="G57" s="119" t="inlineStr">
        <is>
          <t>+1 de Ataque a cada 20% de HP perdido em combate</t>
        </is>
      </c>
      <c r="H57" s="119" t="inlineStr">
        <is>
          <t>Nenhuma maldição conhecida</t>
        </is>
      </c>
      <c r="I57" s="119" t="n">
        <v>420</v>
      </c>
      <c r="J57" s="119" t="inlineStr">
        <is>
          <t>Cada cicatriz na couraça é uma luta que ele venceu — e uma que quase não venceu.</t>
        </is>
      </c>
      <c r="K57" s="119" t="inlineStr">
        <is>
          <t>Lendário</t>
        </is>
      </c>
      <c r="L57" s="119">
        <f>ROUND(ROUND(INDEX('Curva Mestra'!$D$20:$D$94,MATCH(INDEX(Tiers!$E$9:$E$22,MATCH("Ferro Orquico",Tiers!$B$9:$B$22,0)),'Curva Mestra'!$A$20:$A$94,0)),0)*0.26*Tiers!$B$5*1,0)</f>
        <v/>
      </c>
      <c r="M57" s="119" t="n">
        <v>1</v>
      </c>
      <c r="N57" s="115" t="inlineStr">
        <is>
          <t>Sim</t>
        </is>
      </c>
    </row>
    <row r="58" ht="15" customHeight="1" s="116">
      <c r="A58" s="119" t="n">
        <v>55</v>
      </c>
      <c r="B58" s="119" t="inlineStr">
        <is>
          <t>O Amuleto do Xamã do Sangue Negro</t>
        </is>
      </c>
      <c r="C58" s="119" t="inlineStr">
        <is>
          <t>Acessório Lendário (Amuleto de Ferro Órquico)</t>
        </is>
      </c>
      <c r="D58" s="119" t="inlineStr">
        <is>
          <t>Tier 8 (Ato III)</t>
        </is>
      </c>
      <c r="E58" s="119" t="inlineStr">
        <is>
          <t>Acampamento Orc</t>
        </is>
      </c>
      <c r="F58" s="119" t="inlineStr">
        <is>
          <t>Derrotar o Xamã do Sangue Negro</t>
        </is>
      </c>
      <c r="G58" s="119" t="inlineStr">
        <is>
          <t>+2 de Defesa a todos os aliados em um raio curto (aura)</t>
        </is>
      </c>
      <c r="H58" s="119" t="inlineStr">
        <is>
          <t>Nenhuma maldição conhecida</t>
        </is>
      </c>
      <c r="I58" s="119" t="n">
        <v>380</v>
      </c>
      <c r="J58" s="119" t="inlineStr">
        <is>
          <t>Canalizava o pacto do chefe com a Mão. Agora canaliza algo diferente, pra quem o carrega com respeito.</t>
        </is>
      </c>
      <c r="K58" s="119" t="inlineStr">
        <is>
          <t>Lendário</t>
        </is>
      </c>
      <c r="L58" s="119" t="inlineStr">
        <is>
          <t>—</t>
        </is>
      </c>
      <c r="M58" s="119" t="n">
        <v>1</v>
      </c>
      <c r="N58" s="115" t="inlineStr">
        <is>
          <t>Sim</t>
        </is>
      </c>
    </row>
    <row r="59" ht="15" customHeight="1" s="116">
      <c r="A59" s="119" t="n">
        <v>56</v>
      </c>
      <c r="B59" s="119" t="inlineStr">
        <is>
          <t>A Lança do Almirante Cego</t>
        </is>
      </c>
      <c r="C59" s="119" t="inlineStr">
        <is>
          <t>Arma Lendária (Lança de Mithril)</t>
        </is>
      </c>
      <c r="D59" s="119" t="inlineStr">
        <is>
          <t>Tier 9 (Ato III/IV)</t>
        </is>
      </c>
      <c r="E59" s="119" t="inlineStr">
        <is>
          <t>Abismar</t>
        </is>
      </c>
      <c r="F59" s="119" t="inlineStr">
        <is>
          <t>Concluir "Nas Profundezas de Mithril" com alta confiança de Malakor</t>
        </is>
      </c>
      <c r="G59" s="119" t="inlineStr">
        <is>
          <t>Nunca sofre penalidade de ataque em combate no escuro ou subaquático</t>
        </is>
      </c>
      <c r="H59" s="119" t="inlineStr">
        <is>
          <t>Nenhuma maldição conhecida</t>
        </is>
      </c>
      <c r="I59" s="119" t="n">
        <v>520</v>
      </c>
      <c r="J59" s="119" t="inlineStr">
        <is>
          <t>Ele arrancou os próprios olhos. Essa lança nunca precisou enxergar pra acertar.</t>
        </is>
      </c>
      <c r="K59" s="119" t="inlineStr">
        <is>
          <t>Lendário</t>
        </is>
      </c>
      <c r="L59" s="119">
        <f>ROUND(INDEX(Tiers!$I$9:$I$22,MATCH("Mithril",Tiers!$B$9:$B$22,0))*0.9*1,0)</f>
        <v/>
      </c>
      <c r="M59" s="119" t="n">
        <v>1</v>
      </c>
      <c r="N59" s="115" t="inlineStr">
        <is>
          <t>Sim</t>
        </is>
      </c>
    </row>
    <row r="60" ht="15" customHeight="1" s="116">
      <c r="A60" s="119" t="n">
        <v>57</v>
      </c>
      <c r="B60" s="119" t="inlineStr">
        <is>
          <t>A Adaga de Nadia</t>
        </is>
      </c>
      <c r="C60" s="119" t="inlineStr">
        <is>
          <t>Arma Lendária (Adaga de Mithril)</t>
        </is>
      </c>
      <c r="D60" s="119" t="inlineStr">
        <is>
          <t>Tier 9 (Ato III/IV)</t>
        </is>
      </c>
      <c r="E60" s="119" t="inlineStr">
        <is>
          <t>Abismar</t>
        </is>
      </c>
      <c r="F60" s="119" t="inlineStr">
        <is>
          <t>Concluir "A Flor do Abismo Profundo"</t>
        </is>
      </c>
      <c r="G60" s="119" t="inlineStr">
        <is>
          <t>+2 em testes de Furtividade em ambientes subaquáticos ou subterrâneos</t>
        </is>
      </c>
      <c r="H60" s="119" t="inlineStr">
        <is>
          <t>Nenhuma maldição conhecida</t>
        </is>
      </c>
      <c r="I60" s="119" t="n">
        <v>400</v>
      </c>
      <c r="J60" s="119" t="inlineStr">
        <is>
          <t>Ela conhece cada sombra do Mar Sem Sol. A lâmina aprendeu com ela.</t>
        </is>
      </c>
      <c r="K60" s="119" t="inlineStr">
        <is>
          <t>Lendário</t>
        </is>
      </c>
      <c r="L60" s="119">
        <f>ROUND(INDEX(Tiers!$I$9:$I$22,MATCH("Mithril",Tiers!$B$9:$B$22,0))*0.8*1,0)</f>
        <v/>
      </c>
      <c r="M60" s="119" t="n">
        <v>1</v>
      </c>
      <c r="N60" s="115" t="inlineStr">
        <is>
          <t>Sim</t>
        </is>
      </c>
    </row>
    <row r="61" ht="15" customHeight="1" s="116">
      <c r="A61" s="119" t="n">
        <v>58</v>
      </c>
      <c r="B61" s="119" t="inlineStr">
        <is>
          <t>O Peitoral do Cirurgião</t>
        </is>
      </c>
      <c r="C61" s="119" t="inlineStr">
        <is>
          <t>Armadura Lendária (Peitoral de Mithril)</t>
        </is>
      </c>
      <c r="D61" s="119" t="inlineStr">
        <is>
          <t>Tier 9 (Ato III/IV)</t>
        </is>
      </c>
      <c r="E61" s="119" t="inlineStr">
        <is>
          <t>Abismar</t>
        </is>
      </c>
      <c r="F61" s="119" t="inlineStr">
        <is>
          <t>Concluir "As Amostras do Dr. Corvus" ajudando-o em segredo</t>
        </is>
      </c>
      <c r="G61" s="119" t="inlineStr">
        <is>
          <t>Reduz em 20% o dano recebido de venenos e toxinas</t>
        </is>
      </c>
      <c r="H61" s="119" t="inlineStr">
        <is>
          <t>Nenhuma maldição conhecida</t>
        </is>
      </c>
      <c r="I61" s="119" t="n">
        <v>460</v>
      </c>
      <c r="J61" s="119" t="inlineStr">
        <is>
          <t>Ele estudou tanto veneno que o próprio corpo aprendeu a resistir — o peitoral só ajuda um pouco.</t>
        </is>
      </c>
      <c r="K61" s="119" t="inlineStr">
        <is>
          <t>Lendário</t>
        </is>
      </c>
      <c r="L61" s="119">
        <f>ROUND(ROUND(INDEX('Curva Mestra'!$D$20:$D$94,MATCH(INDEX(Tiers!$E$9:$E$22,MATCH("Mithril",Tiers!$B$9:$B$22,0)),'Curva Mestra'!$A$20:$A$94,0)),0)*0.26*Tiers!$B$5*1,0)</f>
        <v/>
      </c>
      <c r="M61" s="119" t="n">
        <v>1</v>
      </c>
      <c r="N61" s="115" t="inlineStr">
        <is>
          <t>Sim</t>
        </is>
      </c>
    </row>
    <row r="62" ht="15" customHeight="1" s="116">
      <c r="A62" s="119" t="n">
        <v>59</v>
      </c>
      <c r="B62" s="119" t="inlineStr">
        <is>
          <t>O Anel do Profeta Convertido</t>
        </is>
      </c>
      <c r="C62" s="119" t="inlineStr">
        <is>
          <t>Acessório Lendário (Anel de Mithril)</t>
        </is>
      </c>
      <c r="D62" s="119" t="inlineStr">
        <is>
          <t>Tier 9 (Ato III/IV)</t>
        </is>
      </c>
      <c r="E62" s="119" t="inlineStr">
        <is>
          <t>Abismar</t>
        </is>
      </c>
      <c r="F62" s="119" t="inlineStr">
        <is>
          <t>Loot raro ao derrotar o Profeta da Fusão</t>
        </is>
      </c>
      <c r="G62" s="119" t="inlineStr">
        <is>
          <t>+2 de Resistência Mágica</t>
        </is>
      </c>
      <c r="H62" s="119" t="inlineStr">
        <is>
          <t>Nenhuma maldição conhecida</t>
        </is>
      </c>
      <c r="I62" s="119" t="n">
        <v>350</v>
      </c>
      <c r="J62" s="119" t="inlineStr">
        <is>
          <t>Pertencia a um navegador que aceitou a fusão — e, de alguma forma, sobreviveu ao próprio corpo mudando.</t>
        </is>
      </c>
      <c r="K62" s="119" t="inlineStr">
        <is>
          <t>Lendário</t>
        </is>
      </c>
      <c r="L62" s="119" t="inlineStr">
        <is>
          <t>—</t>
        </is>
      </c>
      <c r="M62" s="119" t="n">
        <v>1</v>
      </c>
      <c r="N62" s="115" t="inlineStr">
        <is>
          <t>Sim</t>
        </is>
      </c>
    </row>
    <row r="63" ht="15" customHeight="1" s="116">
      <c r="A63" s="119" t="n">
        <v>60</v>
      </c>
      <c r="B63" s="119" t="inlineStr">
        <is>
          <t>A Espada do Legado de Corvus</t>
        </is>
      </c>
      <c r="C63" s="119" t="inlineStr">
        <is>
          <t>Arma Lendária (Espada de Ébano)</t>
        </is>
      </c>
      <c r="D63" s="119" t="inlineStr">
        <is>
          <t>Tier 10 (Ato IV)</t>
        </is>
      </c>
      <c r="E63" s="119" t="inlineStr">
        <is>
          <t>Fenda Vulcânica Morta</t>
        </is>
      </c>
      <c r="F63" s="119" t="inlineStr">
        <is>
          <t>Concluir "O Legado de Corvus" com a pesquisa em mãos</t>
        </is>
      </c>
      <c r="G63" s="119" t="inlineStr">
        <is>
          <t>Cura 15% do dano causado como HP, permanentemente</t>
        </is>
      </c>
      <c r="H63" s="119" t="inlineStr">
        <is>
          <t>Nenhuma maldição conhecida</t>
        </is>
      </c>
      <c r="I63" s="119" t="n">
        <v>540</v>
      </c>
      <c r="J63" s="119" t="inlineStr">
        <is>
          <t>Forjada com base nos estudos de um homem que nunca se decidiu se era cientista ou monstro.</t>
        </is>
      </c>
      <c r="K63" s="119" t="inlineStr">
        <is>
          <t>Lendário</t>
        </is>
      </c>
      <c r="L63" s="119">
        <f>ROUND(INDEX(Tiers!$I$9:$I$22,MATCH("Ebano",Tiers!$B$9:$B$22,0))*1*1,0)</f>
        <v/>
      </c>
      <c r="M63" s="119" t="n">
        <v>1</v>
      </c>
      <c r="N63" s="115" t="inlineStr">
        <is>
          <t>Sim</t>
        </is>
      </c>
    </row>
    <row r="64" ht="15" customHeight="1" s="116">
      <c r="A64" s="119" t="n">
        <v>61</v>
      </c>
      <c r="B64" s="119" t="inlineStr">
        <is>
          <t>O Machado da Raiz Consciente</t>
        </is>
      </c>
      <c r="C64" s="119" t="inlineStr">
        <is>
          <t>Arma Lendária (Machado de Ébano)</t>
        </is>
      </c>
      <c r="D64" s="119" t="inlineStr">
        <is>
          <t>Tier 10 (Ato IV)</t>
        </is>
      </c>
      <c r="E64" s="119" t="inlineStr">
        <is>
          <t>Fenda Vulcânica Morta</t>
        </is>
      </c>
      <c r="F64" s="119" t="inlineStr">
        <is>
          <t>Concluir "A Raiz Que Ainda Sente" libertando a vítima</t>
        </is>
      </c>
      <c r="G64" s="119" t="inlineStr">
        <is>
          <t>+3 de dano contra criaturas assimiladas pelo Culto</t>
        </is>
      </c>
      <c r="H64" s="119" t="inlineStr">
        <is>
          <t>Nenhuma maldição conhecida</t>
        </is>
      </c>
      <c r="I64" s="119" t="n">
        <v>460</v>
      </c>
      <c r="J64" s="119" t="inlineStr">
        <is>
          <t>Feito da mesma matéria que quase engoliu uma vida — usado agora pra libertar outras.</t>
        </is>
      </c>
      <c r="K64" s="119" t="inlineStr">
        <is>
          <t>Lendário</t>
        </is>
      </c>
      <c r="L64" s="119">
        <f>ROUND(INDEX(Tiers!$I$9:$I$22,MATCH("Ebano",Tiers!$B$9:$B$22,0))*1.2*1,0)</f>
        <v/>
      </c>
      <c r="M64" s="119" t="n">
        <v>1</v>
      </c>
      <c r="N64" s="115" t="inlineStr">
        <is>
          <t>Sim</t>
        </is>
      </c>
    </row>
    <row r="65" ht="15" customHeight="1" s="116">
      <c r="A65" s="119" t="n">
        <v>62</v>
      </c>
      <c r="B65" s="119" t="inlineStr">
        <is>
          <t>A Couraça do Zelote Convertido</t>
        </is>
      </c>
      <c r="C65" s="119" t="inlineStr">
        <is>
          <t>Armadura Lendária (Peitoral de Ébano)</t>
        </is>
      </c>
      <c r="D65" s="119" t="inlineStr">
        <is>
          <t>Tier 10 (Ato IV)</t>
        </is>
      </c>
      <c r="E65" s="119" t="inlineStr">
        <is>
          <t>Fenda Vulcânica Morta</t>
        </is>
      </c>
      <c r="F65" s="119" t="inlineStr">
        <is>
          <t>Derrotar o Zelote da Fusão Suprema</t>
        </is>
      </c>
      <c r="G65" s="119" t="inlineStr">
        <is>
          <t>Reduz em 3 o dano de efeitos de Rouba Vida sofridos</t>
        </is>
      </c>
      <c r="H65" s="119" t="inlineStr">
        <is>
          <t>Nenhuma maldição conhecida</t>
        </is>
      </c>
      <c r="I65" s="119" t="n">
        <v>480</v>
      </c>
      <c r="J65" s="119" t="inlineStr">
        <is>
          <t>Pertencia a alguém que quase virou parte do Amálgama — e conseguiu, por pouco, continuar sendo gente.</t>
        </is>
      </c>
      <c r="K65" s="119" t="inlineStr">
        <is>
          <t>Lendário</t>
        </is>
      </c>
      <c r="L65" s="119">
        <f>ROUND(ROUND(INDEX('Curva Mestra'!$D$20:$D$94,MATCH(INDEX(Tiers!$E$9:$E$22,MATCH("Ebano",Tiers!$B$9:$B$22,0)),'Curva Mestra'!$A$20:$A$94,0)),0)*0.26*Tiers!$B$5*1,0)</f>
        <v/>
      </c>
      <c r="M65" s="119" t="n">
        <v>1</v>
      </c>
      <c r="N65" s="115" t="inlineStr">
        <is>
          <t>Sim</t>
        </is>
      </c>
    </row>
    <row r="66" ht="15" customHeight="1" s="116">
      <c r="A66" s="119" t="n">
        <v>63</v>
      </c>
      <c r="B66" s="119" t="inlineStr">
        <is>
          <t>O Amuleto da Fenda Morta</t>
        </is>
      </c>
      <c r="C66" s="119" t="inlineStr">
        <is>
          <t>Acessório Lendário (Amuleto de Ébano)</t>
        </is>
      </c>
      <c r="D66" s="119" t="inlineStr">
        <is>
          <t>Tier 10 (Ato IV)</t>
        </is>
      </c>
      <c r="E66" s="119" t="inlineStr">
        <is>
          <t>Fenda Vulcânica Morta</t>
        </is>
      </c>
      <c r="F66" s="119" t="inlineStr">
        <is>
          <t>Loot raro próximo ao Amálgama Original</t>
        </is>
      </c>
      <c r="G66" s="119" t="inlineStr">
        <is>
          <t>+10% de resistência a venenos e doenças</t>
        </is>
      </c>
      <c r="H66" s="119" t="inlineStr">
        <is>
          <t>Nenhuma maldição conhecida</t>
        </is>
      </c>
      <c r="I66" s="119" t="n">
        <v>340</v>
      </c>
      <c r="J66" s="119" t="inlineStr">
        <is>
          <t>Carrega o silêncio de um lugar que já morreu uma vez e ainda respira, do jeito errado.</t>
        </is>
      </c>
      <c r="K66" s="119" t="inlineStr">
        <is>
          <t>Lendário</t>
        </is>
      </c>
      <c r="L66" s="119" t="inlineStr">
        <is>
          <t>—</t>
        </is>
      </c>
      <c r="M66" s="119" t="n">
        <v>1</v>
      </c>
      <c r="N66" s="115" t="inlineStr">
        <is>
          <t>Sim</t>
        </is>
      </c>
    </row>
    <row r="67" ht="15" customHeight="1" s="116">
      <c r="A67" s="119" t="n">
        <v>64</v>
      </c>
      <c r="B67" s="119" t="inlineStr">
        <is>
          <t>A Espada de Roderick, o Inquebrável</t>
        </is>
      </c>
      <c r="C67" s="119" t="inlineStr">
        <is>
          <t>Arma Lendária (Espada de Adamantina)</t>
        </is>
      </c>
      <c r="D67" s="119" t="inlineStr">
        <is>
          <t>Tier 11 (Ato IV)</t>
        </is>
      </c>
      <c r="E67" s="119" t="inlineStr">
        <is>
          <t>Alto Bastião dos Caçadores</t>
        </is>
      </c>
      <c r="F67" s="119" t="inlineStr">
        <is>
          <t>Alta reputação com a Ordem dos Cavaleiros do Dragão Decaído</t>
        </is>
      </c>
      <c r="G67" s="119" t="inlineStr">
        <is>
          <t>Nunca pode ser desarmada em combate</t>
        </is>
      </c>
      <c r="H67" s="119" t="inlineStr">
        <is>
          <t>Nenhuma maldição conhecida</t>
        </is>
      </c>
      <c r="I67" s="119" t="n">
        <v>600</v>
      </c>
      <c r="J67" s="119" t="inlineStr">
        <is>
          <t>Nenhum homem sob o comando dele recua. A espada segue a mesma regra.</t>
        </is>
      </c>
      <c r="K67" s="119" t="inlineStr">
        <is>
          <t>Lendário</t>
        </is>
      </c>
      <c r="L67" s="119">
        <f>ROUND(INDEX(Tiers!$I$9:$I$22,MATCH("Adamantina",Tiers!$B$9:$B$22,0))*1*1,0)</f>
        <v/>
      </c>
      <c r="M67" s="119" t="n">
        <v>1</v>
      </c>
      <c r="N67" s="115" t="inlineStr">
        <is>
          <t>Sim</t>
        </is>
      </c>
    </row>
    <row r="68" ht="15" customHeight="1" s="116">
      <c r="A68" s="119" t="n">
        <v>65</v>
      </c>
      <c r="B68" s="119" t="inlineStr">
        <is>
          <t>O Martelo de Valtiel</t>
        </is>
      </c>
      <c r="C68" s="119" t="inlineStr">
        <is>
          <t>Arma Lendária (Maça de Adamantina)</t>
        </is>
      </c>
      <c r="D68" s="119" t="inlineStr">
        <is>
          <t>Tier 11 (Ato IV)</t>
        </is>
      </c>
      <c r="E68" s="119" t="inlineStr">
        <is>
          <t>Alto Bastião</t>
        </is>
      </c>
      <c r="F68" s="119" t="inlineStr">
        <is>
          <t>Concluir "O Constructo Corrompido"</t>
        </is>
      </c>
      <c r="G68" s="119" t="inlineStr">
        <is>
          <t>Ignora 3 pontos de Defesa do alvo</t>
        </is>
      </c>
      <c r="H68" s="119" t="inlineStr">
        <is>
          <t>Nenhuma maldição conhecida</t>
        </is>
      </c>
      <c r="I68" s="119" t="n">
        <v>560</v>
      </c>
      <c r="J68" s="119" t="inlineStr">
        <is>
          <t>O ferro quebra, o bronze amassa, a prata mancha. Só a adamantina permanece de pé.</t>
        </is>
      </c>
      <c r="K68" s="119" t="inlineStr">
        <is>
          <t>Lendário</t>
        </is>
      </c>
      <c r="L68" s="119">
        <f>ROUND(INDEX(Tiers!$I$9:$I$22,MATCH("Adamantina",Tiers!$B$9:$B$22,0))*1.1*1,0)</f>
        <v/>
      </c>
      <c r="M68" s="119" t="n">
        <v>1</v>
      </c>
      <c r="N68" s="115" t="inlineStr">
        <is>
          <t>Sim</t>
        </is>
      </c>
    </row>
    <row r="69" ht="15" customHeight="1" s="116">
      <c r="A69" s="119" t="n">
        <v>66</v>
      </c>
      <c r="B69" s="119" t="inlineStr">
        <is>
          <t>O Manto de Selene</t>
        </is>
      </c>
      <c r="C69" s="119" t="inlineStr">
        <is>
          <t>Armadura Lendária (Peitoral de Adamantina)</t>
        </is>
      </c>
      <c r="D69" s="119" t="inlineStr">
        <is>
          <t>Tier 11 (Ato IV)</t>
        </is>
      </c>
      <c r="E69" s="119" t="inlineStr">
        <is>
          <t>Templo de Adamantina</t>
        </is>
      </c>
      <c r="F69" s="119" t="inlineStr">
        <is>
          <t>Concluir "A Penitência de Selene"</t>
        </is>
      </c>
      <c r="G69" s="119" t="inlineStr">
        <is>
          <t>Cura 10 HP no início de cada turno enquanto em combate</t>
        </is>
      </c>
      <c r="H69" s="119" t="inlineStr">
        <is>
          <t>Nenhuma maldição conhecida</t>
        </is>
      </c>
      <c r="I69" s="119" t="n">
        <v>540</v>
      </c>
      <c r="J69" s="119" t="inlineStr">
        <is>
          <t>A dor da purificação é terrível. Esse manto foi feito pra quem já pagou o preço.</t>
        </is>
      </c>
      <c r="K69" s="119" t="inlineStr">
        <is>
          <t>Lendário</t>
        </is>
      </c>
      <c r="L69" s="119">
        <f>ROUND(ROUND(INDEX('Curva Mestra'!$D$20:$D$94,MATCH(INDEX(Tiers!$E$9:$E$22,MATCH("Adamantina",Tiers!$B$9:$B$22,0)),'Curva Mestra'!$A$20:$A$94,0)),0)*0.26*Tiers!$B$5*1,0)</f>
        <v/>
      </c>
      <c r="M69" s="119" t="n">
        <v>1</v>
      </c>
      <c r="N69" s="115" t="inlineStr">
        <is>
          <t>Sim</t>
        </is>
      </c>
    </row>
    <row r="70" ht="15" customHeight="1" s="116">
      <c r="A70" s="119" t="n">
        <v>67</v>
      </c>
      <c r="B70" s="119" t="inlineStr">
        <is>
          <t>O Anel do Nome Apagado</t>
        </is>
      </c>
      <c r="C70" s="119" t="inlineStr">
        <is>
          <t>Acessório Lendário (Anel de Adamantina)</t>
        </is>
      </c>
      <c r="D70" s="119" t="inlineStr">
        <is>
          <t>Tier 11 (Ato IV)</t>
        </is>
      </c>
      <c r="E70" s="119" t="inlineStr">
        <is>
          <t>Campo de Batalha Esquecido</t>
        </is>
      </c>
      <c r="F70" s="119" t="inlineStr">
        <is>
          <t>Concluir "O Nome Apagado"</t>
        </is>
      </c>
      <c r="G70" s="119" t="inlineStr">
        <is>
          <t>+1 de Ataque permanente contra O Herói Caído e criaturas ressuscitadas pela Heresia</t>
        </is>
      </c>
      <c r="H70" s="119" t="inlineStr">
        <is>
          <t>Nenhuma maldição conhecida</t>
        </is>
      </c>
      <c r="I70" s="119" t="n">
        <v>420</v>
      </c>
      <c r="J70" s="119" t="inlineStr">
        <is>
          <t>Pertenceu a alguém cujo nome ninguém mais lembra — mas cuja coragem ainda ecoa.</t>
        </is>
      </c>
      <c r="K70" s="119" t="inlineStr">
        <is>
          <t>Lendário</t>
        </is>
      </c>
      <c r="L70" s="119" t="inlineStr">
        <is>
          <t>—</t>
        </is>
      </c>
      <c r="M70" s="119" t="n">
        <v>1</v>
      </c>
      <c r="N70" s="115" t="inlineStr">
        <is>
          <t>Sim</t>
        </is>
      </c>
    </row>
    <row r="71" ht="15" customHeight="1" s="116">
      <c r="A71" s="119" t="n">
        <v>68</v>
      </c>
      <c r="B71" s="119" t="inlineStr">
        <is>
          <t>O Arco de Elowen</t>
        </is>
      </c>
      <c r="C71" s="119" t="inlineStr">
        <is>
          <t>Arma Lendária (Arco de Osso de Dragão)</t>
        </is>
      </c>
      <c r="D71" s="119" t="inlineStr">
        <is>
          <t>Tier 12 (Ato IV)</t>
        </is>
      </c>
      <c r="E71" s="119" t="inlineStr">
        <is>
          <t>Picos Fumegantes</t>
        </is>
      </c>
      <c r="F71" s="119" t="inlineStr">
        <is>
          <t>Alta reputação com Elowen, a Caçadora de Wyrms</t>
        </is>
      </c>
      <c r="G71" s="119" t="inlineStr">
        <is>
          <t>+3 de dano contra dracoformos e criaturas dracônicas</t>
        </is>
      </c>
      <c r="H71" s="119" t="inlineStr">
        <is>
          <t>Nenhuma maldição conhecida</t>
        </is>
      </c>
      <c r="I71" s="119" t="n">
        <v>650</v>
      </c>
      <c r="J71" s="119" t="inlineStr">
        <is>
          <t>Ela vive nos picos há tempo demais pra contar. O arco aprendeu tudo que ela sabe.</t>
        </is>
      </c>
      <c r="K71" s="119" t="inlineStr">
        <is>
          <t>Lendário</t>
        </is>
      </c>
      <c r="L71" s="119">
        <f>ROUND(INDEX(Tiers!$I$9:$I$22,MATCH("Osso de Dragao",Tiers!$B$9:$B$22,0))*0.9*1,0)</f>
        <v/>
      </c>
      <c r="M71" s="119" t="n">
        <v>1</v>
      </c>
      <c r="N71" s="115" t="inlineStr">
        <is>
          <t>Sim</t>
        </is>
      </c>
    </row>
    <row r="72" ht="15" customHeight="1" s="116">
      <c r="A72" s="119" t="n">
        <v>69</v>
      </c>
      <c r="B72" s="119" t="inlineStr">
        <is>
          <t>A Lança do Último Presente</t>
        </is>
      </c>
      <c r="C72" s="119" t="inlineStr">
        <is>
          <t>Arma Lendária (Lança de Osso de Dragão)</t>
        </is>
      </c>
      <c r="D72" s="119" t="inlineStr">
        <is>
          <t>Tier 12 (Ato IV)</t>
        </is>
      </c>
      <c r="E72" s="119" t="inlineStr">
        <is>
          <t>Covil do Dragão Ancião</t>
        </is>
      </c>
      <c r="F72" s="119" t="inlineStr">
        <is>
          <t>Concluir "A Última Prece do Dragão Ancião" negociando com sucesso</t>
        </is>
      </c>
      <c r="G72" s="119" t="inlineStr">
        <is>
          <t>Ignora resistência a fogo do alvo</t>
        </is>
      </c>
      <c r="H72" s="119" t="inlineStr">
        <is>
          <t>Nenhuma maldição conhecida</t>
        </is>
      </c>
      <c r="I72" s="119" t="n">
        <v>600</v>
      </c>
      <c r="J72" s="119" t="inlineStr">
        <is>
          <t>Um presente, não um troféu. O Dragão Ancião escolheu dar antes de ser forçado a perder.</t>
        </is>
      </c>
      <c r="K72" s="119" t="inlineStr">
        <is>
          <t>Lendário</t>
        </is>
      </c>
      <c r="L72" s="119">
        <f>ROUND(INDEX(Tiers!$I$9:$I$22,MATCH("Osso de Dragao",Tiers!$B$9:$B$22,0))*0.9*1,0)</f>
        <v/>
      </c>
      <c r="M72" s="119" t="n">
        <v>1</v>
      </c>
      <c r="N72" s="115" t="inlineStr">
        <is>
          <t>Sim</t>
        </is>
      </c>
    </row>
    <row r="73" ht="15" customHeight="1" s="116">
      <c r="A73" s="119" t="n">
        <v>70</v>
      </c>
      <c r="B73" s="119" t="inlineStr">
        <is>
          <t>A Escama do Dragão Ancião</t>
        </is>
      </c>
      <c r="C73" s="119" t="inlineStr">
        <is>
          <t>Armadura Lendária (Peitoral de Osso de Dragão)</t>
        </is>
      </c>
      <c r="D73" s="119" t="inlineStr">
        <is>
          <t>Tier 12 (Ato IV)</t>
        </is>
      </c>
      <c r="E73" s="119" t="inlineStr">
        <is>
          <t>Covil do Dragão Ancião</t>
        </is>
      </c>
      <c r="F73" s="119" t="inlineStr">
        <is>
          <t>Concluir "A Última Prece do Dragão Ancião" negociando com sucesso</t>
        </is>
      </c>
      <c r="G73" s="119" t="inlineStr">
        <is>
          <t>Imune a efeitos de Queimadura</t>
        </is>
      </c>
      <c r="H73" s="119" t="inlineStr">
        <is>
          <t>Nenhuma maldição conhecida</t>
        </is>
      </c>
      <c r="I73" s="119" t="n">
        <v>580</v>
      </c>
      <c r="J73" s="119" t="inlineStr">
        <is>
          <t>Cedida em paz, não arrancada em combate — a única armadura dracônica desse tipo no continente.</t>
        </is>
      </c>
      <c r="K73" s="119" t="inlineStr">
        <is>
          <t>Lendário</t>
        </is>
      </c>
      <c r="L73" s="119">
        <f>ROUND(ROUND(INDEX('Curva Mestra'!$D$20:$D$94,MATCH(INDEX(Tiers!$E$9:$E$22,MATCH("Osso de Dragao",Tiers!$B$9:$B$22,0)),'Curva Mestra'!$A$20:$A$94,0)),0)*0.26*Tiers!$B$5*1,0)</f>
        <v/>
      </c>
      <c r="M73" s="119" t="n">
        <v>1</v>
      </c>
      <c r="N73" s="115" t="inlineStr">
        <is>
          <t>Sim</t>
        </is>
      </c>
    </row>
    <row r="74" ht="15" customHeight="1" s="116">
      <c r="A74" s="119" t="n">
        <v>71</v>
      </c>
      <c r="B74" s="119" t="inlineStr">
        <is>
          <t>O Amuleto do Caçador Traído</t>
        </is>
      </c>
      <c r="C74" s="119" t="inlineStr">
        <is>
          <t>Acessório Lendário (Amuleto de Osso de Dragão)</t>
        </is>
      </c>
      <c r="D74" s="119" t="inlineStr">
        <is>
          <t>Tier 12 (Ato IV)</t>
        </is>
      </c>
      <c r="E74" s="119" t="inlineStr">
        <is>
          <t>Picos Fumegantes</t>
        </is>
      </c>
      <c r="F74" s="119" t="inlineStr">
        <is>
          <t>Concluir "A Traição do Caçador-Mestre"</t>
        </is>
      </c>
      <c r="G74" s="119" t="inlineStr">
        <is>
          <t>+2 em testes de Percepção contra emboscadas</t>
        </is>
      </c>
      <c r="H74" s="119" t="inlineStr">
        <is>
          <t>Nenhuma maldição conhecida</t>
        </is>
      </c>
      <c r="I74" s="119" t="n">
        <v>440</v>
      </c>
      <c r="J74" s="119" t="inlineStr">
        <is>
          <t>Pertencia ao mentor que Elowen confiava. Ela nunca mais confiou tão fácil de novo.</t>
        </is>
      </c>
      <c r="K74" s="119" t="inlineStr">
        <is>
          <t>Lendário</t>
        </is>
      </c>
      <c r="L74" s="119" t="inlineStr">
        <is>
          <t>—</t>
        </is>
      </c>
      <c r="M74" s="119" t="n">
        <v>1</v>
      </c>
      <c r="N74" s="115" t="inlineStr">
        <is>
          <t>Sim</t>
        </is>
      </c>
    </row>
    <row r="75" ht="15" customHeight="1" s="116">
      <c r="A75" s="119" t="n">
        <v>72</v>
      </c>
      <c r="B75" s="119" t="inlineStr">
        <is>
          <t>A Lâmina do Penitente</t>
        </is>
      </c>
      <c r="C75" s="119" t="inlineStr">
        <is>
          <t>Arma Lendária (Espada Daédrica)</t>
        </is>
      </c>
      <c r="D75" s="119" t="inlineStr">
        <is>
          <t>Tier 13 (Ato V)</t>
        </is>
      </c>
      <c r="E75" s="119" t="inlineStr">
        <is>
          <t>O Limiar</t>
        </is>
      </c>
      <c r="F75" s="119" t="inlineStr">
        <is>
          <t>Concluir "O Penitente"</t>
        </is>
      </c>
      <c r="G75" s="119" t="inlineStr">
        <is>
          <t>Cura 10% do dano causado como HP, sem nenhum custo de vida</t>
        </is>
      </c>
      <c r="H75" s="119" t="inlineStr">
        <is>
          <t>Nenhuma maldição conhecida</t>
        </is>
      </c>
      <c r="I75" s="119" t="n">
        <v>700</v>
      </c>
      <c r="J75" s="119" t="inlineStr">
        <is>
          <t>A única lâmina daédrica que cura sem cobrar. Ele cortou os próprios dedos pra garantir isso.</t>
        </is>
      </c>
      <c r="K75" s="119" t="inlineStr">
        <is>
          <t>Lendário</t>
        </is>
      </c>
      <c r="L75" s="119">
        <f>ROUND(INDEX(Tiers!$I$9:$I$22,MATCH("Pacto Daedrico",Tiers!$B$9:$B$22,0))*1*1,0)</f>
        <v/>
      </c>
      <c r="M75" s="119" t="n">
        <v>1</v>
      </c>
      <c r="N75" s="115" t="inlineStr">
        <is>
          <t>Sim</t>
        </is>
      </c>
    </row>
    <row r="76" ht="15" customHeight="1" s="116">
      <c r="A76" s="119" t="n">
        <v>73</v>
      </c>
      <c r="B76" s="119" t="inlineStr">
        <is>
          <t>O Cetro do Sacrifício Final</t>
        </is>
      </c>
      <c r="C76" s="119" t="inlineStr">
        <is>
          <t>Arma Lendária (Cetro Daédrico)</t>
        </is>
      </c>
      <c r="D76" s="119" t="inlineStr">
        <is>
          <t>Tier 13 (Ato V)</t>
        </is>
      </c>
      <c r="E76" s="119" t="inlineStr">
        <is>
          <t>Altares de Sangue</t>
        </is>
      </c>
      <c r="F76" s="119" t="inlineStr">
        <is>
          <t>Derrotar o Sacerdote do Sangue Final</t>
        </is>
      </c>
      <c r="G76" s="119" t="inlineStr">
        <is>
          <t>Dobra o dano de magias causadas; custa 5 HP por uso</t>
        </is>
      </c>
      <c r="H76" s="119" t="inlineStr">
        <is>
          <t>Nenhuma maldição conhecida</t>
        </is>
      </c>
      <c r="I76" s="119" t="n">
        <v>680</v>
      </c>
      <c r="J76" s="119" t="inlineStr">
        <is>
          <t>O mestre de cerimônias do pacto final o carregava sem medo. Poucos conseguem fazer o mesmo.</t>
        </is>
      </c>
      <c r="K76" s="119" t="inlineStr">
        <is>
          <t>Lendário</t>
        </is>
      </c>
      <c r="L76" s="119">
        <f>ROUND(INDEX(Tiers!$I$9:$I$22,MATCH("Pacto Daedrico",Tiers!$B$9:$B$22,0))*0.7*0.85,0)</f>
        <v/>
      </c>
      <c r="M76" s="119" t="n">
        <v>0.85</v>
      </c>
      <c r="N76" s="115" t="inlineStr">
        <is>
          <t>Sim</t>
        </is>
      </c>
    </row>
    <row r="77" ht="15" customHeight="1" s="116">
      <c r="A77" s="119" t="n">
        <v>74</v>
      </c>
      <c r="B77" s="119" t="inlineStr">
        <is>
          <t>O Manto do Traidor do Véu</t>
        </is>
      </c>
      <c r="C77" s="119" t="inlineStr">
        <is>
          <t>Armadura Lendária (Peitoral Daédrico)</t>
        </is>
      </c>
      <c r="D77" s="119" t="inlineStr">
        <is>
          <t>Tier 13 (Ato V)</t>
        </is>
      </c>
      <c r="E77" s="119" t="inlineStr">
        <is>
          <t>Círculo Ritualístico</t>
        </is>
      </c>
      <c r="F77" s="119" t="inlineStr">
        <is>
          <t>Derrotar O Arquivista Traidor</t>
        </is>
      </c>
      <c r="G77" s="119" t="inlineStr">
        <is>
          <t>+3 de Defesa; revela a posição do usuário em mapas de rastreamento inimigo</t>
        </is>
      </c>
      <c r="H77" s="119" t="inlineStr">
        <is>
          <t>A proteção tem um preço: fica mais fácil de ser encontrado</t>
        </is>
      </c>
      <c r="I77" s="119" t="n">
        <v>640</v>
      </c>
      <c r="J77" s="119" t="inlineStr">
        <is>
          <t>Ele traiu Os Guardiões do Último Véu escondido nas sombras. O manto não deixa mais ninguém se esconder direito.</t>
        </is>
      </c>
      <c r="K77" s="119" t="inlineStr">
        <is>
          <t>Lendário</t>
        </is>
      </c>
      <c r="L77" s="119">
        <f>ROUND(ROUND(INDEX('Curva Mestra'!$D$20:$D$94,MATCH(INDEX(Tiers!$E$9:$E$22,MATCH("Pacto Daedrico",Tiers!$B$9:$B$22,0)),'Curva Mestra'!$A$20:$A$94,0)),0)*0.26*Tiers!$B$5*1,0)</f>
        <v/>
      </c>
      <c r="M77" s="119" t="n">
        <v>1</v>
      </c>
      <c r="N77" s="115" t="inlineStr">
        <is>
          <t>Sim</t>
        </is>
      </c>
    </row>
    <row r="78" ht="15" customHeight="1" s="116">
      <c r="A78" s="119" t="n">
        <v>75</v>
      </c>
      <c r="B78" s="119" t="inlineStr">
        <is>
          <t>O Anel do Voto de Sangue</t>
        </is>
      </c>
      <c r="C78" s="119" t="inlineStr">
        <is>
          <t>Acessório Lendário (Anel Daédrico)</t>
        </is>
      </c>
      <c r="D78" s="119" t="inlineStr">
        <is>
          <t>Tier 13 (Ato V)</t>
        </is>
      </c>
      <c r="E78" s="119" t="inlineStr">
        <is>
          <t>Círculo Ritualístico</t>
        </is>
      </c>
      <c r="F78" s="119" t="inlineStr">
        <is>
          <t>Loot raro no Círculo Ritualístico Daédrico</t>
        </is>
      </c>
      <c r="G78" s="119" t="inlineStr">
        <is>
          <t>Todo ataque rouba 5% do dano causado como HP; custa 1 HP por uso</t>
        </is>
      </c>
      <c r="H78" s="119" t="inlineStr">
        <is>
          <t>Nenhuma maldição conhecida</t>
        </is>
      </c>
      <c r="I78" s="119" t="n">
        <v>460</v>
      </c>
      <c r="J78" s="119" t="inlineStr">
        <is>
          <t>Um voto de sangue pequeno, repetido a cada golpe — ninguém sabe onde é que ele para de cobrar.</t>
        </is>
      </c>
      <c r="K78" s="119" t="inlineStr">
        <is>
          <t>Lendário</t>
        </is>
      </c>
      <c r="L78" s="119" t="inlineStr">
        <is>
          <t>—</t>
        </is>
      </c>
      <c r="M78" s="119" t="n">
        <v>1</v>
      </c>
      <c r="N78" s="115" t="inlineStr">
        <is>
          <t>Sim</t>
        </is>
      </c>
    </row>
    <row r="79" ht="15" customHeight="1" s="116">
      <c r="A79" s="119" t="n">
        <v>76</v>
      </c>
      <c r="B79" s="119" t="inlineStr">
        <is>
          <t>A Lâmina de Azrael</t>
        </is>
      </c>
      <c r="C79" s="119" t="inlineStr">
        <is>
          <t>Arma Lendária (Espada Estelar)</t>
        </is>
      </c>
      <c r="D79" s="119" t="inlineStr">
        <is>
          <t>Tier 14 (Ato V)</t>
        </is>
      </c>
      <c r="E79" s="119" t="inlineStr">
        <is>
          <t>O Vazio Além do Portal</t>
        </is>
      </c>
      <c r="F79" s="119" t="inlineStr">
        <is>
          <t>Alta reputação com Azrael, o Artífice do Vazio</t>
        </is>
      </c>
      <c r="G79" s="119" t="inlineStr">
        <is>
          <t>Ignora completamente a Resistência Mágica do alvo</t>
        </is>
      </c>
      <c r="H79" s="119" t="inlineStr">
        <is>
          <t>Nenhuma maldição conhecida</t>
        </is>
      </c>
      <c r="I79" s="119" t="n">
        <v>900</v>
      </c>
      <c r="J79" s="119" t="inlineStr">
        <is>
          <t>Ele não usa martelo nem bigorna. Molda o metal com cantos harmônicos — essa lâmina nasceu de uma nota só.</t>
        </is>
      </c>
      <c r="K79" s="119" t="inlineStr">
        <is>
          <t>Lendário</t>
        </is>
      </c>
      <c r="L79" s="119">
        <f>ROUND(INDEX(Tiers!$I$9:$I$22,MATCH("Estelar / Cosmico",Tiers!$B$9:$B$22,0))*1*1,0)</f>
        <v/>
      </c>
      <c r="M79" s="119" t="n">
        <v>1</v>
      </c>
      <c r="N79" s="115" t="inlineStr">
        <is>
          <t>Sim</t>
        </is>
      </c>
    </row>
    <row r="80" ht="15" customHeight="1" s="116">
      <c r="A80" s="119" t="n">
        <v>77</v>
      </c>
      <c r="B80" s="119" t="inlineStr">
        <is>
          <t>O Cajado de Mori</t>
        </is>
      </c>
      <c r="C80" s="119" t="inlineStr">
        <is>
          <t>Arma Lendária (Cetro Estelar)</t>
        </is>
      </c>
      <c r="D80" s="119" t="inlineStr">
        <is>
          <t>Tier 14 (Ato V)</t>
        </is>
      </c>
      <c r="E80" s="119" t="inlineStr">
        <is>
          <t>O Limiar</t>
        </is>
      </c>
      <c r="F80" s="119" t="inlineStr">
        <is>
          <t>Alta reputação com Mori, a Última Curandeira Pura</t>
        </is>
      </c>
      <c r="G80" s="119" t="inlineStr">
        <is>
          <t>Cura 30 HP ao acertar um golpe crítico</t>
        </is>
      </c>
      <c r="H80" s="119" t="inlineStr">
        <is>
          <t>Nenhuma maldição conhecida</t>
        </is>
      </c>
      <c r="I80" s="119" t="n">
        <v>880</v>
      </c>
      <c r="J80" s="119" t="inlineStr">
        <is>
          <t>Ela guardou as sementes puras por mil anos. O cajado carrega a mesma paciência.</t>
        </is>
      </c>
      <c r="K80" s="119" t="inlineStr">
        <is>
          <t>Lendário</t>
        </is>
      </c>
      <c r="L80" s="119">
        <f>ROUND(INDEX(Tiers!$I$9:$I$22,MATCH("Estelar / Cosmico",Tiers!$B$9:$B$22,0))*0.7*1,0)</f>
        <v/>
      </c>
      <c r="M80" s="119" t="n">
        <v>1</v>
      </c>
      <c r="N80" s="115" t="inlineStr">
        <is>
          <t>Sim</t>
        </is>
      </c>
    </row>
    <row r="81" ht="15" customHeight="1" s="116">
      <c r="A81" s="119" t="n">
        <v>78</v>
      </c>
      <c r="B81" s="119" t="inlineStr">
        <is>
          <t>O Manto da Voz Esquecida</t>
        </is>
      </c>
      <c r="C81" s="119" t="inlineStr">
        <is>
          <t>Armadura Lendária (Peitoral Estelar)</t>
        </is>
      </c>
      <c r="D81" s="119" t="inlineStr">
        <is>
          <t>Tier 14 (Ato V)</t>
        </is>
      </c>
      <c r="E81" s="119" t="inlineStr">
        <is>
          <t>O Limiar</t>
        </is>
      </c>
      <c r="F81" s="119" t="inlineStr">
        <is>
          <t>Consultar "A Voz da Estrela Esquecida" antes do confronto final</t>
        </is>
      </c>
      <c r="G81" s="119" t="inlineStr">
        <is>
          <t>Imune ao primeiro efeito de controle mental sofrido em cada combate</t>
        </is>
      </c>
      <c r="H81" s="119" t="inlineStr">
        <is>
          <t>Nenhuma maldição conhecida</t>
        </is>
      </c>
      <c r="I81" s="119" t="n">
        <v>850</v>
      </c>
      <c r="J81" s="119" t="inlineStr">
        <is>
          <t>Manifesta-se como uma coluna de luz dourada — o manto guarda um pouco dessa luz pra quem precisa.</t>
        </is>
      </c>
      <c r="K81" s="119" t="inlineStr">
        <is>
          <t>Lendário</t>
        </is>
      </c>
      <c r="L81" s="119">
        <f>ROUND(ROUND(INDEX('Curva Mestra'!$D$20:$D$94,MATCH(INDEX(Tiers!$E$9:$E$22,MATCH("Estelar / Cosmico",Tiers!$B$9:$B$22,0)),'Curva Mestra'!$A$20:$A$94,0)),0)*0.26*Tiers!$B$5*1,0)</f>
        <v/>
      </c>
      <c r="M81" s="119" t="n">
        <v>1</v>
      </c>
      <c r="N81" s="115" t="inlineStr">
        <is>
          <t>Sim</t>
        </is>
      </c>
    </row>
    <row r="82" ht="15" customHeight="1" s="116">
      <c r="A82" s="119" t="n">
        <v>79</v>
      </c>
      <c r="B82" s="119" t="inlineStr">
        <is>
          <t>O Amuleto do Último Fiel</t>
        </is>
      </c>
      <c r="C82" s="119" t="inlineStr">
        <is>
          <t>Acessório Lendário (Amuleto Estelar)</t>
        </is>
      </c>
      <c r="D82" s="119" t="inlineStr">
        <is>
          <t>Tier 14 (Ato V)</t>
        </is>
      </c>
      <c r="E82" s="119" t="inlineStr">
        <is>
          <t>Além do Portal Estelar</t>
        </is>
      </c>
      <c r="F82" s="119" t="inlineStr">
        <is>
          <t>Concluir "O Último Fiel" deixando-o testemunhar a verdade</t>
        </is>
      </c>
      <c r="G82" s="119" t="inlineStr">
        <is>
          <t>+3 em testes de Vontade contra o Aspecto da Infecção</t>
        </is>
      </c>
      <c r="H82" s="119" t="inlineStr">
        <is>
          <t>Nenhuma maldição conhecida</t>
        </is>
      </c>
      <c r="I82" s="119" t="n">
        <v>700</v>
      </c>
      <c r="J82" s="119" t="inlineStr">
        <is>
          <t>Ele foi o último crente de carne e osso do culto original. No fim, escolheu ver a verdade.</t>
        </is>
      </c>
      <c r="K82" s="119" t="inlineStr">
        <is>
          <t>Lendário</t>
        </is>
      </c>
      <c r="L82" s="119" t="inlineStr">
        <is>
          <t>—</t>
        </is>
      </c>
      <c r="M82" s="119" t="n">
        <v>1</v>
      </c>
      <c r="N82" s="115" t="inlineStr">
        <is>
          <t>Sim</t>
        </is>
      </c>
    </row>
    <row r="83" ht="15" customHeight="1" s="116">
      <c r="A83" s="161" t="n">
        <v>79</v>
      </c>
      <c r="B83" s="161" t="inlineStr">
        <is>
          <t>Anel do Traidor Perdoado</t>
        </is>
      </c>
      <c r="C83" s="161" t="inlineStr">
        <is>
          <t>Joia/Anel</t>
        </is>
      </c>
      <c r="D83" s="161" t="inlineStr">
        <is>
          <t>Tier 1 (Ato I)</t>
        </is>
      </c>
      <c r="E83" s="161" t="inlineStr">
        <is>
          <t>Estrada dos Bandidos</t>
        </is>
      </c>
      <c r="F83" s="161" t="inlineStr">
        <is>
          <t>Nenhum</t>
        </is>
      </c>
      <c r="G83" s="161" t="inlineStr">
        <is>
          <t>+10% de Reputação ganha com qualquer facção (o anel "lembra" o que custou ser perdoado)</t>
        </is>
      </c>
      <c r="H83" s="161" t="inlineStr">
        <is>
          <t>Reduz Dano contra membros da Milícia dos Desamparados em -10%</t>
        </is>
      </c>
      <c r="I83" s="161" t="n">
        <v>60</v>
      </c>
      <c r="J83" s="161" t="inlineStr">
        <is>
          <t>Pertenceu a Garr'th, que trocou a vila da própria filha por uma vida — e nunca se perdoou por isso.</t>
        </is>
      </c>
      <c r="K83" s="161" t="inlineStr">
        <is>
          <t>Artefato/Relíquia</t>
        </is>
      </c>
      <c r="N83" s="161" t="inlineStr">
        <is>
          <t>Não</t>
        </is>
      </c>
    </row>
    <row r="84">
      <c r="A84" s="161" t="n">
        <v>80</v>
      </c>
      <c r="B84" s="161" t="inlineStr">
        <is>
          <t>Amuleto da Sobrevivente</t>
        </is>
      </c>
      <c r="C84" s="161" t="inlineStr">
        <is>
          <t>Joia/Amuleto</t>
        </is>
      </c>
      <c r="D84" s="161" t="inlineStr">
        <is>
          <t>Tier 2 (Ato I)</t>
        </is>
      </c>
      <c r="E84" s="161" t="inlineStr">
        <is>
          <t>Mina de Bronze</t>
        </is>
      </c>
      <c r="F84" s="161" t="inlineStr">
        <is>
          <t>Nenhum</t>
        </is>
      </c>
      <c r="G84" s="161" t="inlineStr">
        <is>
          <t>+15% de resistência a Fragilidade (equipamento não quebra tão fácil)</t>
        </is>
      </c>
      <c r="H84" s="161" t="inlineStr">
        <is>
          <t>Nenhuma</t>
        </is>
      </c>
      <c r="I84" s="161" t="n">
        <v>120</v>
      </c>
      <c r="J84" s="161" t="inlineStr">
        <is>
          <t>Kessa ficou presa 6 dias sob os escombros. Isso é tudo que sobrou de quem ela era antes.</t>
        </is>
      </c>
      <c r="K84" s="161" t="inlineStr">
        <is>
          <t>Artefato/Relíquia</t>
        </is>
      </c>
      <c r="N84" s="161" t="inlineStr">
        <is>
          <t>Não</t>
        </is>
      </c>
    </row>
    <row r="85">
      <c r="A85" s="161" t="n">
        <v>81</v>
      </c>
      <c r="B85" s="161" t="inlineStr">
        <is>
          <t>Brasão do Capitão Que Não Se Rendeu</t>
        </is>
      </c>
      <c r="C85" s="161" t="inlineStr">
        <is>
          <t>Joia/Brasão</t>
        </is>
      </c>
      <c r="D85" s="161" t="inlineStr">
        <is>
          <t>Tier 3 (Ato I)</t>
        </is>
      </c>
      <c r="E85" s="161" t="inlineStr">
        <is>
          <t>Ruínas da Antiga Forja</t>
        </is>
      </c>
      <c r="F85" s="161" t="inlineStr">
        <is>
          <t>Nenhum</t>
        </is>
      </c>
      <c r="G85" s="161" t="inlineStr">
        <is>
          <t>+2 de Defesa permanente ao lutar sozinho (sem aliados na expedição)</t>
        </is>
      </c>
      <c r="H85" s="161" t="inlineStr">
        <is>
          <t>Nenhuma</t>
        </is>
      </c>
      <c r="I85" s="161" t="n">
        <v>180</v>
      </c>
      <c r="J85" s="161" t="inlineStr">
        <is>
          <t>Vessel comandava a guarda quando a forja caiu. Continuou defendendo um posto que ninguém mais lembrava.</t>
        </is>
      </c>
      <c r="K85" s="161" t="inlineStr">
        <is>
          <t>Artefato/Relíquia</t>
        </is>
      </c>
      <c r="N85" s="161" t="inlineStr">
        <is>
          <t>Não</t>
        </is>
      </c>
    </row>
    <row r="86">
      <c r="A86" s="161" t="n">
        <v>82</v>
      </c>
      <c r="B86" s="161" t="inlineStr">
        <is>
          <t>Corda do Último Vigia</t>
        </is>
      </c>
      <c r="C86" s="161" t="inlineStr">
        <is>
          <t>Ferramenta/Corda</t>
        </is>
      </c>
      <c r="D86" s="161" t="inlineStr">
        <is>
          <t>Tier 4 (Ato II)</t>
        </is>
      </c>
      <c r="E86" s="161" t="inlineStr">
        <is>
          <t>Câmara do Sino Silencioso</t>
        </is>
      </c>
      <c r="F86" s="161" t="inlineStr">
        <is>
          <t>Nenhum</t>
        </is>
      </c>
      <c r="G86" s="161" t="inlineStr">
        <is>
          <t>Permite escalar qualquer Local com Perigo 3 ou menos sem teste</t>
        </is>
      </c>
      <c r="H86" s="161" t="inlineStr">
        <is>
          <t>Nenhuma</t>
        </is>
      </c>
      <c r="I86" s="161" t="n">
        <v>150</v>
      </c>
      <c r="J86" s="161" t="inlineStr">
        <is>
          <t>O Irmão Guardião prometeu vigiar até a Fraternidade cair. Essa corda o prendeu ao posto por séculos.</t>
        </is>
      </c>
      <c r="K86" s="161" t="inlineStr">
        <is>
          <t>Artefato/Relíquia</t>
        </is>
      </c>
      <c r="N86" s="161" t="inlineStr">
        <is>
          <t>Não</t>
        </is>
      </c>
    </row>
    <row r="87">
      <c r="A87" s="161" t="n">
        <v>83</v>
      </c>
      <c r="B87" s="161" t="inlineStr">
        <is>
          <t>Fragmento da Lâmina que Nunca Dormiu</t>
        </is>
      </c>
      <c r="C87" s="161" t="inlineStr">
        <is>
          <t>Arma/Fragmento</t>
        </is>
      </c>
      <c r="D87" s="161" t="inlineStr">
        <is>
          <t>Tier 5 (Ato II)</t>
        </is>
      </c>
      <c r="E87" s="161" t="inlineStr">
        <is>
          <t>Coração das Ruínas Élficas</t>
        </is>
      </c>
      <c r="F87" s="161" t="inlineStr">
        <is>
          <t>Nenhum</t>
        </is>
      </c>
      <c r="G87" s="161" t="inlineStr">
        <is>
          <t>+8% de chance de Crítico contra inimigos Elite ou Boss</t>
        </is>
      </c>
      <c r="H87" s="161" t="inlineStr">
        <is>
          <t>Não pode ser combinado com outro Fragmento de arma</t>
        </is>
      </c>
      <c r="I87" s="161" t="n">
        <v>280</v>
      </c>
      <c r="J87" s="161" t="inlineStr">
        <is>
          <t>A única sentinela que nunca dormiu viu séculos de história passar diante dela.</t>
        </is>
      </c>
      <c r="K87" s="161" t="inlineStr">
        <is>
          <t>Artefato/Relíquia</t>
        </is>
      </c>
      <c r="N87" s="161" t="inlineStr">
        <is>
          <t>Não</t>
        </is>
      </c>
    </row>
    <row r="88">
      <c r="A88" s="161" t="n">
        <v>84</v>
      </c>
      <c r="B88" s="161" t="inlineStr">
        <is>
          <t>Chave-Mestra de Grondar</t>
        </is>
      </c>
      <c r="C88" s="161" t="inlineStr">
        <is>
          <t>Ferramenta/Chave</t>
        </is>
      </c>
      <c r="D88" s="161" t="inlineStr">
        <is>
          <t>Tier 6 (Ato II)</t>
        </is>
      </c>
      <c r="E88" s="161" t="inlineStr">
        <is>
          <t>Câmara Mecânica Anã (Oficina Principal)</t>
        </is>
      </c>
      <c r="F88" s="161" t="inlineStr">
        <is>
          <t>Nenhum</t>
        </is>
      </c>
      <c r="G88" s="161" t="inlineStr">
        <is>
          <t>Abre qualquer Baú de Oferendas Falso ou armadilha mecânica sem risco de Atordoamento</t>
        </is>
      </c>
      <c r="H88" s="161" t="inlineStr">
        <is>
          <t>Nenhuma</t>
        </is>
      </c>
      <c r="I88" s="161" t="n">
        <v>200</v>
      </c>
      <c r="J88" s="161" t="inlineStr">
        <is>
          <t>O último projeto de Grondar antes de tentar se desligar pra sempre.</t>
        </is>
      </c>
      <c r="K88" s="161" t="inlineStr">
        <is>
          <t>Artefato/Relíquia</t>
        </is>
      </c>
      <c r="N88" s="161" t="inlineStr">
        <is>
          <t>Não</t>
        </is>
      </c>
    </row>
    <row r="89">
      <c r="A89" s="161" t="n">
        <v>85</v>
      </c>
      <c r="B89" s="161" t="inlineStr">
        <is>
          <t>Cinzas do Último Sermão</t>
        </is>
      </c>
      <c r="C89" s="161" t="inlineStr">
        <is>
          <t>Consumível/Relíquia</t>
        </is>
      </c>
      <c r="D89" s="161" t="inlineStr">
        <is>
          <t>Tier 7 (Ato III)</t>
        </is>
      </c>
      <c r="E89" s="161" t="inlineStr">
        <is>
          <t>Trono da Coroação Vazia</t>
        </is>
      </c>
      <c r="F89" s="161" t="inlineStr">
        <is>
          <t>Nenhum</t>
        </is>
      </c>
      <c r="G89" s="161" t="inlineStr">
        <is>
          <t>Consumível único: cura 100% do HP e remove todos os Efeitos negativos de uma vez</t>
        </is>
      </c>
      <c r="H89" s="161" t="inlineStr">
        <is>
          <t>Uso único, não pode ser recriado</t>
        </is>
      </c>
      <c r="I89" s="161" t="n">
        <v>350</v>
      </c>
      <c r="J89" s="161" t="inlineStr">
        <is>
          <t>Kaelen duvidou em voz alta até o fim. Essas cinzas carregam a última dúvida dele.</t>
        </is>
      </c>
      <c r="K89" s="161" t="inlineStr">
        <is>
          <t>Artefato/Relíquia</t>
        </is>
      </c>
      <c r="N89" s="161" t="inlineStr">
        <is>
          <t>Não</t>
        </is>
      </c>
    </row>
    <row r="90">
      <c r="A90" s="161" t="n">
        <v>86</v>
      </c>
      <c r="B90" s="161" t="inlineStr">
        <is>
          <t>Machado do Campeão Deposto</t>
        </is>
      </c>
      <c r="C90" s="161" t="inlineStr">
        <is>
          <t>Arma/Machado</t>
        </is>
      </c>
      <c r="D90" s="161" t="inlineStr">
        <is>
          <t>Tier 8 (Ato III)</t>
        </is>
      </c>
      <c r="E90" s="161" t="inlineStr">
        <is>
          <t>Tenda de Guerra do Chefe</t>
        </is>
      </c>
      <c r="F90" s="161" t="inlineStr">
        <is>
          <t>FOR 16</t>
        </is>
      </c>
      <c r="G90" s="161" t="inlineStr">
        <is>
          <t>Dano: 24 (+5 contra outros Orcs)</t>
        </is>
      </c>
      <c r="H90" s="161" t="inlineStr">
        <is>
          <t>Reputação negativa automática com o Bando Orc ao equipar</t>
        </is>
      </c>
      <c r="I90" s="161" t="n">
        <v>420</v>
      </c>
      <c r="J90" s="161" t="inlineStr">
        <is>
          <t>Grok foi Campeão antes de recusar a guerra. O machado nunca esqueceu o que ele era.</t>
        </is>
      </c>
      <c r="K90" s="161" t="inlineStr">
        <is>
          <t>Artefato/Relíquia</t>
        </is>
      </c>
      <c r="N90" s="161" t="inlineStr">
        <is>
          <t>Sim</t>
        </is>
      </c>
    </row>
    <row r="91">
      <c r="A91" s="161" t="n">
        <v>87</v>
      </c>
      <c r="B91" s="161" t="inlineStr">
        <is>
          <t>Bússola da Última Rota</t>
        </is>
      </c>
      <c r="C91" s="161" t="inlineStr">
        <is>
          <t>Ferramenta/Bússola</t>
        </is>
      </c>
      <c r="D91" s="161" t="inlineStr">
        <is>
          <t>Tier 9 (Ato III)</t>
        </is>
      </c>
      <c r="E91" s="161" t="inlineStr">
        <is>
          <t>Lago Sem Sol</t>
        </is>
      </c>
      <c r="F91" s="161" t="inlineStr">
        <is>
          <t>Nenhum</t>
        </is>
      </c>
      <c r="G91" s="161" t="inlineStr">
        <is>
          <t>Revela automaticamente a localização de 1 Local Secreto não descoberto por sessão</t>
        </is>
      </c>
      <c r="H91" s="161" t="inlineStr">
        <is>
          <t>Nenhuma</t>
        </is>
      </c>
      <c r="I91" s="161" t="n">
        <v>380</v>
      </c>
      <c r="J91" s="161" t="inlineStr">
        <is>
          <t>A Imediata guiou os sobreviventes de volta uma última vez antes de se dissolver.</t>
        </is>
      </c>
      <c r="K91" s="161" t="inlineStr">
        <is>
          <t>Artefato/Relíquia</t>
        </is>
      </c>
      <c r="N91" s="161" t="inlineStr">
        <is>
          <t>Não</t>
        </is>
      </c>
    </row>
    <row r="92">
      <c r="A92" s="161" t="n">
        <v>88</v>
      </c>
      <c r="B92" s="161" t="inlineStr">
        <is>
          <t>Fragmento da Última Resistência</t>
        </is>
      </c>
      <c r="C92" s="161" t="inlineStr">
        <is>
          <t>Joia/Fragmento</t>
        </is>
      </c>
      <c r="D92" s="161" t="inlineStr">
        <is>
          <t>Tier 10 (Ato IV)</t>
        </is>
      </c>
      <c r="E92" s="161" t="inlineStr">
        <is>
          <t>Câmara da Fusão</t>
        </is>
      </c>
      <c r="F92" s="161" t="inlineStr">
        <is>
          <t>Nenhum</t>
        </is>
      </c>
      <c r="G92" s="161" t="inlineStr">
        <is>
          <t>+20% de resistência a efeitos de Corrupção</t>
        </is>
      </c>
      <c r="H92" s="161" t="inlineStr">
        <is>
          <t>Nenhuma</t>
        </is>
      </c>
      <c r="I92" s="161" t="n">
        <v>450</v>
      </c>
      <c r="J92" s="161" t="inlineStr">
        <is>
          <t>Irmã Vashti foi a segunda no comando do culto da Fusão — e a única que se recusou a completar o próprio ritual.</t>
        </is>
      </c>
      <c r="K92" s="161" t="inlineStr">
        <is>
          <t>Artefato/Relíquia</t>
        </is>
      </c>
      <c r="N92" s="161" t="inlineStr">
        <is>
          <t>Não</t>
        </is>
      </c>
    </row>
    <row r="93">
      <c r="A93" s="161" t="n">
        <v>89</v>
      </c>
      <c r="B93" s="161" t="inlineStr">
        <is>
          <t>Espada do Juramento Quebrado</t>
        </is>
      </c>
      <c r="C93" s="161" t="inlineStr">
        <is>
          <t>Arma/Espada</t>
        </is>
      </c>
      <c r="D93" s="161" t="inlineStr">
        <is>
          <t>Tier 11 (Ato IV)</t>
        </is>
      </c>
      <c r="E93" s="161" t="inlineStr">
        <is>
          <t>Forja dos Titãs</t>
        </is>
      </c>
      <c r="F93" s="161" t="inlineStr">
        <is>
          <t>FOR 18</t>
        </is>
      </c>
      <c r="G93" s="161" t="inlineStr">
        <is>
          <t>Dano: 30 (+6 contra Constructos e Golems)</t>
        </is>
      </c>
      <c r="H93" s="161" t="inlineStr">
        <is>
          <t>Perde 10% de Dano se equipada por quem nunca quebrou uma promessa (efeito narrativo/GM)</t>
        </is>
      </c>
      <c r="I93" s="161" t="n">
        <v>520</v>
      </c>
      <c r="J93" s="161" t="inlineStr">
        <is>
          <t>Sir Aldric jurou proteger um túmulo vazio. A espada carrega o peso de um juramento que não fazia mais sentido.</t>
        </is>
      </c>
      <c r="K93" s="161" t="inlineStr">
        <is>
          <t>Artefato/Relíquia</t>
        </is>
      </c>
      <c r="N93" s="161" t="inlineStr">
        <is>
          <t>Sim</t>
        </is>
      </c>
    </row>
    <row r="94">
      <c r="A94" s="161" t="n">
        <v>90</v>
      </c>
      <c r="B94" s="161" t="inlineStr">
        <is>
          <t>Lança da Lealdade Quebrada</t>
        </is>
      </c>
      <c r="C94" s="161" t="inlineStr">
        <is>
          <t>Arma/Lança</t>
        </is>
      </c>
      <c r="D94" s="161" t="inlineStr">
        <is>
          <t>Tier 12 (Ato IV)</t>
        </is>
      </c>
      <c r="E94" s="161" t="inlineStr">
        <is>
          <t>Ossuário Draconiano</t>
        </is>
      </c>
      <c r="F94" s="161" t="inlineStr">
        <is>
          <t>FOR 17</t>
        </is>
      </c>
      <c r="G94" s="161" t="inlineStr">
        <is>
          <t>Dano: 27 (+8 contra Dragões e Wyrmlings)</t>
        </is>
      </c>
      <c r="H94" s="161" t="inlineStr">
        <is>
          <t>Nenhuma</t>
        </is>
      </c>
      <c r="I94" s="161" t="n">
        <v>490</v>
      </c>
      <c r="J94" s="161" t="inlineStr">
        <is>
          <t>Kessandra recusou trair os dragões pela recompensa da Infecção. A lança lembra dessa recusa.</t>
        </is>
      </c>
      <c r="K94" s="161" t="inlineStr">
        <is>
          <t>Artefato/Relíquia</t>
        </is>
      </c>
      <c r="N94" s="161" t="inlineStr">
        <is>
          <t>Sim</t>
        </is>
      </c>
    </row>
    <row r="95">
      <c r="A95" s="161" t="n">
        <v>91</v>
      </c>
      <c r="B95" s="161" t="inlineStr">
        <is>
          <t>Punhal do Círculo Quebrado</t>
        </is>
      </c>
      <c r="C95" s="161" t="inlineStr">
        <is>
          <t>Arma/Punhal</t>
        </is>
      </c>
      <c r="D95" s="161" t="inlineStr">
        <is>
          <t>Tier 13 (Ato V)</t>
        </is>
      </c>
      <c r="E95" s="161" t="inlineStr">
        <is>
          <t>Altar do Pacto Selado</t>
        </is>
      </c>
      <c r="F95" s="161" t="inlineStr">
        <is>
          <t>DES 18</t>
        </is>
      </c>
      <c r="G95" s="161" t="inlineStr">
        <is>
          <t>Dano: 22 + Sangramento garantido no primeiro acerto de cada combate</t>
        </is>
      </c>
      <c r="H95" s="161" t="inlineStr">
        <is>
          <t>Nenhuma</t>
        </is>
      </c>
      <c r="I95" s="161" t="n">
        <v>600</v>
      </c>
      <c r="J95" s="161" t="inlineStr">
        <is>
          <t>Irmã Coral quebrou o Círculo ao se recusar a completar o sacrifício final.</t>
        </is>
      </c>
      <c r="K95" s="161" t="inlineStr">
        <is>
          <t>Artefato/Relíquia</t>
        </is>
      </c>
      <c r="N95" s="161" t="inlineStr">
        <is>
          <t>Sim</t>
        </is>
      </c>
    </row>
    <row r="96">
      <c r="A96" s="161" t="n">
        <v>92</v>
      </c>
      <c r="B96" s="161" t="inlineStr">
        <is>
          <t>Último Fragmento de Humanidade</t>
        </is>
      </c>
      <c r="C96" s="161" t="inlineStr">
        <is>
          <t>Joia/Fragmento</t>
        </is>
      </c>
      <c r="D96" s="161" t="inlineStr">
        <is>
          <t>Tier 14 (Ato V)</t>
        </is>
      </c>
      <c r="E96" s="161" t="inlineStr">
        <is>
          <t>O Coração da Fenda Estelar</t>
        </is>
      </c>
      <c r="F96" s="161" t="inlineStr">
        <is>
          <t>Nenhum</t>
        </is>
      </c>
      <c r="G96" s="161" t="inlineStr">
        <is>
          <t>+30% de resistência a Corrupção + imunidade a 1 efeito negativo por combate</t>
        </is>
      </c>
      <c r="H96" s="161" t="inlineStr">
        <is>
          <t>Item único, não pode ser vendido nem duplicado</t>
        </is>
      </c>
      <c r="I96" s="161" t="n">
        <v>800</v>
      </c>
      <c r="J96" s="161" t="inlineStr">
        <is>
          <t>A última prova de que havia gente antes da Infecção absoluta se tornar tudo o que resta.</t>
        </is>
      </c>
      <c r="K96" s="161" t="inlineStr">
        <is>
          <t>Artefato/Relíquia</t>
        </is>
      </c>
      <c r="N96" s="161" t="inlineStr">
        <is>
          <t>Não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J3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56" customWidth="1" style="115" min="1" max="1"/>
    <col width="18.88" customWidth="1" style="115" min="2" max="2"/>
    <col width="31.42" customWidth="1" style="115" min="10" max="10"/>
  </cols>
  <sheetData>
    <row r="1" ht="15" customHeight="1" s="116">
      <c r="A1" s="177" t="inlineStr">
        <is>
          <t>Tabela 1: Os 7 Reinos &amp; Polos Regionais</t>
        </is>
      </c>
    </row>
    <row r="2" ht="15" customHeight="1" s="116">
      <c r="A2" s="165" t="inlineStr">
        <is>
          <t>ID</t>
        </is>
      </c>
      <c r="B2" s="165" t="inlineStr">
        <is>
          <t>Polo / Região</t>
        </is>
      </c>
      <c r="C2" s="165" t="inlineStr">
        <is>
          <t>Reino / Província</t>
        </is>
      </c>
      <c r="D2" s="165" t="inlineStr">
        <is>
          <t>Tiers Cobertos &amp; Ato</t>
        </is>
      </c>
      <c r="E2" s="165" t="inlineStr">
        <is>
          <t>Capital / Sede</t>
        </is>
      </c>
      <c r="F2" s="165" t="inlineStr">
        <is>
          <t>Facção Dominante</t>
        </is>
      </c>
      <c r="G2" s="165" t="inlineStr">
        <is>
          <t>Líder / Figura de Destaque</t>
        </is>
      </c>
      <c r="H2" s="165" t="inlineStr">
        <is>
          <t>Culto / Ameaça Local</t>
        </is>
      </c>
      <c r="I2" s="165" t="inlineStr">
        <is>
          <t>Segredo Ancestral / Lore Esquecida</t>
        </is>
      </c>
      <c r="J2" s="165" t="inlineStr">
        <is>
          <t>Ganchos de Missão &amp; Reputação</t>
        </is>
      </c>
    </row>
    <row r="3" ht="15" customHeight="1" s="116">
      <c r="A3" s="119" t="n">
        <v>1</v>
      </c>
      <c r="B3" s="119" t="inlineStr">
        <is>
          <t>Polo 1</t>
        </is>
      </c>
      <c r="C3" s="119" t="inlineStr">
        <is>
          <t>Ducado Remanescente de Valória</t>
        </is>
      </c>
      <c r="D3" s="119" t="inlineStr">
        <is>
          <t>Tiers 1-2 (Ato I)</t>
        </is>
      </c>
      <c r="E3" s="119" t="inlineStr">
        <is>
          <t>Vila Inicial &amp; Estrada Velha</t>
        </is>
      </c>
      <c r="F3" s="119" t="inlineStr">
        <is>
          <t>A Milícia dos Desamparados</t>
        </is>
      </c>
      <c r="G3" s="119" t="inlineStr">
        <is>
          <t>Capitão Vane (Ex-Guarda Real desertor)</t>
        </is>
      </c>
      <c r="H3" s="119" t="inlineStr">
        <is>
          <t>Culto dos Primeiros Marcados (Adoram os dedos ensanguentados nas paredes)</t>
        </is>
      </c>
      <c r="I3" s="119" t="inlineStr">
        <is>
          <t>A Cripta do Primeiro Juramento (Altar fundacional enterrado sob a praça da vila)</t>
        </is>
      </c>
      <c r="J3" s="119" t="inlineStr">
        <is>
          <t>Limpeza de bandidos, escolta de caravanas de sucata e investigação das casas vazias com sangue nas paredes.</t>
        </is>
      </c>
    </row>
    <row r="4" ht="15" customHeight="1" s="116">
      <c r="A4" s="119" t="n">
        <v>2</v>
      </c>
      <c r="B4" s="119" t="inlineStr">
        <is>
          <t>Polo 2</t>
        </is>
      </c>
      <c r="C4" s="119" t="inlineStr">
        <is>
          <t>Baronia das Montanhas Cinzentas</t>
        </is>
      </c>
      <c r="D4" s="119" t="inlineStr">
        <is>
          <t>Tiers 3-4 (Atos I/II)</t>
        </is>
      </c>
      <c r="E4" s="119" t="inlineStr">
        <is>
          <t>Posto dos Mineiros &amp; Galerias de Ferro</t>
        </is>
      </c>
      <c r="F4" s="119" t="inlineStr">
        <is>
          <t>A Guilda dos Picaretas Negros</t>
        </is>
      </c>
      <c r="G4" s="119" t="inlineStr">
        <is>
          <t>Barão Aldous Grimm (Mestre de Mineração ganancioso)</t>
        </is>
      </c>
      <c r="H4" s="119" t="inlineStr">
        <is>
          <t>A Fraternidade dos Sem-Voz (Cortam a língua para não serem ouvidos pelo Ceifador)</t>
        </is>
      </c>
      <c r="I4" s="119" t="inlineStr">
        <is>
          <t>As Catacumbas de Prata Pura (Catedral subterrânea soterrada após ritual proibido)</t>
        </is>
      </c>
      <c r="J4" s="119" t="inlineStr">
        <is>
          <t>Reabertura de poços de ferro, purificação das criptas de mortos-vivos e resgate de mineiros presos.</t>
        </is>
      </c>
    </row>
    <row r="5" ht="15" customHeight="1" s="116">
      <c r="A5" s="119" t="n">
        <v>3</v>
      </c>
      <c r="B5" s="119" t="inlineStr">
        <is>
          <t>Polo 3</t>
        </is>
      </c>
      <c r="C5" s="119" t="inlineStr">
        <is>
          <t>Domínio Élfico-Anão dos Ecos</t>
        </is>
      </c>
      <c r="D5" s="119" t="inlineStr">
        <is>
          <t>Tiers 5-6 (Ato II)</t>
        </is>
      </c>
      <c r="E5" s="119" t="inlineStr">
        <is>
          <t>Entreposto Élfico &amp; Ruínas Fluviais</t>
        </is>
      </c>
      <c r="F5" s="119" t="inlineStr">
        <is>
          <t>A Vigília das Folhas de Prata &amp; Clã Martelo de Vapor</t>
        </is>
      </c>
      <c r="G5" s="119" t="inlineStr">
        <is>
          <t>Grã-Senhora Elysea (Elfa milenar) e Forjador Thrum (Anão renegado)</t>
        </is>
      </c>
      <c r="H5" s="119" t="inlineStr">
        <is>
          <t>A Ordem do Silêncio Eterno (Assassinos que caçam conjuradores para apagar sons)</t>
        </is>
      </c>
      <c r="I5" s="119" t="inlineStr">
        <is>
          <t>O Arquivo das Árvores-Mães (Raízes vivas que guardam memórias de antes da grande infecção)</t>
        </is>
      </c>
      <c r="J5" s="119" t="inlineStr">
        <is>
          <t>Decifração de puzzles anões, proteção de bosques sagrados e negociação entre elfos e anões.</t>
        </is>
      </c>
    </row>
    <row r="6" ht="15" customHeight="1" s="116">
      <c r="A6" s="119" t="n">
        <v>4</v>
      </c>
      <c r="B6" s="119" t="inlineStr">
        <is>
          <t>Polo 4</t>
        </is>
      </c>
      <c r="C6" s="119" t="inlineStr">
        <is>
          <t>Sultanato da Rocha Incandescente</t>
        </is>
      </c>
      <c r="D6" s="119" t="inlineStr">
        <is>
          <t>Tiers 7-8 (Ato III)</t>
        </is>
      </c>
      <c r="E6" s="119" t="inlineStr">
        <is>
          <t>Cidadela dos Forjadores &amp; Fenda Ativa</t>
        </is>
      </c>
      <c r="F6" s="119" t="inlineStr">
        <is>
          <t>O Conselho dos Mestres de Forja</t>
        </is>
      </c>
      <c r="G6" s="119" t="inlineStr">
        <is>
          <t>Alto Forjador Kaelen (Mestre da Obsidiana)</t>
        </is>
      </c>
      <c r="H6" s="119" t="inlineStr">
        <is>
          <t>Os Zelotes da Mão Escarlate (Fanáticos que promovem 'A Coroação sem Rei')</t>
        </is>
      </c>
      <c r="I6" s="119" t="inlineStr">
        <is>
          <t>A Forja Primordial de Magma (Onde as primeiras lâminas capazes de ferir demônios foram feitas)</t>
        </is>
      </c>
      <c r="J6" s="119" t="inlineStr">
        <is>
          <t>Contenção de erupções da fenda, defesa contra investidas do bando orc e infiltração no culto da Mão.</t>
        </is>
      </c>
    </row>
    <row r="7" ht="15" customHeight="1" s="116">
      <c r="A7" s="119" t="n">
        <v>5</v>
      </c>
      <c r="B7" s="119" t="inlineStr">
        <is>
          <t>Polo 5</t>
        </is>
      </c>
      <c r="C7" s="119" t="inlineStr">
        <is>
          <t>Principado Abissal do Mar Sem Sol</t>
        </is>
      </c>
      <c r="D7" s="119" t="inlineStr">
        <is>
          <t>Tiers 9-10 (Atos III/IV)</t>
        </is>
      </c>
      <c r="E7" s="119" t="inlineStr">
        <is>
          <t>Porto das Profundezas &amp; Abismos de Mithril</t>
        </is>
      </c>
      <c r="F7" s="119" t="inlineStr">
        <is>
          <t>Os Navegadores do Abismo</t>
        </is>
      </c>
      <c r="G7" s="119" t="inlineStr">
        <is>
          <t>Almirante Cego Malakor (Navega rios subterrâneos por eco)</t>
        </is>
      </c>
      <c r="H7" s="119" t="inlineStr">
        <is>
          <t>O Culto da Assimilação (Pregam que a fusão de carnes do Amálgama é a única salvação)</t>
        </is>
      </c>
      <c r="I7" s="119" t="inlineStr">
        <is>
          <t>O Farol de Cristal Sem Chama (Torre de mithril e ébano que abre portais entre abismos)</t>
        </is>
      </c>
      <c r="J7" s="119" t="inlineStr">
        <is>
          <t>Pesquisa nas fendas mortas, mineração de mithril puro e eliminação de monstros esqueléticos.</t>
        </is>
      </c>
    </row>
    <row r="8" ht="15" customHeight="1" s="116">
      <c r="A8" s="119" t="n">
        <v>6</v>
      </c>
      <c r="B8" s="119" t="inlineStr">
        <is>
          <t>Polo 6</t>
        </is>
      </c>
      <c r="C8" s="119" t="inlineStr">
        <is>
          <t>Alto Bastião dos Caçadores</t>
        </is>
      </c>
      <c r="D8" s="119" t="inlineStr">
        <is>
          <t>Tiers 11-12 (Ato IV)</t>
        </is>
      </c>
      <c r="E8" s="119" t="inlineStr">
        <is>
          <t>Bastião Adamantino &amp; Cordilheira Ígnea</t>
        </is>
      </c>
      <c r="F8" s="119" t="inlineStr">
        <is>
          <t>A Ordem dos Cavaleiros do Dragão Decaído</t>
        </is>
      </c>
      <c r="G8" s="119" t="inlineStr">
        <is>
          <t>Grão-Mestre Roderick o Inquebrável</t>
        </is>
      </c>
      <c r="H8" s="119" t="inlineStr">
        <is>
          <t>A Heresia do Titã Negro (Cultistas tentando reviver a armadura do titã com carne viva)</t>
        </is>
      </c>
      <c r="I8" s="119" t="inlineStr">
        <is>
          <t>O Cofre das Mil Coroas (Câmara com relíquias de todas as civilizações destruídas por ciclos anteriores)</t>
        </is>
      </c>
      <c r="J8" s="119" t="inlineStr">
        <is>
          <t>Caça ao Dragão Ancião, contenção do Amálgama Vivente e forja de armaduras impenetráveis.</t>
        </is>
      </c>
    </row>
    <row r="9" ht="15" customHeight="1" s="116">
      <c r="A9" s="119" t="n">
        <v>7</v>
      </c>
      <c r="B9" s="119" t="inlineStr">
        <is>
          <t>Polo 7</t>
        </is>
      </c>
      <c r="C9" s="119" t="inlineStr">
        <is>
          <t>Limiar da Não-Existência</t>
        </is>
      </c>
      <c r="D9" s="119" t="inlineStr">
        <is>
          <t>Tiers 13-14 (Ato V)</t>
        </is>
      </c>
      <c r="E9" s="119" t="inlineStr">
        <is>
          <t>Santuário Proibido &amp; Além do Portal Estelar</t>
        </is>
      </c>
      <c r="F9" s="119" t="inlineStr">
        <is>
          <t>Os Guardiões do Último Véu</t>
        </is>
      </c>
      <c r="G9" s="119" t="inlineStr">
        <is>
          <t>O Arquivista Sem Rosto (Entidade que vigia o portal há eras)</t>
        </is>
      </c>
      <c r="H9" s="119" t="inlineStr">
        <is>
          <t>O Culto do Aspecto Supremo (Arautos Daédricos prontos para despertar a Mão Completa)</t>
        </is>
      </c>
      <c r="I9" s="119" t="inlineStr">
        <is>
          <t>O Espelho da Origem (A fenda onde é possível ver o primeiro momento em que a Mão tocou o mundo)</t>
        </is>
      </c>
      <c r="J9" s="119" t="inlineStr">
        <is>
          <t>Reunião dos 5 Fragmentos do Aspecto, execução do ritual de selamento e combate final cósmico.</t>
        </is>
      </c>
    </row>
    <row r="11" ht="15" customHeight="1" s="116">
      <c r="A11" s="119" t="inlineStr">
        <is>
          <t>Tabela 2: As Grandes Facções Continentais</t>
        </is>
      </c>
    </row>
    <row r="12" ht="15" customHeight="1" s="116">
      <c r="A12" s="119" t="inlineStr">
        <is>
          <t>Facção</t>
        </is>
      </c>
      <c r="B12" s="119" t="inlineStr">
        <is>
          <t>Arquétipo / Alinhamento</t>
        </is>
      </c>
      <c r="C12" s="119" t="inlineStr">
        <is>
          <t>Filosofia de Ação</t>
        </is>
      </c>
      <c r="D12" s="119" t="inlineStr">
        <is>
          <t>Relação com a Infecção</t>
        </is>
      </c>
      <c r="E12" s="119" t="inlineStr">
        <is>
          <t>Benefício de Reputação / Aliança</t>
        </is>
      </c>
    </row>
    <row r="13" ht="15" customHeight="1" s="116">
      <c r="A13" s="119" t="inlineStr">
        <is>
          <t>A Milícia dos Desamparados</t>
        </is>
      </c>
      <c r="B13" s="119" t="inlineStr">
        <is>
          <t>Neutro Bom (Sobrevivência popular)</t>
        </is>
      </c>
      <c r="C13" s="119" t="inlineStr">
        <is>
          <t>Proteger os assentamentos rurais a qualquer custo com recursos escassos</t>
        </is>
      </c>
      <c r="D13" s="119" t="inlineStr">
        <is>
          <t>Tentam purificar com fogo e isolamento qualquer infectado</t>
        </is>
      </c>
      <c r="E13" s="119" t="inlineStr">
        <is>
          <t>Descontos em pousadas locais e recrutamento de batedores para exploração.</t>
        </is>
      </c>
    </row>
    <row r="14" ht="15" customHeight="1" s="116">
      <c r="A14" s="119" t="inlineStr">
        <is>
          <t>A Guilda dos Picaretas Negros</t>
        </is>
      </c>
      <c r="B14" s="119" t="inlineStr">
        <is>
          <t>Neutro Leal (Comércio e exploração)</t>
        </is>
      </c>
      <c r="C14" s="119" t="inlineStr">
        <is>
          <t>O lucro mineral supera qualquer risco sobrenatural nas minas</t>
        </is>
      </c>
      <c r="D14" s="119" t="inlineStr">
        <is>
          <t>Exploram fendas mesmo sabendo que liberam monstros antigos</t>
        </is>
      </c>
      <c r="E14" s="119" t="inlineStr">
        <is>
          <t>Acesso prioritário a minérios brutos e contratação de mercenários de ferro.</t>
        </is>
      </c>
    </row>
    <row r="15" ht="15" customHeight="1" s="116">
      <c r="A15" s="119" t="inlineStr">
        <is>
          <t>A Vigília das Folhas de Prata</t>
        </is>
      </c>
      <c r="B15" s="119" t="inlineStr">
        <is>
          <t>Leal Bom (Preservação mística)</t>
        </is>
      </c>
      <c r="C15" s="119" t="inlineStr">
        <is>
          <t>Proteger o que restou da cultura élfica e manter os bosques intactos</t>
        </is>
      </c>
      <c r="D15" s="119" t="inlineStr">
        <is>
          <t>Consideram a Infecção uma abominação que corrompe a memória viva da terra</t>
        </is>
      </c>
      <c r="E15" s="119" t="inlineStr">
        <is>
          <t>Acesso a magias élficas exclusivas e elixires de regeneração de mana.</t>
        </is>
      </c>
    </row>
    <row r="16" ht="15" customHeight="1" s="116">
      <c r="A16" s="119" t="inlineStr">
        <is>
          <t>O Conselho dos Mestres de Forja</t>
        </is>
      </c>
      <c r="B16" s="119" t="inlineStr">
        <is>
          <t>Caótico Neutro (Progresso industrial/bélico)</t>
        </is>
      </c>
      <c r="C16" s="119" t="inlineStr">
        <is>
          <t>A única salvação é o aprimoramento bélico e o domínio do calor extremo</t>
        </is>
      </c>
      <c r="D16" s="119" t="inlineStr">
        <is>
          <t>Usam materiais de fendas vulcânicas para criar armas de poder destrutivo</t>
        </is>
      </c>
      <c r="E16" s="119" t="inlineStr">
        <is>
          <t>Acesso a forjas de alta temperatura e receitas de vidro vulcânico.</t>
        </is>
      </c>
    </row>
    <row r="17" ht="15" customHeight="1" s="116">
      <c r="A17" s="119" t="inlineStr">
        <is>
          <t>A Ordem dos Cavaleiros do Dragão</t>
        </is>
      </c>
      <c r="B17" s="119" t="inlineStr">
        <is>
          <t>Leal Neutro (Aristocracia militar)</t>
        </is>
      </c>
      <c r="C17" s="119" t="inlineStr">
        <is>
          <t>Manter a disciplina marcial e caçar as maiores aberrações do continente</t>
        </is>
      </c>
      <c r="D17" s="119" t="inlineStr">
        <is>
          <t>Encaram o Aspecto da Infecção como o inimigo supremo a ser exterminado pela força</t>
        </is>
      </c>
      <c r="E17" s="119" t="inlineStr">
        <is>
          <t>Treinamento de proficiência em armas pesadas e montarias blindadas.</t>
        </is>
      </c>
    </row>
    <row r="18" ht="15" customHeight="1" s="116">
      <c r="A18" s="119" t="inlineStr">
        <is>
          <t>Os Guardiões do Último Véu</t>
        </is>
      </c>
      <c r="B18" s="119" t="inlineStr">
        <is>
          <t>Neutro Absoluto (Conhecimento cósmico)</t>
        </is>
      </c>
      <c r="C18" s="119" t="inlineStr">
        <is>
          <t>Preservar o equilíbrio entre os planos e impedir a ruptura do tecido da realidade</t>
        </is>
      </c>
      <c r="D18" s="119" t="inlineStr">
        <is>
          <t>Sabem que a Infecção é cíclica e que destruir o hospedeiro sem o Cálice apenas reinicia a praga</t>
        </is>
      </c>
      <c r="E18" s="119" t="inlineStr">
        <is>
          <t>Acesso aos segredos dos 5 Fragmentos do Aspecto e rituais de selamento eterno.</t>
        </is>
      </c>
    </row>
    <row r="20" ht="15" customHeight="1" s="116">
      <c r="A20" s="119" t="inlineStr">
        <is>
          <t>Tabela 3: Os 5 Cultos da Infecção</t>
        </is>
      </c>
    </row>
    <row r="21" ht="15" customHeight="1" s="116">
      <c r="A21" s="119" t="inlineStr">
        <is>
          <t>Ato</t>
        </is>
      </c>
      <c r="B21" s="119" t="inlineStr">
        <is>
          <t>Nome do Culto</t>
        </is>
      </c>
      <c r="C21" s="119" t="inlineStr">
        <is>
          <t>Símbolo Sagrado</t>
        </is>
      </c>
      <c r="D21" s="119" t="inlineStr">
        <is>
          <t>Crença Central / Doutrina</t>
        </is>
      </c>
      <c r="E21" s="119" t="inlineStr">
        <is>
          <t>Método de Corrupção no Jogo</t>
        </is>
      </c>
    </row>
    <row r="22" ht="15" customHeight="1" s="116">
      <c r="A22" s="119" t="inlineStr">
        <is>
          <t>Ato I</t>
        </is>
      </c>
      <c r="B22" s="119" t="inlineStr">
        <is>
          <t>Culto dos Primeiros Marcados</t>
        </is>
      </c>
      <c r="C22" s="119" t="inlineStr">
        <is>
          <t>Dedos ensanguentados em paredes</t>
        </is>
      </c>
      <c r="D22" s="119" t="inlineStr">
        <is>
          <t>"A Mão tocou o chão para recolher o que foi prometido no início dos tempos."</t>
        </is>
      </c>
      <c r="E22" s="119" t="inlineStr">
        <is>
          <t>Marcam portas de vilas desavisadas atraindo bandidos e criaturas ensanguentadas.</t>
        </is>
      </c>
    </row>
    <row r="23" ht="15" customHeight="1" s="116">
      <c r="A23" s="119" t="inlineStr">
        <is>
          <t>Ato II</t>
        </is>
      </c>
      <c r="B23" s="119" t="inlineStr">
        <is>
          <t>A Fraternidade dos Sem-Voz</t>
        </is>
      </c>
      <c r="C23" s="119" t="inlineStr">
        <is>
          <t>Boca costurada com fios de prata</t>
        </is>
      </c>
      <c r="D23" s="119" t="inlineStr">
        <is>
          <t>"O som atrai a dor; o silêncio absoluto é a única paz que a morte concede."</t>
        </is>
      </c>
      <c r="E23" s="119" t="inlineStr">
        <is>
          <t>Silenciam sacerdotes e usam o Sino Que Não Deve Tocar para apagar feitiços dos defensores.</t>
        </is>
      </c>
    </row>
    <row r="24" ht="15" customHeight="1" s="116">
      <c r="A24" s="119" t="inlineStr">
        <is>
          <t>Ato III</t>
        </is>
      </c>
      <c r="B24" s="119" t="inlineStr">
        <is>
          <t>Os Zelotes da Mão Escarlate</t>
        </is>
      </c>
      <c r="C24" s="119" t="inlineStr">
        <is>
          <t>Coroa quebrada sobre mão aberta</t>
        </is>
      </c>
      <c r="D24" s="119" t="inlineStr">
        <is>
          <t>"O Rei sem corpo governa através de todos nós; curvar-se é a única lei."</t>
        </is>
      </c>
      <c r="E24" s="119" t="inlineStr">
        <is>
          <t>Infiltram-se nas cortes e desfiladeiros exigindo pedágios de sangue e fidelidade.</t>
        </is>
      </c>
    </row>
    <row r="25" ht="15" customHeight="1" s="116">
      <c r="A25" s="119" t="inlineStr">
        <is>
          <t>Ato IV</t>
        </is>
      </c>
      <c r="B25" s="119" t="inlineStr">
        <is>
          <t>O Culto da Assimilação</t>
        </is>
      </c>
      <c r="C25" s="119" t="inlineStr">
        <is>
          <t>Carne entrelaçada com raízes negras</t>
        </is>
      </c>
      <c r="D25" s="119" t="inlineStr">
        <is>
          <t>"Não somos vítimas; somos partes do corpo supremo que finalmente está se unindo."</t>
        </is>
      </c>
      <c r="E25" s="119" t="inlineStr">
        <is>
          <t>Infectam fontes de água e rebanhos fazendo animais e guerreiros se fundirem ao solo vivo.</t>
        </is>
      </c>
    </row>
    <row r="26" ht="15" customHeight="1" s="116">
      <c r="A26" s="119" t="inlineStr">
        <is>
          <t>Ato V</t>
        </is>
      </c>
      <c r="B26" s="119" t="inlineStr">
        <is>
          <t>Os Arautos do Aspecto Supremo</t>
        </is>
      </c>
      <c r="C26" s="119" t="inlineStr">
        <is>
          <t>A Mão Completa segurando um sol negro</t>
        </is>
      </c>
      <c r="D26" s="119" t="inlineStr">
        <is>
          <t>"O ciclo de dor dos mortais acaba quando a Mão fechar seu punho sobre o mundo."</t>
        </is>
      </c>
      <c r="E26" s="119" t="inlineStr">
        <is>
          <t>Conduzem rituais de sangue nos círculos daédricos para abrir o Portal Estelar.</t>
        </is>
      </c>
    </row>
    <row r="28" ht="15" customHeight="1" s="116">
      <c r="A28" s="119" t="inlineStr">
        <is>
          <t>Tabela 4: A Cronologia dos Ciclos &amp; Mitologia da Infecção</t>
        </is>
      </c>
    </row>
    <row r="29" ht="15" customHeight="1" s="116">
      <c r="A29" s="119" t="inlineStr">
        <is>
          <t>Ciclo</t>
        </is>
      </c>
      <c r="B29" s="119" t="inlineStr">
        <is>
          <t>Evento</t>
        </is>
      </c>
    </row>
    <row r="30" ht="15" customHeight="1" s="116">
      <c r="A30" s="119" t="inlineStr">
        <is>
          <t>Ciclo Atual</t>
        </is>
      </c>
      <c r="B30" s="119" t="inlineStr">
        <is>
          <t>A Infecção que Segura o Mundo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P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9" customWidth="1" style="115" min="1" max="1"/>
    <col width="12.68" customWidth="1" style="115" min="2" max="2"/>
    <col width="12.95" customWidth="1" style="115" min="3" max="3"/>
    <col width="12.68" customWidth="1" style="115" min="5" max="5"/>
    <col width="12.95" customWidth="1" style="115" min="6" max="6"/>
    <col width="32" customWidth="1" style="115" min="11" max="11"/>
    <col width="40" customWidth="1" style="115" min="12" max="12"/>
    <col width="13" customWidth="1" style="115" min="13" max="13"/>
    <col width="10" customWidth="1" style="115" min="14" max="14"/>
    <col width="42" customWidth="1" style="115" min="15" max="16"/>
  </cols>
  <sheetData>
    <row r="1" ht="15" customHeight="1" s="116">
      <c r="A1" s="117" t="inlineStr">
        <is>
          <t>Classes e Arquétipos</t>
        </is>
      </c>
    </row>
    <row r="2" ht="15" customHeight="1" s="116">
      <c r="A2" s="165" t="inlineStr">
        <is>
          <t>ID</t>
        </is>
      </c>
      <c r="B2" s="165" t="inlineStr">
        <is>
          <t>Nome da Classe / Arquétipo</t>
        </is>
      </c>
      <c r="C2" s="165" t="inlineStr">
        <is>
          <t>Papel em Combate &amp; Estilo de Jogo</t>
        </is>
      </c>
      <c r="D2" s="165" t="inlineStr">
        <is>
          <t>Atributos Chave (Primário / Secundário)</t>
        </is>
      </c>
      <c r="E2" s="165" t="inlineStr">
        <is>
          <t>Status Iniciais Nível 1 (HP Base, Mana Base, Ataque, Defesa)</t>
        </is>
      </c>
      <c r="F2" s="165" t="inlineStr">
        <is>
          <t>Habilidade Passiva Única</t>
        </is>
      </c>
      <c r="G2" s="165" t="inlineStr">
        <is>
          <t>Habilidade Ativa Inicial (Nível 1)</t>
        </is>
      </c>
      <c r="H2" s="165" t="inlineStr">
        <is>
          <t>Kit de Equipamento Inicial (Tier 1)</t>
        </is>
      </c>
      <c r="I2" s="165" t="inlineStr">
        <is>
          <t>Progressão de Talentos Chave (Níveis 15, 30, 50, 65)</t>
        </is>
      </c>
      <c r="J2" s="165" t="inlineStr">
        <is>
          <t>História &amp; Origem no Continente</t>
        </is>
      </c>
      <c r="K2" s="165" t="inlineStr">
        <is>
          <t>Status Iniciais (corrigido)</t>
        </is>
      </c>
      <c r="L2" s="165" t="inlineStr">
        <is>
          <t>Kit Inicial (Variação real, Tier 1)</t>
        </is>
      </c>
      <c r="M2" s="165" t="inlineStr">
        <is>
          <t>Proficiência Inicial</t>
        </is>
      </c>
      <c r="N2" s="165" t="inlineStr">
        <is>
          <t>VIG Inicial</t>
        </is>
      </c>
      <c r="O2" s="165" t="inlineStr">
        <is>
          <t>Vantagem (desde Nv.1)</t>
        </is>
      </c>
      <c r="P2" s="165" t="inlineStr">
        <is>
          <t>Desvantagem (desde Nv.1)</t>
        </is>
      </c>
    </row>
    <row r="3" ht="15" customHeight="1" s="116">
      <c r="A3" s="119" t="n">
        <v>1</v>
      </c>
      <c r="B3" s="119" t="inlineStr">
        <is>
          <t>Guerreiro da Forja</t>
        </is>
      </c>
      <c r="C3" s="119" t="inlineStr">
        <is>
          <t>Defensor / Linha de Frente Físico &amp; Controle de Impacto</t>
        </is>
      </c>
      <c r="D3" s="119" t="inlineStr">
        <is>
          <t>FOR (Primário) / CON (Secundário)</t>
        </is>
      </c>
      <c r="E3" s="119" t="inlineStr">
        <is>
          <t>HP: 24 (+CONx1) | Mana: 15 | Atq: +4 | Def: 6</t>
        </is>
      </c>
      <c r="F3" s="119" t="inlineStr">
        <is>
          <t>Vontade de Aço (+1 de Defesa permanente ao equipar armadura pesada ou escudo)</t>
        </is>
      </c>
      <c r="G3" s="119" t="inlineStr">
        <is>
          <t>Golpe de Impacto (Atordoa o alvo por 1 turno se passar em teste FOR CD 10)</t>
        </is>
      </c>
      <c r="H3" s="119" t="inlineStr">
        <is>
          <t>Espada de Sucata + Escudo de Sucata + Peitoral de Sucata + Ferramenta de Forja Portátil + 1x Poção de Cura Básica</t>
        </is>
      </c>
      <c r="I3" s="119" t="inlineStr">
        <is>
          <t>Nvl 15: Muralha Inabalável | Nvl 30: Golpe Sísmico | Nvl 50: Fenda Rompe-Couraça | Nvl 65: Avatar de Adamantina</t>
        </is>
      </c>
      <c r="J3" s="119" t="inlineStr">
        <is>
          <t>Veteranos e guardas treinados nas antigas forjas que usam a disciplina do metal para resistir às garras da Infecção.</t>
        </is>
      </c>
      <c r="K3" s="119" t="inlineStr">
        <is>
          <t>HP: 24 | Mana: 15 | Atq: +3 | Def: 6</t>
        </is>
      </c>
      <c r="L3" s="119" t="inlineStr">
        <is>
          <t>Espada de Sucata Enferrujada + Escudo de Sucata + Peitoral de Sucata Enferrujada</t>
        </is>
      </c>
      <c r="M3" s="119" t="n">
        <v>10</v>
      </c>
      <c r="N3" s="119" t="inlineStr">
        <is>
          <t>60 + (CON-3)×10 (aplica a fórmula do Vigor com o CON que o jogador escolher)</t>
        </is>
      </c>
      <c r="O3" s="119" t="inlineStr">
        <is>
          <t>+2 Defesa permanente ao equipar armadura pesada ou escudo</t>
        </is>
      </c>
      <c r="P3" s="119" t="inlineStr">
        <is>
          <t>-10% de Dano com Adaga, Arco ou Cetro</t>
        </is>
      </c>
    </row>
    <row r="4" ht="15" customHeight="1" s="116">
      <c r="A4" s="119" t="n">
        <v>2</v>
      </c>
      <c r="B4" s="119" t="inlineStr">
        <is>
          <t>Inquisidor de Prata</t>
        </is>
      </c>
      <c r="C4" s="119" t="inlineStr">
        <is>
          <t>Paladino Sagrado / Caçador de Aberrações &amp; Suporte de Purificação</t>
        </is>
      </c>
      <c r="D4" s="119" t="inlineStr">
        <is>
          <t>FOR &amp; SAB (Primários) / CON (Secundário)</t>
        </is>
      </c>
      <c r="E4" s="119" t="inlineStr">
        <is>
          <t>HP: 24 (+CONx1) | Mana: 20 | Atq: +4 | Def: 6</t>
        </is>
      </c>
      <c r="F4" s="119" t="inlineStr">
        <is>
          <t>Olhar Sagrado (+2 em testes de Percepção contra cultistas e aberrações da Mão)</t>
        </is>
      </c>
      <c r="G4" s="119" t="inlineStr">
        <is>
          <t>Golpe Radiante (+2 de dano de Luz e anula qualquer regeneração do inimigo por 1 rodada)</t>
        </is>
      </c>
      <c r="H4" s="119" t="inlineStr">
        <is>
          <t>Maça de Sucata + Escudo de Sucata + Elmo de Sucata + Símbolo Sagrado de Prata + 1x Água Benta Purificadora</t>
        </is>
      </c>
      <c r="I4" s="119" t="inlineStr">
        <is>
          <t>Nvl 15: Lança de Purificação | Nvl 30: Julgamento Sagrado | Nvl 50: Aurora da Restauração Plena | Nvl 65: Presença do Sol Eterno</t>
        </is>
      </c>
      <c r="J4" s="119" t="inlineStr">
        <is>
          <t>Membros de ordens religiosas dispersas que juraram queimar os dedos ensanguentados da Mão onde quer que surjam.</t>
        </is>
      </c>
      <c r="K4" s="119" t="inlineStr">
        <is>
          <t>HP: 24 | Mana: 20 | Atq: +3 | Def: 6</t>
        </is>
      </c>
      <c r="L4" s="119" t="inlineStr">
        <is>
          <t>Maça de Sucata Enferrujada + Escudo de Sucata + Elmo de Sucata Enferrujada</t>
        </is>
      </c>
      <c r="M4" s="119" t="n">
        <v>10</v>
      </c>
      <c r="N4" s="119" t="inlineStr">
        <is>
          <t>60 + (CON-3)×10 (aplica a fórmula do Vigor com o CON que o jogador escolher)</t>
        </is>
      </c>
      <c r="O4" s="119" t="inlineStr">
        <is>
          <t>+50% de dano contra mortos-vivos e cultistas</t>
        </is>
      </c>
      <c r="P4" s="119" t="inlineStr">
        <is>
          <t>Gasta +1 VIG extra em toda ação ofensiva (disciplina tem custo)</t>
        </is>
      </c>
    </row>
    <row r="5" ht="15" customHeight="1" s="116">
      <c r="A5" s="119" t="n">
        <v>3</v>
      </c>
      <c r="B5" s="119" t="inlineStr">
        <is>
          <t>Conjurador de Sangue (Hemomante)</t>
        </is>
      </c>
      <c r="C5" s="119" t="inlineStr">
        <is>
          <t>Mago Proibido / Alto Dano Sacrificial &amp; Drenagem Vital</t>
        </is>
      </c>
      <c r="D5" s="119" t="inlineStr">
        <is>
          <t>INT (Primário) / CON (Secundário)</t>
        </is>
      </c>
      <c r="E5" s="119" t="inlineStr">
        <is>
          <t>HP: 24 (+CONx1) | Mana: 15 | Atq: +3 | Def: 5</t>
        </is>
      </c>
      <c r="F5" s="119" t="inlineStr">
        <is>
          <t>Pacto Escarlate (Pode pagar custos de Mana consumindo o próprio HP na proporção de 1 HP para cada 3 Mana)</t>
        </is>
      </c>
      <c r="G5" s="119" t="inlineStr">
        <is>
          <t>Drenagem Vital Escarlate (Causa 16 de dano sombrio e recupera 100% do dano causado como Vida)</t>
        </is>
      </c>
      <c r="H5" s="119" t="inlineStr">
        <is>
          <t>Cetro de Sucata + Adaga Cerimonial + Túnica de Tecido Gasto + Frasco de Sangue Coagulado + 1x Poção de Mana Básica</t>
        </is>
      </c>
      <c r="I5" s="119" t="inlineStr">
        <is>
          <t>Nvl 15: Lâmina da Carne Corrompida | Nvl 30: Consumir Vida | Nvl 50: Eclipse da Aniquilação | Nvl 55: Sacrifício dos Dez Dedos</t>
        </is>
      </c>
      <c r="J5" s="119" t="inlineStr">
        <is>
          <t>Eruditos desesperados que decifraram os sussurros da Mão nas paredes para transformar a própria praga em arma contra seus criadores.</t>
        </is>
      </c>
      <c r="K5" s="119" t="inlineStr">
        <is>
          <t>HP: 24 | Mana: 15 | Atq: +2 | Def: 5</t>
        </is>
      </c>
      <c r="L5" s="119" t="inlineStr">
        <is>
          <t>Cetro de Sucata Enferrujada + Adaga de Sucata Enferrujada</t>
        </is>
      </c>
      <c r="M5" s="119" t="n">
        <v>10</v>
      </c>
      <c r="N5" s="119" t="inlineStr">
        <is>
          <t>60 + (CON-3)×10 (aplica a fórmula do Vigor com o CON que o jogador escolher)</t>
        </is>
      </c>
      <c r="O5" s="119" t="inlineStr">
        <is>
          <t>Rouba Vida (15%) em qualquer ataque mágico, mesmo sem esse efeito na magia</t>
        </is>
      </c>
      <c r="P5" s="119" t="inlineStr">
        <is>
          <t>HP Máximo reduzido em 10% permanentemente (o pacto cobra seu preço)</t>
        </is>
      </c>
    </row>
    <row r="6" ht="15" customHeight="1" s="116">
      <c r="A6" s="119" t="n">
        <v>4</v>
      </c>
      <c r="B6" s="119" t="inlineStr">
        <is>
          <t>Batedor dos Ecos</t>
        </is>
      </c>
      <c r="C6" s="119" t="inlineStr">
        <is>
          <t>Patrulheiro / Dano à Distância &amp; Rastreamento em Zonas Hostis</t>
        </is>
      </c>
      <c r="D6" s="119" t="inlineStr">
        <is>
          <t>DES (Primário) / SAB (Secundário)</t>
        </is>
      </c>
      <c r="E6" s="119" t="inlineStr">
        <is>
          <t>HP: 24 (+CONx1) | Mana: 15 | Atq: +4 | Def: 5</t>
        </is>
      </c>
      <c r="F6" s="119" t="inlineStr">
        <is>
          <t>Passos dos Ecos (Vantagem total em rolagens de Fuga e Furtividade em florestas ruínas e cavernas)</t>
        </is>
      </c>
      <c r="G6" s="119" t="inlineStr">
        <is>
          <t>Tiro Perfurante (Disparo de arco que ignora 1 ponto de Defesa da criatura)</t>
        </is>
      </c>
      <c r="H6" s="119" t="inlineStr">
        <is>
          <t>Arco de Sucata (20 flechas) + Adaga de Sucata + Botas e Luvas de Couro de Javali + Kit de Sobrevivência + 1x Antídoto</t>
        </is>
      </c>
      <c r="I6" s="119" t="inlineStr">
        <is>
          <t>Nvl 15: Nevasca Perfurante | Nvl 20: Dança das Lâminas | Nvl 30: Flecha Translúcida | Nvl 50: Disparo Astral Dimensional</t>
        </is>
      </c>
      <c r="J6" s="119" t="inlineStr">
        <is>
          <t>Rastreadores que viveram nos limites do domínio élfico aprendendo a ler o movimento do vento e a fugir antes do Ceifador chegar.</t>
        </is>
      </c>
      <c r="K6" s="119" t="inlineStr">
        <is>
          <t>HP: 24 | Mana: 15 | Atq: +3 | Def: 5</t>
        </is>
      </c>
      <c r="L6" s="119" t="inlineStr">
        <is>
          <t>Arco de Sucata Enferrujada + Adaga de Sucata Enferrujada</t>
        </is>
      </c>
      <c r="M6" s="119" t="n">
        <v>10</v>
      </c>
      <c r="N6" s="119" t="inlineStr">
        <is>
          <t>60 + (CON-3)×10 (aplica a fórmula do Vigor com o CON que o jogador escolher)</t>
        </is>
      </c>
      <c r="O6" s="119" t="inlineStr">
        <is>
          <t>+10% de chance de acerto com Arco</t>
        </is>
      </c>
      <c r="P6" s="119" t="inlineStr">
        <is>
          <t>-1 de Dano em armas corpo-a-corpo</t>
        </is>
      </c>
    </row>
    <row r="7" ht="15" customHeight="1" s="116">
      <c r="A7" s="119" t="n">
        <v>5</v>
      </c>
      <c r="B7" s="119" t="inlineStr">
        <is>
          <t>Ladino das Sombras</t>
        </is>
      </c>
      <c r="C7" s="119" t="inlineStr">
        <is>
          <t>Assassino Furtivo / Dano Crítico Letal &amp; Utilidade de Dungeons</t>
        </is>
      </c>
      <c r="D7" s="119" t="inlineStr">
        <is>
          <t>DES (Primário) / INT &amp; CAR (Secundários)</t>
        </is>
      </c>
      <c r="E7" s="119" t="inlineStr">
        <is>
          <t>HP: 24 (+CONx1) | Mana: 15 | Atq: +4 | Def: 5</t>
        </is>
      </c>
      <c r="F7" s="119" t="inlineStr">
        <is>
          <t>Oportunismo Letal (Ataques contra alvos desatentos ou imobilizados causam dano em dobro)</t>
        </is>
      </c>
      <c r="G7" s="119" t="inlineStr">
        <is>
          <t>Apunhalada nas Sombras (+3 no bônus de ataque se o golpe for executado de emboscada ou invisibilidade)</t>
        </is>
      </c>
      <c r="H7" s="119" t="inlineStr">
        <is>
          <t>2x Adagas de Sucata + Peitoral de Couro Leve + Gazua de Ferro + Capuz Negro + 1x Frasco de Veneno Menor</t>
        </is>
      </c>
      <c r="I7" s="119" t="inlineStr">
        <is>
          <t>Nvl 15: Manto da Não-Existência | Nvl 30: Toque que Silencia | Nvl 50: Sentença da Lâmina Noturna | Nvl 65: Passo do Vazio</t>
        </is>
      </c>
      <c r="J7" s="119" t="inlineStr">
        <is>
          <t>Sobreviventes das vielas e prisões subterrâneas que aprenderam que a lâmina mais rápida é aquela que o inimigo nunca vê.</t>
        </is>
      </c>
      <c r="K7" s="119" t="inlineStr">
        <is>
          <t>HP: 24 | Mana: 15 | Atq: +3 | Def: 5</t>
        </is>
      </c>
      <c r="L7" s="119" t="inlineStr">
        <is>
          <t>2x Adaga de Sucata Enferrujada + Peitoral de Couro e Metal</t>
        </is>
      </c>
      <c r="M7" s="119" t="n">
        <v>10</v>
      </c>
      <c r="N7" s="119" t="inlineStr">
        <is>
          <t>60 + (CON-3)×10 (aplica a fórmula do Vigor com o CON que o jogador escolher)</t>
        </is>
      </c>
      <c r="O7" s="119" t="inlineStr">
        <is>
          <t>Dano em dobro contra alvos desprevenidos ou imobilizados</t>
        </is>
      </c>
      <c r="P7" s="119" t="inlineStr">
        <is>
          <t>-2 de Defesa permanente (evita armadura pesada por natureza)</t>
        </is>
      </c>
    </row>
    <row r="8" ht="15" customHeight="1" s="116">
      <c r="A8" s="119" t="n">
        <v>6</v>
      </c>
      <c r="B8" s="119" t="inlineStr">
        <is>
          <t>Mago Elemental</t>
        </is>
      </c>
      <c r="C8" s="119" t="inlineStr">
        <is>
          <t>Conjurador de Dano em Área &amp; Controle Arcano do Campo de Batalha</t>
        </is>
      </c>
      <c r="D8" s="119" t="inlineStr">
        <is>
          <t>INT (Primário) / SAB (Secundário)</t>
        </is>
      </c>
      <c r="E8" s="119" t="inlineStr">
        <is>
          <t>HP: 24 (+CONx1) | Mana: 25 | Atq: +3 | Def: 5</t>
        </is>
      </c>
      <c r="F8" s="119" t="inlineStr">
        <is>
          <t>Mestre da Roda Elemental (Conhece as fraquezas de todos os monstros; magias do elemento oposto causam +50% de dano)</t>
        </is>
      </c>
      <c r="G8" s="119" t="inlineStr">
        <is>
          <t>Bola de Fogo Menor ou Lança de Gelo (Dano: 8 com efeitos de lentidão ou queimadura)</t>
        </is>
      </c>
      <c r="H8" s="119" t="inlineStr">
        <is>
          <t>Cetro de Sucata + Livro de Feitiços Básico + Manto de Aprendiz + Bolsa de Componentes + 2x Poções de Mana Básicas</t>
        </is>
      </c>
      <c r="I8" s="119" t="inlineStr">
        <is>
          <t>Nvl 15: Arco Voltaico Encadeado | Nvl 30: Explosão Vulcânica | Nvl 50: Meteoro da Fenda Viva | Nvl 65: Ruptura Dimensional</t>
        </is>
      </c>
      <c r="J8" s="119" t="inlineStr">
        <is>
          <t>Estudiosos das antigas academias de magia que buscam restaurar o equilíbrio elemental rompido pela fenda cósmica.</t>
        </is>
      </c>
      <c r="K8" s="119" t="inlineStr">
        <is>
          <t>HP: 24 | Mana: 25 | Atq: +2 | Def: 5</t>
        </is>
      </c>
      <c r="L8" s="119" t="inlineStr">
        <is>
          <t>Cetro de Sucata Enferrujada + Peitoral de Couro e Metal</t>
        </is>
      </c>
      <c r="M8" s="119" t="n">
        <v>10</v>
      </c>
      <c r="N8" s="119" t="inlineStr">
        <is>
          <t>60 + (CON-3)×10 (aplica a fórmula do Vigor com o CON que o jogador escolher)</t>
        </is>
      </c>
      <c r="O8" s="119" t="inlineStr">
        <is>
          <t>Feitiços custam -10% de Mana</t>
        </is>
      </c>
      <c r="P8" s="119" t="inlineStr">
        <is>
          <t>-2 de Defesa física (sem treino de combate corpo-a-corpo)</t>
        </is>
      </c>
    </row>
    <row r="9" ht="15" customHeight="1" s="116">
      <c r="A9" s="119" t="n">
        <v>7</v>
      </c>
      <c r="B9" s="119" t="inlineStr">
        <is>
          <t>Bárbaro da Fenda</t>
        </is>
      </c>
      <c r="C9" s="119" t="inlineStr">
        <is>
          <t>Bruiser Berserker / Dano Bruto Colossal &amp; Poder na Agonia</t>
        </is>
      </c>
      <c r="D9" s="119" t="inlineStr">
        <is>
          <t>FOR (Primário) / CON (Primário)</t>
        </is>
      </c>
      <c r="E9" s="119" t="inlineStr">
        <is>
          <t>HP: 28 (+CONx1) | Mana: 10 | Atq: +4 | Def: 5</t>
        </is>
      </c>
      <c r="F9" s="119" t="inlineStr">
        <is>
          <t>Fúria da Agonia (Ganha +1 de Bônus de Ataque permanente a cada 20% de HP perdido em combate)</t>
        </is>
      </c>
      <c r="G9" s="119" t="inlineStr">
        <is>
          <t>Investida Brutal (Avança causando dano com +2 de Ataque mas reduz sua própria Defesa em -1 por 1 rodada)</t>
        </is>
      </c>
      <c r="H9" s="119" t="inlineStr">
        <is>
          <t>Machado de Duas Mãos de Sucata + Calça e Botas de Couro de Javali + Troféu de Osso + 1x Comida de Viagem (+2 FOR)</t>
        </is>
      </c>
      <c r="I9" s="119" t="inlineStr">
        <is>
          <t>Nvl 15: Golpe Desesperado | Nvl 35: Fúria Indomável do Bastião | Nvl 50: Colapso Titânico | Nvl 65: Ira do Fim do Mundo</t>
        </is>
      </c>
      <c r="J9" s="119" t="inlineStr">
        <is>
          <t>Guerreiros selvagens criados nos ermos rochosos que aprenderam a canalizar a dor dos ferimentos em força devastadora.</t>
        </is>
      </c>
      <c r="K9" s="119" t="inlineStr">
        <is>
          <t>HP: 28 | Mana: 10 | Atq: +3 | Def: 5</t>
        </is>
      </c>
      <c r="L9" s="119" t="inlineStr">
        <is>
          <t>Machado de Duas Cabeças de Sucata Enferrujada + Peitoral de Couro e Metal</t>
        </is>
      </c>
      <c r="M9" s="119" t="n">
        <v>10</v>
      </c>
      <c r="N9" s="119" t="inlineStr">
        <is>
          <t>60 + (CON-3)×10 (aplica a fórmula do Vigor com o CON que o jogador escolher)</t>
        </is>
      </c>
      <c r="O9" s="119" t="inlineStr">
        <is>
          <t>+1 de Bônus de Ataque a cada 20% de HP perdido em combate</t>
        </is>
      </c>
      <c r="P9" s="119" t="inlineStr">
        <is>
          <t>-10% de eficácia em cura recebida (não cicatriza bem)</t>
        </is>
      </c>
    </row>
    <row r="10" ht="15" customHeight="1" s="116">
      <c r="A10" s="119" t="n">
        <v>8</v>
      </c>
      <c r="B10" s="119" t="inlineStr">
        <is>
          <t>Artífice Mecânico</t>
        </is>
      </c>
      <c r="C10" s="119" t="inlineStr">
        <is>
          <t>Suporte Tecnológico / Armadilhas &amp; Criação de Equipamentos em Campo</t>
        </is>
      </c>
      <c r="D10" s="119" t="inlineStr">
        <is>
          <t>INT (Primário) / DES (Secundário)</t>
        </is>
      </c>
      <c r="E10" s="119" t="inlineStr">
        <is>
          <t>HP: 24 (+CONx1) | Mana: 20 | Atq: +4 | Def: 6</t>
        </is>
      </c>
      <c r="F10" s="119" t="inlineStr">
        <is>
          <t>Engenharia de Campo (+3 em testes de desmanche de mecanismos anões e reparo de equipamentos em dungeons)</t>
        </is>
      </c>
      <c r="G10" s="119" t="inlineStr">
        <is>
          <t>Bomba de Fragmentação de Sucata (Causa 6 de dano de fogo e perfuração em até 2 inimigos adjacentes)</t>
        </is>
      </c>
      <c r="H10" s="119" t="inlineStr">
        <is>
          <t>Manopla de Sucata + Besta Leve + Conjunto de Chaves de Fenda e Engrenagens + 2x Bombas de Fogo + Peitoral Reforçado</t>
        </is>
      </c>
      <c r="I10" s="119" t="inlineStr">
        <is>
          <t>Nvl 15: Barreira de Distorção Rúnica | Nvl 26: Desmanche de Autômatos | Nvl 35: Forja Rúnica de Campanha | Nvl 50: Construção de Golem Guardião</t>
        </is>
      </c>
      <c r="J10" s="119" t="inlineStr">
        <is>
          <t>Inventores que estudaram as ruínas anãs e criaram dispositivos mecânicos capazes de enfrentar os horrores sobrenaturais.</t>
        </is>
      </c>
      <c r="K10" s="119" t="inlineStr">
        <is>
          <t>HP: 24 | Mana: 20 | Atq: +3 | Def: 6</t>
        </is>
      </c>
      <c r="L10" s="119" t="inlineStr">
        <is>
          <t>Manopla de Sucata Enferrujada + Peitoral de Sucata Enferrujada</t>
        </is>
      </c>
      <c r="M10" s="119" t="n">
        <v>10</v>
      </c>
      <c r="N10" s="119" t="inlineStr">
        <is>
          <t>60 + (CON-3)×10 (aplica a fórmula do Vigor com o CON que o jogador escolher)</t>
        </is>
      </c>
      <c r="O10" s="119" t="inlineStr">
        <is>
          <t>Reparo de equipamento custa -30%</t>
        </is>
      </c>
      <c r="P10" s="119" t="inlineStr">
        <is>
          <t>-1 de Dano em combate corpo-a-corpo (é suporte, não combatente direto)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1:H3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9" customWidth="1" style="115" min="1" max="1"/>
    <col width="51.11" customWidth="1" style="115" min="2" max="2"/>
    <col width="12.95" customWidth="1" style="115" min="3" max="3"/>
    <col width="12.42" customWidth="1" style="115" min="4" max="4"/>
    <col width="12.95" customWidth="1" style="115" min="5" max="5"/>
    <col width="13.08" customWidth="1" style="115" min="8" max="8"/>
    <col width="12.54" customWidth="1" style="115" min="9" max="9"/>
  </cols>
  <sheetData>
    <row r="1" ht="17.35" customHeight="1" s="116">
      <c r="A1" s="177" t="inlineStr">
        <is>
          <t>Os 5 Estágios da Infecção da Mão Carmesim</t>
        </is>
      </c>
    </row>
    <row r="2" ht="15" customHeight="1" s="116">
      <c r="A2" s="165" t="inlineStr">
        <is>
          <t>ID</t>
        </is>
      </c>
      <c r="B2" s="165" t="inlineStr">
        <is>
          <t>Estágio</t>
        </is>
      </c>
      <c r="C2" s="165" t="inlineStr">
        <is>
          <t>Faixa de Pontos</t>
        </is>
      </c>
      <c r="D2" s="165" t="inlineStr">
        <is>
          <t>Nome do Estágio</t>
        </is>
      </c>
      <c r="E2" s="165" t="inlineStr">
        <is>
          <t>Sintomas Visuais &amp; Mentais</t>
        </is>
      </c>
      <c r="F2" s="165" t="inlineStr">
        <is>
          <t>Bônus Mecânico</t>
        </is>
      </c>
      <c r="G2" s="165" t="inlineStr">
        <is>
          <t>Penalidade Mecânica</t>
        </is>
      </c>
      <c r="H2" s="165" t="inlineStr">
        <is>
          <t>Risco no Clímax da Campanha</t>
        </is>
      </c>
    </row>
    <row r="3" ht="15" customHeight="1" s="116">
      <c r="A3" s="119" t="n">
        <v>1</v>
      </c>
      <c r="B3" s="119" t="inlineStr">
        <is>
          <t>Estágio 0</t>
        </is>
      </c>
      <c r="C3" s="119" t="inlineStr">
        <is>
          <t>0 a 19 Pontos</t>
        </is>
      </c>
      <c r="D3" s="119" t="inlineStr">
        <is>
          <t>Puro / Intacto</t>
        </is>
      </c>
      <c r="E3" s="119" t="inlineStr">
        <is>
          <t>Nenhuma alteração visível; mente sã e controle total do corpo</t>
        </is>
      </c>
      <c r="F3" s="119" t="inlineStr">
        <is>
          <t>Nenhum bônus adicional</t>
        </is>
      </c>
      <c r="G3" s="119" t="inlineStr">
        <is>
          <t>Nenhuma penalidade</t>
        </is>
      </c>
      <c r="H3" s="119" t="inlineStr">
        <is>
          <t>Imune à dominação mental do Aspecto da Infecção.</t>
        </is>
      </c>
    </row>
    <row r="4" ht="15" customHeight="1" s="116">
      <c r="A4" s="119" t="n">
        <v>2</v>
      </c>
      <c r="B4" s="119" t="inlineStr">
        <is>
          <t>Estágio I</t>
        </is>
      </c>
      <c r="C4" s="119" t="inlineStr">
        <is>
          <t>20 a 39 Pontos</t>
        </is>
      </c>
      <c r="D4" s="119" t="inlineStr">
        <is>
          <t>O Toque Rubro (Marcado)</t>
        </is>
      </c>
      <c r="E4" s="119" t="inlineStr">
        <is>
          <t>Veias avermelhadas visíveis nos pulsos; insônia leve e pesadelos com dedos ensanguentados</t>
        </is>
      </c>
      <c r="F4" s="119" t="inlineStr">
        <is>
          <t>+1 de Bônus de Ataque contra cultistas e aberrações da Mão</t>
        </is>
      </c>
      <c r="G4" s="119" t="inlineStr">
        <is>
          <t>-1 em testes de Carisma com NPCs humanos comuns em cidades pacíficas</t>
        </is>
      </c>
      <c r="H4" s="119" t="inlineStr">
        <is>
          <t>Ouve sussurros nas proximidades de fendas ativas.</t>
        </is>
      </c>
    </row>
    <row r="5" ht="15" customHeight="1" s="116">
      <c r="A5" s="119" t="n">
        <v>3</v>
      </c>
      <c r="B5" s="119" t="inlineStr">
        <is>
          <t>Estágio II</t>
        </is>
      </c>
      <c r="C5" s="119" t="inlineStr">
        <is>
          <t>40 a 59 Pontos</t>
        </is>
      </c>
      <c r="D5" s="119" t="inlineStr">
        <is>
          <t>A Carne Inquieta (Corrompido)</t>
        </is>
      </c>
      <c r="E5" s="119" t="inlineStr">
        <is>
          <t>Pele cinzenta rígida; pupilas não dilatam mais; o sangue ganha tom escuro ferroso</t>
        </is>
      </c>
      <c r="F5" s="119" t="inlineStr">
        <is>
          <t>+2 de Defesa física permanente (pele espessa como couro de monstro)</t>
        </is>
      </c>
      <c r="G5" s="119" t="inlineStr">
        <is>
          <t>Cura recebida de poções comuns e alimentos reduzida em 25%</t>
        </is>
      </c>
      <c r="H5" s="119" t="inlineStr">
        <is>
          <t>Desvantagem em testes de Vontade em áreas de alta contaminação.</t>
        </is>
      </c>
    </row>
    <row r="6" ht="15" customHeight="1" s="116">
      <c r="A6" s="119" t="n">
        <v>4</v>
      </c>
      <c r="B6" s="119" t="inlineStr">
        <is>
          <t>Estágio III</t>
        </is>
      </c>
      <c r="C6" s="119" t="inlineStr">
        <is>
          <t>60 a 79 Pontos</t>
        </is>
      </c>
      <c r="D6" s="119" t="inlineStr">
        <is>
          <t>A Voz da Mão (Possuído)</t>
        </is>
      </c>
      <c r="E6" s="119" t="inlineStr">
        <is>
          <t>Unhas endurecidas como garras; sussurros contínuos na mente que ditam alvos fracos</t>
        </is>
      </c>
      <c r="F6" s="119" t="inlineStr">
        <is>
          <t>Dano de todos os ataques físicos e mágicos aumentado em +15%</t>
        </is>
      </c>
      <c r="G6" s="119" t="inlineStr">
        <is>
          <t>Ao descansar deve passar em teste de SAB CD 16 ou perde 5 HP e não recupera Mana</t>
        </is>
      </c>
      <c r="H6" s="119" t="inlineStr">
        <is>
          <t>Pode ser forçado a atacar o aliado mais próximo por 1 turno se falhar em teste de Vontade.</t>
        </is>
      </c>
    </row>
    <row r="7" ht="15" customHeight="1" s="116">
      <c r="A7" s="119" t="n">
        <v>5</v>
      </c>
      <c r="B7" s="119" t="inlineStr">
        <is>
          <t>Estágio IV</t>
        </is>
      </c>
      <c r="C7" s="119" t="inlineStr">
        <is>
          <t>80 a 99 Pontos</t>
        </is>
      </c>
      <c r="D7" s="119" t="inlineStr">
        <is>
          <t>O Hospedeiro do Fim (Aberração Viva)</t>
        </is>
      </c>
      <c r="E7" s="119" t="inlineStr">
        <is>
          <t>Tentáculos de carne sob a pele; olhos verticais múltiplos; emite aura de calor fétido</t>
        </is>
      </c>
      <c r="F7" s="119" t="inlineStr">
        <is>
          <t>Uma vez por combate se for reduzido a 0 HP retorna a 1 HP em fúria cega</t>
        </is>
      </c>
      <c r="G7" s="119" t="inlineStr">
        <is>
          <t>NPCs de cidades atacam à vista; curandeiros e estalagens recusam atendimento</t>
        </is>
      </c>
      <c r="H7" s="119" t="inlineStr">
        <is>
          <t>O Aspecto da Infecção pode controlar suas ações se falhar em SAB CD 20.</t>
        </is>
      </c>
    </row>
    <row r="8" ht="15" customHeight="1" s="116">
      <c r="A8" s="119" t="n">
        <v>6</v>
      </c>
      <c r="B8" s="119" t="inlineStr">
        <is>
          <t>Estágio V</t>
        </is>
      </c>
      <c r="C8" s="119" t="inlineStr">
        <is>
          <t>100 Pontos</t>
        </is>
      </c>
      <c r="D8" s="119" t="inlineStr">
        <is>
          <t>Assimilação Completa (Perda de Personagem)</t>
        </is>
      </c>
      <c r="E8" s="119" t="inlineStr">
        <is>
          <t>O corpo se funde completamente à vontade da Mão; o herói perde sua consciência humana</t>
        </is>
      </c>
      <c r="F8" s="119" t="inlineStr">
        <is>
          <t>Transforma-se em um Chefe de Elite a serviço do Culto do Aspecto</t>
        </is>
      </c>
      <c r="G8" s="119" t="inlineStr">
        <is>
          <t>O personagem é retirado do controle do jogador tornando-se inimigo final da campanha</t>
        </is>
      </c>
      <c r="H8" s="119" t="inlineStr">
        <is>
          <t>O grupo deve derrotar o antigo companheiro para prosseguir.</t>
        </is>
      </c>
    </row>
    <row r="9" ht="15" customHeight="1" s="116"/>
    <row r="10" ht="15" customHeight="1" s="116">
      <c r="A10" s="201" t="inlineStr">
        <is>
          <t>Tabela de Mutações e Cicatrizes da Carne (1d20)</t>
        </is>
      </c>
    </row>
    <row r="11" ht="15" customHeight="1" s="116">
      <c r="A11" s="165" t="inlineStr">
        <is>
          <t>Rolagem</t>
        </is>
      </c>
      <c r="B11" s="165" t="inlineStr">
        <is>
          <t>Nome da Mutação</t>
        </is>
      </c>
      <c r="C11" s="165" t="inlineStr">
        <is>
          <t>Categoria</t>
        </is>
      </c>
      <c r="D11" s="165" t="inlineStr">
        <is>
          <t>Deformação Física</t>
        </is>
      </c>
      <c r="E11" s="165" t="inlineStr">
        <is>
          <t>Bônus Mecânico Concedido</t>
        </is>
      </c>
      <c r="F11" s="165" t="inlineStr">
        <is>
          <t>Penalidade / Custo de Sanidade</t>
        </is>
      </c>
      <c r="G11" s="165" t="inlineStr">
        <is>
          <t>Lore &amp; Impacto</t>
        </is>
      </c>
    </row>
    <row r="12" ht="15" customHeight="1" s="116">
      <c r="A12" s="119" t="n">
        <v>1</v>
      </c>
      <c r="B12" s="119" t="inlineStr">
        <is>
          <t>Olhos de Vidro Negro</t>
        </is>
      </c>
      <c r="C12" s="119" t="inlineStr">
        <is>
          <t>Óptica</t>
        </is>
      </c>
      <c r="D12" s="119" t="inlineStr">
        <is>
          <t>As pupilas cobrem toda a esclera em preto lustroso</t>
        </is>
      </c>
      <c r="E12" s="119" t="inlineStr">
        <is>
          <t>Concede Visão no Escuro absoluta e +2 em Percepção</t>
        </is>
      </c>
      <c r="F12" s="119" t="inlineStr">
        <is>
          <t>Sensibilidade extrema à luz solar direta (-1 em ataques a céu aberto de dia)</t>
        </is>
      </c>
      <c r="G12" s="119" t="inlineStr">
        <is>
          <t>"O olhar que enxerga através das fendas dimensionais."</t>
        </is>
      </c>
    </row>
    <row r="13" ht="15" customHeight="1" s="116">
      <c r="A13" s="119" t="n">
        <v>2</v>
      </c>
      <c r="B13" s="119" t="inlineStr">
        <is>
          <t>Garras de Quitina Retorcida</t>
        </is>
      </c>
      <c r="C13" s="119" t="inlineStr">
        <is>
          <t>Membros</t>
        </is>
      </c>
      <c r="D13" s="119" t="inlineStr">
        <is>
          <t>As unhas das mãos se fundem em lâminas curvas escuras</t>
        </is>
      </c>
      <c r="E13" s="119" t="inlineStr">
        <is>
          <t>Ataques desarmados causam 10 de dano cortante com sangramento</t>
        </is>
      </c>
      <c r="F13" s="119" t="inlineStr">
        <is>
          <t>Impossível empunhar armas delicadas ou realizar gazua/arrombamento</t>
        </is>
      </c>
      <c r="G13" s="119" t="inlineStr">
        <is>
          <t>"As mãos que esqueceram como segurar ferramentas."</t>
        </is>
      </c>
    </row>
    <row r="14" ht="15" customHeight="1" s="116">
      <c r="A14" s="119" t="n">
        <v>3</v>
      </c>
      <c r="B14" s="119" t="inlineStr">
        <is>
          <t>Couraça Escamosa de Ébano</t>
        </is>
      </c>
      <c r="C14" s="119" t="inlineStr">
        <is>
          <t>Pele</t>
        </is>
      </c>
      <c r="D14" s="119" t="inlineStr">
        <is>
          <t>Placas rígidas de escamas vulcânicas cobrem o peito e costas</t>
        </is>
      </c>
      <c r="E14" s="119" t="inlineStr">
        <is>
          <t>+3 de Defesa natural permanente</t>
        </is>
      </c>
      <c r="F14" s="119" t="inlineStr">
        <is>
          <t>O peso corporal dobra impondo penalidade de -2 em Fuga e natação</t>
        </is>
      </c>
      <c r="G14" s="119" t="inlineStr">
        <is>
          <t>"A pele endureceu para não sentir mais o corte das espadas."</t>
        </is>
      </c>
    </row>
    <row r="15" ht="15" customHeight="1" s="116">
      <c r="A15" s="119" t="n">
        <v>4</v>
      </c>
      <c r="B15" s="119" t="inlineStr">
        <is>
          <t>Coração Silencioso</t>
        </is>
      </c>
      <c r="C15" s="119" t="inlineStr">
        <is>
          <t>Órgão</t>
        </is>
      </c>
      <c r="D15" s="119" t="inlineStr">
        <is>
          <t>O coração para de bater; o sangue circula por pulsação rúnica fria</t>
        </is>
      </c>
      <c r="E15" s="119" t="inlineStr">
        <is>
          <t>Imunidade total a ataques de Medo e controle mental menor</t>
        </is>
      </c>
      <c r="F15" s="119" t="inlineStr">
        <is>
          <t>Não pode ser ressuscitado por magias sagradas de Luz convencionais</t>
        </is>
      </c>
      <c r="G15" s="119" t="inlineStr">
        <is>
          <t>"O frio que acolheu a morte sem se entregar a ela."</t>
        </is>
      </c>
    </row>
    <row r="16" ht="15" customHeight="1" s="116">
      <c r="A16" s="119" t="n">
        <v>5</v>
      </c>
      <c r="B16" s="119" t="inlineStr">
        <is>
          <t>Sangue Cáustico Ácido</t>
        </is>
      </c>
      <c r="C16" s="119" t="inlineStr">
        <is>
          <t>Fluido</t>
        </is>
      </c>
      <c r="D16" s="119" t="inlineStr">
        <is>
          <t>O sangue torna-se um líquido esverdeado corrosivo e fumegante</t>
        </is>
      </c>
      <c r="E16" s="119" t="inlineStr">
        <is>
          <t>Ao sofrer dano físico o atacante adjacente sofre 4 de dano de ácido</t>
        </is>
      </c>
      <c r="F16" s="119" t="inlineStr">
        <is>
          <t>Poções de cura têm 20% de chance de serem dissolvidas sem efeito no estômago</t>
        </is>
      </c>
      <c r="G16" s="119" t="inlineStr">
        <is>
          <t>"O próprio interior do corpo tornou-se uma fornalha venenosa."</t>
        </is>
      </c>
    </row>
    <row r="17" ht="15" customHeight="1" s="116">
      <c r="A17" s="119" t="n">
        <v>6</v>
      </c>
      <c r="B17" s="119" t="inlineStr">
        <is>
          <t>Voz Dupla dos Ecos</t>
        </is>
      </c>
      <c r="C17" s="119" t="inlineStr">
        <is>
          <t>Garganta</t>
        </is>
      </c>
      <c r="D17" s="119" t="inlineStr">
        <is>
          <t>As cordas vocais emitem dois timbres simultâneos um humano e um espectral</t>
        </is>
      </c>
      <c r="E17" s="119" t="inlineStr">
        <is>
          <t>Concede +2 em testes de Intimidação e +1 em dano de magias sonoras</t>
        </is>
      </c>
      <c r="F17" s="119" t="inlineStr">
        <is>
          <t>Impossível sussurrar; testes de Furtividade sonora têm penalidade de -2</t>
        </is>
      </c>
      <c r="G17" s="119" t="inlineStr">
        <is>
          <t>"Uma voz fala pelos vivos a outra responde pelos mortos."</t>
        </is>
      </c>
    </row>
    <row r="18" ht="15" customHeight="1" s="116">
      <c r="A18" s="119" t="n">
        <v>7</v>
      </c>
      <c r="B18" s="119" t="inlineStr">
        <is>
          <t>Membro Mimetizado (Tentáculo)</t>
        </is>
      </c>
      <c r="C18" s="119" t="inlineStr">
        <is>
          <t>Membro</t>
        </is>
      </c>
      <c r="D18" s="119" t="inlineStr">
        <is>
          <t>O braço esquerdo pode se esticar em tentáculo viscoso de carne</t>
        </is>
      </c>
      <c r="E18" s="119" t="inlineStr">
        <is>
          <t>Alcance de ataque físico aumentado em 2 metros extras</t>
        </is>
      </c>
      <c r="F18" s="119" t="inlineStr">
        <is>
          <t>Não pode usar anéis ou braceletes na mão esquerda deformada</t>
        </is>
      </c>
      <c r="G18" s="119" t="inlineStr">
        <is>
          <t>"O braço que aprendeu a se esticar para alcançar o abismo."</t>
        </is>
      </c>
    </row>
    <row r="19" ht="15" customHeight="1" s="116">
      <c r="A19" s="119" t="n">
        <v>8</v>
      </c>
      <c r="B19" s="119" t="inlineStr">
        <is>
          <t>Mandíbula de Fera</t>
        </is>
      </c>
      <c r="C19" s="119" t="inlineStr">
        <is>
          <t>Rosto</t>
        </is>
      </c>
      <c r="D19" s="119" t="inlineStr">
        <is>
          <t>Dentes afiados como presas de lobo surgem nas gengivas</t>
        </is>
      </c>
      <c r="E19" s="119" t="inlineStr">
        <is>
          <t>Pode realizar 1 ataque de mordida bônus de 6 de dano por turno</t>
        </is>
      </c>
      <c r="F19" s="119" t="inlineStr">
        <is>
          <t>-2 em qualquer teste diplomático ou social com pessoas normais</t>
        </is>
      </c>
      <c r="G19" s="119" t="inlineStr">
        <is>
          <t>"A fome que não se sacia mais com comida cozida."</t>
        </is>
      </c>
    </row>
    <row r="20" ht="15" customHeight="1" s="116">
      <c r="A20" s="119" t="n">
        <v>9</v>
      </c>
      <c r="B20" s="119" t="inlineStr">
        <is>
          <t>Pulmões de Cinza Morta</t>
        </is>
      </c>
      <c r="C20" s="119" t="inlineStr">
        <is>
          <t>Respiração</t>
        </is>
      </c>
      <c r="D20" s="119" t="inlineStr">
        <is>
          <t>Pulmões negros endurecidos que filtram fumaça tóxica</t>
        </is>
      </c>
      <c r="E20" s="119" t="inlineStr">
        <is>
          <t>Imunidade total a venenos gasosos fumaça vulcânica e esporos</t>
        </is>
      </c>
      <c r="F20" s="119" t="inlineStr">
        <is>
          <t>A estamina física é reduzida; não pode correr por mais de 2 turnos seguidos</t>
        </is>
      </c>
      <c r="G20" s="119" t="inlineStr">
        <is>
          <t>"A respiração que se acostumou com o ar das fendas mortas."</t>
        </is>
      </c>
    </row>
    <row r="21" ht="15" customHeight="1" s="116">
      <c r="A21" s="119" t="n">
        <v>10</v>
      </c>
      <c r="B21" s="119" t="inlineStr">
        <is>
          <t>Mente Fragmentada dos Cem Reis</t>
        </is>
      </c>
      <c r="C21" s="119" t="inlineStr">
        <is>
          <t>Mental</t>
        </is>
      </c>
      <c r="D21" s="119" t="inlineStr">
        <is>
          <t>Memórias de antigos monarcas corrompidos invadem os pensamentos</t>
        </is>
      </c>
      <c r="E21" s="119" t="inlineStr">
        <is>
          <t>Conhecimento automático de idiomas antigos e segredos de dungeons</t>
        </is>
      </c>
      <c r="F21" s="119" t="inlineStr">
        <is>
          <t>Ao sofrer dano crítico fica confuso por 1 rodada atacando alvos aleatórios</t>
        </is>
      </c>
      <c r="G21" s="119" t="inlineStr">
        <is>
          <t>"Cem coroas pesando sobre a mesma cabeça."</t>
        </is>
      </c>
    </row>
    <row r="22" ht="15" customHeight="1" s="116">
      <c r="A22" s="119" t="n">
        <v>11</v>
      </c>
      <c r="B22" s="119" t="inlineStr">
        <is>
          <t>Ossos de Pedra Fóssil</t>
        </is>
      </c>
      <c r="C22" s="119" t="inlineStr">
        <is>
          <t>Estrutura</t>
        </is>
      </c>
      <c r="D22" s="119" t="inlineStr">
        <is>
          <t>Os ossos absorvem minerais de calcário tornando-se inquebráveis</t>
        </is>
      </c>
      <c r="E22" s="119" t="inlineStr">
        <is>
          <t>Imune a ferimentos críticos de ossos quebrados e quedas altas</t>
        </is>
      </c>
      <c r="F22" s="119" t="inlineStr">
        <is>
          <t>Reduz a velocidade de movimento em 1 metro por turno</t>
        </is>
      </c>
      <c r="G22" s="119" t="inlineStr">
        <is>
          <t>"O esqueleto que começou o processo de petrificação."</t>
        </is>
      </c>
    </row>
    <row r="23" ht="15" customHeight="1" s="116">
      <c r="A23" s="119" t="n">
        <v>12</v>
      </c>
      <c r="B23" s="119" t="inlineStr">
        <is>
          <t>Presença Gélida do Ceifador</t>
        </is>
      </c>
      <c r="C23" s="119" t="inlineStr">
        <is>
          <t>Aura</t>
        </is>
      </c>
      <c r="D23" s="119" t="inlineStr">
        <is>
          <t>A temperatura ao redor do herói cai 5 graus constantemente</t>
        </is>
      </c>
      <c r="E23" s="119" t="inlineStr">
        <is>
          <t>Causa 2 de dano de frio a qualquer inimigo que começar o turno adjacente</t>
        </is>
      </c>
      <c r="F23" s="119" t="inlineStr">
        <is>
          <t>Alimentos e água na mochila congelam se não forem aquecidos em fogueira</t>
        </is>
      </c>
      <c r="G23" s="119" t="inlineStr">
        <is>
          <t>"O inverno que caminha dentro do próprio peito."</t>
        </is>
      </c>
    </row>
    <row r="24" ht="15" customHeight="1" s="116">
      <c r="A24" s="119" t="n">
        <v>13</v>
      </c>
      <c r="B24" s="119" t="inlineStr">
        <is>
          <t>Asas Atrofiadas de Morcego</t>
        </is>
      </c>
      <c r="C24" s="119" t="inlineStr">
        <is>
          <t>Costas</t>
        </is>
      </c>
      <c r="D24" s="119" t="inlineStr">
        <is>
          <t>Pequenas membranas de couro e espinhos brotam nas omoplatas</t>
        </is>
      </c>
      <c r="E24" s="119" t="inlineStr">
        <is>
          <t>Reduz dano de quedas a 0 e permite planar curtas distâncias</t>
        </is>
      </c>
      <c r="F24" s="119" t="inlineStr">
        <is>
          <t>Exige armaduras feitas sob medida com custo 50% maior em ferreiros</t>
        </is>
      </c>
      <c r="G24" s="119" t="inlineStr">
        <is>
          <t>"As asas que tentaram voar para fora do poço das almas."</t>
        </is>
      </c>
    </row>
    <row r="25" ht="15" customHeight="1" s="116">
      <c r="A25" s="119" t="n">
        <v>14</v>
      </c>
      <c r="B25" s="119" t="inlineStr">
        <is>
          <t>Marca Estelar Pulsante</t>
        </is>
      </c>
      <c r="C25" s="119" t="inlineStr">
        <is>
          <t>Testa</t>
        </is>
      </c>
      <c r="D25" s="119" t="inlineStr">
        <is>
          <t>Uma runa cósmica brilhante queima na testa pulsando luz roxa</t>
        </is>
      </c>
      <c r="E25" s="119" t="inlineStr">
        <is>
          <t>Concede +15 de Mana máxima e regenera 1 Mana por turno em combate</t>
        </is>
      </c>
      <c r="F25" s="119" t="inlineStr">
        <is>
          <t>Atrai monstros de fenda a até 1km de distância durante a noite</t>
        </is>
      </c>
      <c r="G25" s="119" t="inlineStr">
        <is>
          <t>"O farol que guia os horrores do vazio até o seu portador."</t>
        </is>
      </c>
    </row>
    <row r="26" ht="15" customHeight="1" s="116">
      <c r="A26" s="119" t="n">
        <v>15</v>
      </c>
      <c r="B26" s="119" t="inlineStr">
        <is>
          <t>Sensibilidade de Verme das Profundezas</t>
        </is>
      </c>
      <c r="C26" s="119" t="inlineStr">
        <is>
          <t>Sentidos</t>
        </is>
      </c>
      <c r="D26" s="119" t="inlineStr">
        <is>
          <t>Sente vibrações no solo através da sola dos pés descalços</t>
        </is>
      </c>
      <c r="E26" s="119" t="inlineStr">
        <is>
          <t>Impossível ser pego de surpresa por inimigos terrestres ou emboscadas subterrâneas</t>
        </is>
      </c>
      <c r="F26" s="119" t="inlineStr">
        <is>
          <t>Ruídos altos (trovões sinos) causam atordoamento de 1 turno se falhar em CON CD 14</t>
        </is>
      </c>
      <c r="G26" s="119" t="inlineStr">
        <is>
          <t>"O tato que aprendeu a ler a terra antes que ela desmorone."</t>
        </is>
      </c>
    </row>
    <row r="27" ht="15" customHeight="1" s="116">
      <c r="A27" s="119" t="n">
        <v>16</v>
      </c>
      <c r="B27" s="119" t="inlineStr">
        <is>
          <t>Seiva da Árvore Sangrenta</t>
        </is>
      </c>
      <c r="C27" s="119" t="inlineStr">
        <is>
          <t>Fluido</t>
        </is>
      </c>
      <c r="D27" s="119" t="inlineStr">
        <is>
          <t>O suor do corpo ganha consistência de resina avermelhada pegajosa</t>
        </is>
      </c>
      <c r="E27" s="119" t="inlineStr">
        <is>
          <t>Dificulta que armas sejam desarmadas ou arrancadas das mãos (+4 contra desarmar)</t>
        </is>
      </c>
      <c r="F27" s="119" t="inlineStr">
        <is>
          <t>Roupas e armaduras grudam na pele causando desconforto constante</t>
        </is>
      </c>
      <c r="G27" s="119" t="inlineStr">
        <is>
          <t>"A seiva que une a madeira viva ao sangue mortal."</t>
        </is>
      </c>
    </row>
    <row r="28" ht="15" customHeight="1" s="116">
      <c r="A28" s="119" t="n">
        <v>17</v>
      </c>
      <c r="B28" s="119" t="inlineStr">
        <is>
          <t>Olho Adicional na Palma da Mão</t>
        </is>
      </c>
      <c r="C28" s="119" t="inlineStr">
        <is>
          <t>Mão</t>
        </is>
      </c>
      <c r="D28" s="119" t="inlineStr">
        <is>
          <t>Um olho sem pálpebra se abre na palma da mão esquerda</t>
        </is>
      </c>
      <c r="E28" s="119" t="inlineStr">
        <is>
          <t>Concede +2 de Bônus de Ataque com arcos ou magias de mira direta</t>
        </is>
      </c>
      <c r="F28" s="119" t="inlineStr">
        <is>
          <t>Sofre 2 de dano se a mão esquerda for atingida diretamente por um escudo ou arma</t>
        </is>
      </c>
      <c r="G28" s="119" t="inlineStr">
        <is>
          <t>"A mão que agora enxerga onde vai cravar o golpe."</t>
        </is>
      </c>
    </row>
    <row r="29" ht="15" customHeight="1" s="116">
      <c r="A29" s="119" t="n">
        <v>18</v>
      </c>
      <c r="B29" s="119" t="inlineStr">
        <is>
          <t>Digestão de Minérios</t>
        </is>
      </c>
      <c r="C29" s="119" t="inlineStr">
        <is>
          <t>Estômago</t>
        </is>
      </c>
      <c r="D29" s="119" t="inlineStr">
        <is>
          <t>O estômago passa a digerir carvão bronze e ferro para nutrir o corpo</t>
        </is>
      </c>
      <c r="E29" s="119" t="inlineStr">
        <is>
          <t>Pode consumir minérios comuns para recuperar 10 HP em vez de comida</t>
        </is>
      </c>
      <c r="F29" s="119" t="inlineStr">
        <is>
          <t>Alimentos normais causam náusea e não alimentam mais o herói</t>
        </is>
      </c>
      <c r="G29" s="119" t="inlineStr">
        <is>
          <t>"O corpo que trocou o pão pela pedra da mina."</t>
        </is>
      </c>
    </row>
    <row r="30" ht="15" customHeight="1" s="116">
      <c r="A30" s="119" t="n">
        <v>19</v>
      </c>
      <c r="B30" s="119" t="inlineStr">
        <is>
          <t>Aura de Decomposição Acelerada</t>
        </is>
      </c>
      <c r="C30" s="119" t="inlineStr">
        <is>
          <t>Aura</t>
        </is>
      </c>
      <c r="D30" s="119" t="inlineStr">
        <is>
          <t>Plantas pequenas murcham e insetos morrem ao toque do herói</t>
        </is>
      </c>
      <c r="E30" s="119" t="inlineStr">
        <is>
          <t>Causa 3 de dano de necrose passivo a portas de madeira e grades enferrujadas</t>
        </is>
      </c>
      <c r="F30" s="119" t="inlineStr">
        <is>
          <t>Ervas alquímicas colhidas pelo herói apodrecem em 24h se não forem guardadas em salmoura</t>
        </is>
      </c>
      <c r="G30" s="119" t="inlineStr">
        <is>
          <t>"A podridão que caminha à frente de cada passo."</t>
        </is>
      </c>
    </row>
    <row r="31" ht="15" customHeight="1" s="116">
      <c r="A31" s="119" t="n">
        <v>20</v>
      </c>
      <c r="B31" s="119" t="inlineStr">
        <is>
          <t>Centelha do Aspecto Desperto</t>
        </is>
      </c>
      <c r="C31" s="119" t="inlineStr">
        <is>
          <t>Mítica</t>
        </is>
      </c>
      <c r="D31" s="119" t="inlineStr">
        <is>
          <t>Um fragmento de energia estelar puro brilha dentro do peito</t>
        </is>
      </c>
      <c r="E31" s="119" t="inlineStr">
        <is>
          <t>Concede 1 ação extra por combate sem custo de vida</t>
        </is>
      </c>
      <c r="F31" s="119" t="inlineStr">
        <is>
          <t>O herói ouve o Aspecto da Infecção chamando seu nome a cada lua cheia</t>
        </is>
      </c>
      <c r="G31" s="119" t="inlineStr">
        <is>
          <t>"A prova viva de que a Mão já escolheu seu próximo general."</t>
        </is>
      </c>
    </row>
    <row r="32" ht="15" customHeight="1" s="116"/>
    <row r="33" ht="15" customHeight="1" s="116">
      <c r="A33" s="201" t="inlineStr">
        <is>
          <t>Métodos de Purificação &amp; Rituais de Sanidade</t>
        </is>
      </c>
    </row>
    <row r="34" ht="15" customHeight="1" s="116">
      <c r="A34" s="165" t="inlineStr">
        <is>
          <t>Método / Ritual</t>
        </is>
      </c>
      <c r="B34" s="165" t="inlineStr">
        <is>
          <t>Local / Instalação</t>
        </is>
      </c>
      <c r="C34" s="165" t="inlineStr">
        <is>
          <t>Requisitos de Recursos</t>
        </is>
      </c>
      <c r="D34" s="165" t="inlineStr">
        <is>
          <t>Redução de Corrupção</t>
        </is>
      </c>
      <c r="E34" s="165" t="inlineStr">
        <is>
          <t>Consequência / Efeito Secundário</t>
        </is>
      </c>
      <c r="F34" s="165" t="inlineStr">
        <is>
          <t>Lore do Ritual</t>
        </is>
      </c>
    </row>
    <row r="35" ht="15" customHeight="1" s="116">
      <c r="A35" s="119" t="inlineStr">
        <is>
          <t>O Banho de Prata Sagrada</t>
        </is>
      </c>
      <c r="B35" s="119" t="inlineStr">
        <is>
          <t>Catedrais Soterradas do Cinzenta</t>
        </is>
      </c>
      <c r="C35" s="119" t="inlineStr">
        <is>
          <t>1x Veio de Prata Pálida + 50 Ouro + Sacerdote</t>
        </is>
      </c>
      <c r="D35" s="119" t="inlineStr">
        <is>
          <t>Reduz 15 Pontos de Corrupção</t>
        </is>
      </c>
      <c r="E35" s="119" t="inlineStr">
        <is>
          <t>Causa dor excruciante (perde 20 HP temporários durante o processo)</t>
        </is>
      </c>
      <c r="F35" s="119" t="inlineStr">
        <is>
          <t>"O metal sagrado queima a infecção na pele como ferro em brasa."</t>
        </is>
      </c>
    </row>
    <row r="36" ht="15" customHeight="1" s="116">
      <c r="A36" s="119" t="inlineStr">
        <is>
          <t>A Queima das Raízes Marcadas</t>
        </is>
      </c>
      <c r="B36" s="119" t="inlineStr">
        <is>
          <t>Bosque Sagrado do Ecoril</t>
        </is>
      </c>
      <c r="C36" s="119" t="inlineStr">
        <is>
          <t>2x Folhas Cantantes + 1x Sabugueiro + SAB CD 16</t>
        </is>
      </c>
      <c r="D36" s="119" t="inlineStr">
        <is>
          <t>Reduz 20 Pontos de Corrupção</t>
        </is>
      </c>
      <c r="E36" s="119" t="inlineStr">
        <is>
          <t>O herói perde 1 dia inteiro em transe febril de purificação</t>
        </is>
      </c>
      <c r="F36" s="119" t="inlineStr">
        <is>
          <t>"A seiva dos elfos expulsa o sangue corrompido através de lágrimas de prata."</t>
        </is>
      </c>
    </row>
    <row r="37" ht="15" customHeight="1" s="116">
      <c r="A37" s="119" t="inlineStr">
        <is>
          <t>O Ritual de Fogo dos Mestres</t>
        </is>
      </c>
      <c r="B37" s="119" t="inlineStr">
        <is>
          <t>Forjas da Rocha Alta</t>
        </is>
      </c>
      <c r="C37" s="119" t="inlineStr">
        <is>
          <t>1x Orquídea de Magma + 100 Ouro + CON CD 18</t>
        </is>
      </c>
      <c r="D37" s="119" t="inlineStr">
        <is>
          <t>Reduz 25 Pontos de Corrupção</t>
        </is>
      </c>
      <c r="E37" s="119" t="inlineStr">
        <is>
          <t>Deixa cicatrizes de queimadura permanente na pele (-1 em Carisma)</t>
        </is>
      </c>
      <c r="F37" s="119" t="inlineStr">
        <is>
          <t>"O fogo da fenda ativa queima a carne impura até restar apenas tecido limpo."</t>
        </is>
      </c>
    </row>
    <row r="38" ht="15" customHeight="1" s="116">
      <c r="A38" s="119" t="inlineStr">
        <is>
          <t>A Comunhão do Farol de Cristal</t>
        </is>
      </c>
      <c r="B38" s="119" t="inlineStr">
        <is>
          <t>Farol do Abismar</t>
        </is>
      </c>
      <c r="C38" s="119" t="inlineStr">
        <is>
          <t>1x Cristal Ressonante + 150 Ouro + INT CD 18</t>
        </is>
      </c>
      <c r="D38" s="119" t="inlineStr">
        <is>
          <t>Reduz 30 Pontos de Corrupção</t>
        </is>
      </c>
      <c r="E38" s="119" t="inlineStr">
        <is>
          <t>Restaura toda a Sanidade Mental eliminando alucinações e pesadelos</t>
        </is>
      </c>
      <c r="F38" s="119" t="inlineStr">
        <is>
          <t>"As frequências de luz do farol reorganizam a mente fragmentada."</t>
        </is>
      </c>
    </row>
    <row r="39" ht="15" customHeight="1" s="116">
      <c r="A39" s="119" t="inlineStr">
        <is>
          <t>A Penitência do Bastião dos Campeões</t>
        </is>
      </c>
      <c r="B39" s="119" t="inlineStr">
        <is>
          <t>Altares de Adamantina do Bastião</t>
        </is>
      </c>
      <c r="C39" s="119" t="inlineStr">
        <is>
          <t>Derrotar 1 Aberração de Elite sem usar magias de sangue + 200 Ouro</t>
        </is>
      </c>
      <c r="D39" s="119" t="inlineStr">
        <is>
          <t>Reduz 40 Pontos de Corrupção</t>
        </is>
      </c>
      <c r="E39" s="119" t="inlineStr">
        <is>
          <t>O herói ganha o título de Purificado (+2 em testes de Vontade contra a Mão)</t>
        </is>
      </c>
      <c r="F39" s="119" t="inlineStr">
        <is>
          <t>"O voto solene de aço que rompe o pacto demoníaco pela força da vontade."</t>
        </is>
      </c>
    </row>
    <row r="40" ht="15" customHeight="1" s="116"/>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A1:M60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33" customWidth="1" style="115" min="1" max="1"/>
    <col width="10.12" customWidth="1" style="115" min="2" max="2"/>
    <col width="22.65" customWidth="1" style="115" min="3" max="3"/>
    <col width="18.88" customWidth="1" style="115" min="4" max="4"/>
    <col width="25.08" customWidth="1" style="115" min="5" max="5"/>
    <col width="22.65" customWidth="1" style="115" min="6" max="6"/>
    <col width="12.68" customWidth="1" style="115" min="7" max="7"/>
    <col width="22.65" customWidth="1" style="115" min="8" max="8"/>
    <col width="31.42" customWidth="1" style="115" min="9" max="9"/>
    <col width="12.68" customWidth="1" style="115" min="10" max="10"/>
    <col width="50.16" customWidth="1" style="115" min="11" max="11"/>
    <col width="20" customWidth="1" style="115" min="12" max="12"/>
    <col width="8" customWidth="1" style="115" min="13" max="13"/>
  </cols>
  <sheetData>
    <row r="1" ht="15" customHeight="1" s="116">
      <c r="A1" s="117" t="inlineStr">
        <is>
          <t>Recursos Naturais</t>
        </is>
      </c>
    </row>
    <row r="2" ht="15" customHeight="1" s="116">
      <c r="A2" s="165" t="inlineStr">
        <is>
          <t>ID</t>
        </is>
      </c>
      <c r="B2" s="165" t="inlineStr">
        <is>
          <t>Tier</t>
        </is>
      </c>
      <c r="C2" s="165" t="inlineStr">
        <is>
          <t>Nome do Recurso</t>
        </is>
      </c>
      <c r="D2" s="165" t="inlineStr">
        <is>
          <t>Categoria</t>
        </is>
      </c>
      <c r="E2" s="165" t="inlineStr">
        <is>
          <t>Bioma / Localização Principal</t>
        </is>
      </c>
      <c r="F2" s="165" t="inlineStr">
        <is>
          <t>Ferramenta &amp; Teste de Coleta</t>
        </is>
      </c>
      <c r="G2" s="165" t="inlineStr">
        <is>
          <t>CD de Coleta</t>
        </is>
      </c>
      <c r="H2" s="165" t="inlineStr">
        <is>
          <t>Raridade &amp; Rendimento de Farm</t>
        </is>
      </c>
      <c r="I2" s="165" t="inlineStr">
        <is>
          <t>Uso Principal no Crafting</t>
        </is>
      </c>
      <c r="J2" s="165" t="inlineStr">
        <is>
          <t>Preço Base (Ouro)</t>
        </is>
      </c>
      <c r="K2" s="165" t="inlineStr">
        <is>
          <t>Lore &amp; Impacto da Infecção no Ambiente</t>
        </is>
      </c>
      <c r="L2" s="118" t="inlineStr">
        <is>
          <t>Propriedades</t>
        </is>
      </c>
      <c r="M2" s="118" t="inlineStr">
        <is>
          <t>Ícone</t>
        </is>
      </c>
    </row>
    <row r="3" ht="15" customHeight="1" s="116">
      <c r="A3" s="202" t="n">
        <v>1</v>
      </c>
      <c r="B3" s="202" t="inlineStr">
        <is>
          <t>Tier 1</t>
        </is>
      </c>
      <c r="C3" s="202" t="inlineStr">
        <is>
          <t>Sucata Retorcida</t>
        </is>
      </c>
      <c r="D3" s="202" t="inlineStr">
        <is>
          <t>Minério</t>
        </is>
      </c>
      <c r="E3" s="202" t="inlineStr">
        <is>
          <t>Estrada dos Bandidos &amp; Arredores da Vila</t>
        </is>
      </c>
      <c r="F3" s="202" t="inlineStr">
        <is>
          <t>Picareta Improvisada (FOR)</t>
        </is>
      </c>
      <c r="G3" s="202" t="inlineStr">
        <is>
          <t>CD 8</t>
        </is>
      </c>
      <c r="H3" s="202" t="inlineStr">
        <is>
          <t>Comum (Alto rendimento)</t>
        </is>
      </c>
      <c r="I3" s="202" t="inlineStr">
        <is>
          <t>Forja de Armas e Armaduras de Sucata</t>
        </is>
      </c>
      <c r="J3" s="202" t="n">
        <v>2</v>
      </c>
      <c r="K3" s="202" t="inlineStr">
        <is>
          <t>Ferro enferrujado e retorcido deixado por caravanas que sumiram no primeiro surto da Mão Carmesim.</t>
        </is>
      </c>
      <c r="L3" s="203" t="n"/>
      <c r="M3" s="203" t="inlineStr">
        <is>
          <t>⛏️</t>
        </is>
      </c>
    </row>
    <row r="4" ht="15" customHeight="1" s="116">
      <c r="A4" s="202" t="inlineStr">
        <is>
          <t>Regra de Qualidade da Coleta: 0-4 acima da CD=Comum | 5-9=Boa (conta 1,5x) | 10+=Excelente (substitui Essência em receita Nível 2).</t>
        </is>
      </c>
      <c r="B4" s="202" t="inlineStr">
        <is>
          <t>Tier 1</t>
        </is>
      </c>
      <c r="C4" s="202" t="inlineStr">
        <is>
          <t>Carvalho Ressequido</t>
        </is>
      </c>
      <c r="D4" s="202" t="inlineStr">
        <is>
          <t>Madeira</t>
        </is>
      </c>
      <c r="E4" s="202" t="inlineStr">
        <is>
          <t>Bosque da Vila Inicial</t>
        </is>
      </c>
      <c r="F4" s="202" t="inlineStr">
        <is>
          <t>Machado de Lenhador (FOR)</t>
        </is>
      </c>
      <c r="G4" s="202" t="inlineStr">
        <is>
          <t>CD 8</t>
        </is>
      </c>
      <c r="H4" s="202" t="inlineStr">
        <is>
          <t>Comum (Alto rendimento)</t>
        </is>
      </c>
      <c r="I4" s="202" t="inlineStr">
        <is>
          <t>Cabos de armas e escudos básicos</t>
        </is>
      </c>
      <c r="J4" s="202" t="n">
        <v>2</v>
      </c>
      <c r="K4" s="202" t="inlineStr">
        <is>
          <t>Árvores secas antes do tempo cujas folhas caíram com manchas avermelhadas.</t>
        </is>
      </c>
      <c r="L4" s="203" t="n"/>
      <c r="M4" s="203" t="inlineStr">
        <is>
          <t>🌳</t>
        </is>
      </c>
    </row>
    <row r="5" ht="15" customHeight="1" s="116">
      <c r="A5" s="202" t="n">
        <v>3</v>
      </c>
      <c r="B5" s="202" t="inlineStr">
        <is>
          <t>Tier 1</t>
        </is>
      </c>
      <c r="C5" s="202" t="inlineStr">
        <is>
          <t>Raiz de Sangue-Seco</t>
        </is>
      </c>
      <c r="D5" s="202" t="inlineStr">
        <is>
          <t>Planta / Erva</t>
        </is>
      </c>
      <c r="E5" s="202" t="inlineStr">
        <is>
          <t>Beira da Estrada dos Bandidos</t>
        </is>
      </c>
      <c r="F5" s="202" t="inlineStr">
        <is>
          <t>Coleta Manual (SAB)</t>
        </is>
      </c>
      <c r="G5" s="202" t="inlineStr">
        <is>
          <t>CD 8</t>
        </is>
      </c>
      <c r="H5" s="202" t="inlineStr">
        <is>
          <t>Incomum (Médio rendimento)</t>
        </is>
      </c>
      <c r="I5" s="202" t="inlineStr">
        <is>
          <t>Poções de Cura Básica e Antídotos</t>
        </is>
      </c>
      <c r="J5" s="202" t="n">
        <v>3</v>
      </c>
      <c r="K5" s="202" t="inlineStr">
        <is>
          <t>Brota apenas em solo onde sangue de viajantes foi derramado. Gosto acre de ferro.</t>
        </is>
      </c>
      <c r="L5" s="203" t="n"/>
      <c r="M5" s="203" t="inlineStr">
        <is>
          <t>🌿</t>
        </is>
      </c>
    </row>
    <row r="6" ht="15" customHeight="1" s="116">
      <c r="A6" s="202" t="n">
        <v>4</v>
      </c>
      <c r="B6" s="202" t="inlineStr">
        <is>
          <t>Tier 1</t>
        </is>
      </c>
      <c r="C6" s="202" t="inlineStr">
        <is>
          <t>Couro Áspero de Javali</t>
        </is>
      </c>
      <c r="D6" s="202" t="inlineStr">
        <is>
          <t>Orgânico</t>
        </is>
      </c>
      <c r="E6" s="202" t="inlineStr">
        <is>
          <t>Colinas da Vila Inicial</t>
        </is>
      </c>
      <c r="F6" s="202" t="inlineStr">
        <is>
          <t>Esfolamento (DES)</t>
        </is>
      </c>
      <c r="G6" s="202" t="inlineStr">
        <is>
          <t>CD 8</t>
        </is>
      </c>
      <c r="H6" s="202" t="inlineStr">
        <is>
          <t>Comum (Médio rendimento)</t>
        </is>
      </c>
      <c r="I6" s="202" t="inlineStr">
        <is>
          <t>Armaduras leves e reforços</t>
        </is>
      </c>
      <c r="J6" s="202" t="n">
        <v>3</v>
      </c>
      <c r="K6" s="202" t="inlineStr">
        <is>
          <t>Pele grossa e rígida dos javalis que rondam as bordas da infecção.</t>
        </is>
      </c>
      <c r="L6" s="203" t="n"/>
      <c r="M6" s="203" t="inlineStr">
        <is>
          <t>💠</t>
        </is>
      </c>
    </row>
    <row r="7" ht="15" customHeight="1" s="116">
      <c r="A7" s="204" t="n">
        <v>5</v>
      </c>
      <c r="B7" s="204" t="inlineStr">
        <is>
          <t>Tier 2</t>
        </is>
      </c>
      <c r="C7" s="204" t="inlineStr">
        <is>
          <t>Minério de Bronze Sulfuroso</t>
        </is>
      </c>
      <c r="D7" s="204" t="inlineStr">
        <is>
          <t>Minério</t>
        </is>
      </c>
      <c r="E7" s="204" t="inlineStr">
        <is>
          <t>Mina de Bronze &amp; Encostas Baixas</t>
        </is>
      </c>
      <c r="F7" s="204" t="inlineStr">
        <is>
          <t>Picareta de Bronze (FOR)</t>
        </is>
      </c>
      <c r="G7" s="204" t="inlineStr">
        <is>
          <t>CD 10</t>
        </is>
      </c>
      <c r="H7" s="204" t="inlineStr">
        <is>
          <t>Comum (Alto rendimento)</t>
        </is>
      </c>
      <c r="I7" s="204" t="inlineStr">
        <is>
          <t>Forja de Equipamentos de Bronze</t>
        </is>
      </c>
      <c r="J7" s="204" t="n">
        <v>5</v>
      </c>
      <c r="K7" s="204" t="inlineStr">
        <is>
          <t>Minério de cobre e estanho tingido por vapores amarelados dos túneis kobolds.</t>
        </is>
      </c>
      <c r="L7" s="205" t="n"/>
      <c r="M7" s="205" t="inlineStr">
        <is>
          <t>⛏️</t>
        </is>
      </c>
    </row>
    <row r="8" ht="15" customHeight="1" s="116">
      <c r="A8" s="204" t="n">
        <v>6</v>
      </c>
      <c r="B8" s="204" t="inlineStr">
        <is>
          <t>Tier 2</t>
        </is>
      </c>
      <c r="C8" s="204" t="inlineStr">
        <is>
          <t>Pinheiro da Mina</t>
        </is>
      </c>
      <c r="D8" s="204" t="inlineStr">
        <is>
          <t>Madeira</t>
        </is>
      </c>
      <c r="E8" s="204" t="inlineStr">
        <is>
          <t>Galerias Superiores da Mina de Bronze</t>
        </is>
      </c>
      <c r="F8" s="204" t="inlineStr">
        <is>
          <t>Machado de Lenhador (FOR)</t>
        </is>
      </c>
      <c r="G8" s="204" t="inlineStr">
        <is>
          <t>CD 10</t>
        </is>
      </c>
      <c r="H8" s="204" t="inlineStr">
        <is>
          <t>Comum (Médio rendimento)</t>
        </is>
      </c>
      <c r="I8" s="204" t="inlineStr">
        <is>
          <t>Escoras e cabos de armas de bronze</t>
        </is>
      </c>
      <c r="J8" s="204" t="n">
        <v>4</v>
      </c>
      <c r="K8" s="204" t="inlineStr">
        <is>
          <t>Troncos retos e flexíveis que aguentam a pressão das galerias subterrâneas.</t>
        </is>
      </c>
      <c r="L8" s="205" t="n"/>
      <c r="M8" s="205" t="inlineStr">
        <is>
          <t>🌳</t>
        </is>
      </c>
    </row>
    <row r="9" ht="15" customHeight="1" s="116">
      <c r="A9" s="204" t="n">
        <v>7</v>
      </c>
      <c r="B9" s="204" t="inlineStr">
        <is>
          <t>Tier 2</t>
        </is>
      </c>
      <c r="C9" s="204" t="inlineStr">
        <is>
          <t>Cogumelo do Escuro</t>
        </is>
      </c>
      <c r="D9" s="204" t="inlineStr">
        <is>
          <t>Planta / Erva</t>
        </is>
      </c>
      <c r="E9" s="204" t="inlineStr">
        <is>
          <t>Fendas Úmidas da Mina de Bronze</t>
        </is>
      </c>
      <c r="F9" s="204" t="inlineStr">
        <is>
          <t>Coleta Manual (SAB)</t>
        </is>
      </c>
      <c r="G9" s="204" t="inlineStr">
        <is>
          <t>CD 10</t>
        </is>
      </c>
      <c r="H9" s="204" t="inlineStr">
        <is>
          <t>Incomum (Médio rendimento)</t>
        </is>
      </c>
      <c r="I9" s="204" t="inlineStr">
        <is>
          <t>Poções de Mana Menor e Óleos de Iluminação</t>
        </is>
      </c>
      <c r="J9" s="204" t="n">
        <v>6</v>
      </c>
      <c r="K9" s="204" t="inlineStr">
        <is>
          <t>Fungo bioluminescente que cresce onde o sol nunca tocou. Emite leve calor.</t>
        </is>
      </c>
      <c r="L9" s="205" t="n"/>
      <c r="M9" s="205" t="inlineStr">
        <is>
          <t>🌿</t>
        </is>
      </c>
    </row>
    <row r="10" ht="15" customHeight="1" s="116">
      <c r="A10" s="204" t="n">
        <v>8</v>
      </c>
      <c r="B10" s="204" t="inlineStr">
        <is>
          <t>Tier 2</t>
        </is>
      </c>
      <c r="C10" s="204" t="inlineStr">
        <is>
          <t>Quitina de Aranha das Cavernas</t>
        </is>
      </c>
      <c r="D10" s="204" t="inlineStr">
        <is>
          <t>Orgânico</t>
        </is>
      </c>
      <c r="E10" s="204" t="inlineStr">
        <is>
          <t>Covil da Aranha da Mina</t>
        </is>
      </c>
      <c r="F10" s="204" t="inlineStr">
        <is>
          <t>Extração Cuidadosa (DES)</t>
        </is>
      </c>
      <c r="G10" s="204" t="inlineStr">
        <is>
          <t>CD 10</t>
        </is>
      </c>
      <c r="H10" s="204" t="inlineStr">
        <is>
          <t>Incomum (Médio rendimento)</t>
        </is>
      </c>
      <c r="I10" s="204" t="inlineStr">
        <is>
          <t>Escudos leves e placas de armadura</t>
        </is>
      </c>
      <c r="J10" s="204" t="n">
        <v>7</v>
      </c>
      <c r="K10" s="204" t="inlineStr">
        <is>
          <t>Carapaça negra e leve, impermeável à água e resistente a cortes superficiais.</t>
        </is>
      </c>
      <c r="L10" s="205" t="n"/>
      <c r="M10" s="205" t="inlineStr">
        <is>
          <t>💠</t>
        </is>
      </c>
    </row>
    <row r="11" ht="15" customHeight="1" s="116">
      <c r="A11" s="206" t="n">
        <v>9</v>
      </c>
      <c r="B11" s="206" t="inlineStr">
        <is>
          <t>Tier 3</t>
        </is>
      </c>
      <c r="C11" s="206" t="inlineStr">
        <is>
          <t>Veio de Ferro Negro</t>
        </is>
      </c>
      <c r="D11" s="206" t="inlineStr">
        <is>
          <t>Minério</t>
        </is>
      </c>
      <c r="E11" s="206" t="inlineStr">
        <is>
          <t>Ruínas da Antiga Forja &amp; Posto dos Mineiros</t>
        </is>
      </c>
      <c r="F11" s="206" t="inlineStr">
        <is>
          <t>Picareta Reforçada (FOR)</t>
        </is>
      </c>
      <c r="G11" s="206" t="inlineStr">
        <is>
          <t>CD 12</t>
        </is>
      </c>
      <c r="H11" s="206" t="inlineStr">
        <is>
          <t>Comum (Alto rendimento)</t>
        </is>
      </c>
      <c r="I11" s="206" t="inlineStr">
        <is>
          <t>Forja de Armas e Armaduras de Ferro</t>
        </is>
      </c>
      <c r="J11" s="206" t="n">
        <v>12</v>
      </c>
      <c r="K11" s="206" t="inlineStr">
        <is>
          <t>Ferro denso e escuro com alta concentração mineral, forjado nos tempos áureos da vila.</t>
        </is>
      </c>
      <c r="L11" s="207" t="n"/>
      <c r="M11" s="207" t="inlineStr">
        <is>
          <t>⛏️</t>
        </is>
      </c>
    </row>
    <row r="12" ht="15" customHeight="1" s="116">
      <c r="A12" s="206" t="n">
        <v>10</v>
      </c>
      <c r="B12" s="206" t="inlineStr">
        <is>
          <t>Tier 3</t>
        </is>
      </c>
      <c r="C12" s="206" t="inlineStr">
        <is>
          <t>Freixo das Ruínas</t>
        </is>
      </c>
      <c r="D12" s="206" t="inlineStr">
        <is>
          <t>Madeira</t>
        </is>
      </c>
      <c r="E12" s="206" t="inlineStr">
        <is>
          <t>Arredores da Forja Antiga</t>
        </is>
      </c>
      <c r="F12" s="206" t="inlineStr">
        <is>
          <t>Machado Reforçado (FOR)</t>
        </is>
      </c>
      <c r="G12" s="206" t="inlineStr">
        <is>
          <t>CD 12</t>
        </is>
      </c>
      <c r="H12" s="206" t="inlineStr">
        <is>
          <t>Comum (Médio rendimento)</t>
        </is>
      </c>
      <c r="I12" s="206" t="inlineStr">
        <is>
          <t>Arcos compostos e cabos pesados</t>
        </is>
      </c>
      <c r="J12" s="206" t="n">
        <v>10</v>
      </c>
      <c r="K12" s="206" t="inlineStr">
        <is>
          <t>Madeira que absorveu séculos de fuligem e carvão mineral, tornando-se dura como pedra.</t>
        </is>
      </c>
      <c r="L12" s="207" t="n"/>
      <c r="M12" s="207" t="inlineStr">
        <is>
          <t>🌳</t>
        </is>
      </c>
    </row>
    <row r="13" ht="15" customHeight="1" s="116">
      <c r="A13" s="206" t="n">
        <v>11</v>
      </c>
      <c r="B13" s="206" t="inlineStr">
        <is>
          <t>Tier 3</t>
        </is>
      </c>
      <c r="C13" s="206" t="inlineStr">
        <is>
          <t>Líquen Ferruginoso</t>
        </is>
      </c>
      <c r="D13" s="206" t="inlineStr">
        <is>
          <t>Planta / Erva</t>
        </is>
      </c>
      <c r="E13" s="206" t="inlineStr">
        <is>
          <t>Paredes de Pedra da Forja</t>
        </is>
      </c>
      <c r="F13" s="206" t="inlineStr">
        <is>
          <t>Raspagem Precisa (SAB)</t>
        </is>
      </c>
      <c r="G13" s="206" t="inlineStr">
        <is>
          <t>CD 12</t>
        </is>
      </c>
      <c r="H13" s="206" t="inlineStr">
        <is>
          <t>Incomum (Médio rendimento)</t>
        </is>
      </c>
      <c r="I13" s="206" t="inlineStr">
        <is>
          <t>Pomadas cicatrizantes e óleos de afiação</t>
        </is>
      </c>
      <c r="J13" s="206" t="n">
        <v>14</v>
      </c>
      <c r="K13" s="206" t="inlineStr">
        <is>
          <t>Vegetação rasteira com textura metálica que consome a ferrugem das ferramentas abandonadas.</t>
        </is>
      </c>
      <c r="L13" s="207" t="n"/>
      <c r="M13" s="207" t="inlineStr">
        <is>
          <t>🌿</t>
        </is>
      </c>
    </row>
    <row r="14" ht="15" customHeight="1" s="116">
      <c r="A14" s="206" t="n">
        <v>12</v>
      </c>
      <c r="B14" s="206" t="inlineStr">
        <is>
          <t>Tier 3</t>
        </is>
      </c>
      <c r="C14" s="206" t="inlineStr">
        <is>
          <t>Fragmento de Golem Corrompido</t>
        </is>
      </c>
      <c r="D14" s="206" t="inlineStr">
        <is>
          <t>Orgânico / Material</t>
        </is>
      </c>
      <c r="E14" s="206" t="inlineStr">
        <is>
          <t>Câmara do Golem de Sucata</t>
        </is>
      </c>
      <c r="F14" s="206" t="inlineStr">
        <is>
          <t>Desmanche (INT/FOR)</t>
        </is>
      </c>
      <c r="G14" s="206" t="inlineStr">
        <is>
          <t>CD 12</t>
        </is>
      </c>
      <c r="H14" s="206" t="inlineStr">
        <is>
          <t>Raro (Baixo rendimento - Boss)</t>
        </is>
      </c>
      <c r="I14" s="206" t="inlineStr">
        <is>
          <t>Peitorais pesados e runas de sustentação</t>
        </is>
      </c>
      <c r="J14" s="206" t="n">
        <v>25</v>
      </c>
      <c r="K14" s="206" t="inlineStr">
        <is>
          <t>Pedaço de engrenagem viva que continua a chiar levemente mesmo após a queda do golem.</t>
        </is>
      </c>
      <c r="L14" s="207" t="n"/>
      <c r="M14" s="207" t="n"/>
    </row>
    <row r="15" ht="15" customHeight="1" s="116">
      <c r="A15" s="208" t="n">
        <v>13</v>
      </c>
      <c r="B15" s="208" t="inlineStr">
        <is>
          <t>Tier 4</t>
        </is>
      </c>
      <c r="C15" s="208" t="inlineStr">
        <is>
          <t>Veio de Prata Pálida</t>
        </is>
      </c>
      <c r="D15" s="208" t="inlineStr">
        <is>
          <t>Minério</t>
        </is>
      </c>
      <c r="E15" s="208" t="inlineStr">
        <is>
          <t>Criptas de Prata &amp; Catacumbas</t>
        </is>
      </c>
      <c r="F15" s="208" t="inlineStr">
        <is>
          <t>Picareta de Ferro (FOR)</t>
        </is>
      </c>
      <c r="G15" s="208" t="inlineStr">
        <is>
          <t>CD 14</t>
        </is>
      </c>
      <c r="H15" s="208" t="inlineStr">
        <is>
          <t>Comum (Médio rendimento)</t>
        </is>
      </c>
      <c r="I15" s="208" t="inlineStr">
        <is>
          <t>Forja de Armas e Armaduras de Prata</t>
        </is>
      </c>
      <c r="J15" s="208" t="n">
        <v>22</v>
      </c>
      <c r="K15" s="208" t="inlineStr">
        <is>
          <t>Metal lunar que repele a escuridão das criptas. Causa queimaduras de luz ao toque de mortos-vivos.</t>
        </is>
      </c>
      <c r="L15" s="209" t="n"/>
      <c r="M15" s="209" t="inlineStr">
        <is>
          <t>⛏️</t>
        </is>
      </c>
    </row>
    <row r="16" ht="15" customHeight="1" s="116">
      <c r="A16" s="208" t="n">
        <v>14</v>
      </c>
      <c r="B16" s="208" t="inlineStr">
        <is>
          <t>Tier 4</t>
        </is>
      </c>
      <c r="C16" s="208" t="inlineStr">
        <is>
          <t>Cipreste das Criptas</t>
        </is>
      </c>
      <c r="D16" s="208" t="inlineStr">
        <is>
          <t>Madeira</t>
        </is>
      </c>
      <c r="E16" s="208" t="inlineStr">
        <is>
          <t>Cemitérios Antigos e Ruínas de Prata</t>
        </is>
      </c>
      <c r="F16" s="208" t="inlineStr">
        <is>
          <t>Machado de Ferro (FOR)</t>
        </is>
      </c>
      <c r="G16" s="208" t="inlineStr">
        <is>
          <t>CD 14</t>
        </is>
      </c>
      <c r="H16" s="208" t="inlineStr">
        <is>
          <t>Comum (Médio rendimento)</t>
        </is>
      </c>
      <c r="I16" s="208" t="inlineStr">
        <is>
          <t>Arcos sagrados e cabos de cetros</t>
        </is>
      </c>
      <c r="J16" s="208" t="n">
        <v>18</v>
      </c>
      <c r="K16" s="208" t="inlineStr">
        <is>
          <t>Cresce sobre sepulturas milenares. A madeira não queima facilmente e repele pragas.</t>
        </is>
      </c>
      <c r="L16" s="209" t="n"/>
      <c r="M16" s="209" t="inlineStr">
        <is>
          <t>🌳</t>
        </is>
      </c>
    </row>
    <row r="17" ht="15" customHeight="1" s="116">
      <c r="A17" s="208" t="n">
        <v>15</v>
      </c>
      <c r="B17" s="208" t="inlineStr">
        <is>
          <t>Tier 4</t>
        </is>
      </c>
      <c r="C17" s="208" t="inlineStr">
        <is>
          <t>Flor do Sudário</t>
        </is>
      </c>
      <c r="D17" s="208" t="inlineStr">
        <is>
          <t>Planta / Erva</t>
        </is>
      </c>
      <c r="E17" s="208" t="inlineStr">
        <is>
          <t>Jardins Soterrados das Criptas</t>
        </is>
      </c>
      <c r="F17" s="208" t="inlineStr">
        <is>
          <t>Coleta Cuidadosa (SAB)</t>
        </is>
      </c>
      <c r="G17" s="208" t="inlineStr">
        <is>
          <t>CD 14</t>
        </is>
      </c>
      <c r="H17" s="208" t="inlineStr">
        <is>
          <t>Incomum (Médio rendimento)</t>
        </is>
      </c>
      <c r="I17" s="208" t="inlineStr">
        <is>
          <t>Óleos contra Mortos-Vivos e Poções de Cura</t>
        </is>
      </c>
      <c r="J17" s="208" t="n">
        <v>28</v>
      </c>
      <c r="K17" s="208" t="inlineStr">
        <is>
          <t>Pétalas brancas translúcidas que soltam um perfume frio, capaz de mascarar o odor dos vivos.</t>
        </is>
      </c>
      <c r="L17" s="209" t="n"/>
      <c r="M17" s="209" t="inlineStr">
        <is>
          <t>🌿</t>
        </is>
      </c>
    </row>
    <row r="18" ht="15" customHeight="1" s="116">
      <c r="A18" s="208" t="n">
        <v>16</v>
      </c>
      <c r="B18" s="208" t="inlineStr">
        <is>
          <t>Tier 4</t>
        </is>
      </c>
      <c r="C18" s="208" t="inlineStr">
        <is>
          <t>Pó de Ectoplasma Cristalizado</t>
        </is>
      </c>
      <c r="D18" s="208" t="inlineStr">
        <is>
          <t>Orgânico / Essência</t>
        </is>
      </c>
      <c r="E18" s="208" t="inlineStr">
        <is>
          <t>Covil do Senhor dos Mortos-Vivos</t>
        </is>
      </c>
      <c r="F18" s="208" t="inlineStr">
        <is>
          <t>Coleta Arcana (INT/SAB)</t>
        </is>
      </c>
      <c r="G18" s="208" t="inlineStr">
        <is>
          <t>CD 14</t>
        </is>
      </c>
      <c r="H18" s="208" t="inlineStr">
        <is>
          <t>Raro (Baixo rendimento - Boss)</t>
        </is>
      </c>
      <c r="I18" s="208" t="inlineStr">
        <is>
          <t>Encantamentos de armas e poções de invisibilidade</t>
        </is>
      </c>
      <c r="J18" s="208" t="n">
        <v>45</v>
      </c>
      <c r="K18" s="208" t="inlineStr">
        <is>
          <t>Resíduo espiritual congelado pelo Ceifador do Silêncio quando ceifou a voz da cripta.</t>
        </is>
      </c>
      <c r="L18" s="209" t="n"/>
      <c r="M18" s="209" t="n"/>
    </row>
    <row r="19" ht="15" customHeight="1" s="116">
      <c r="A19" s="210" t="n">
        <v>17</v>
      </c>
      <c r="B19" s="210" t="inlineStr">
        <is>
          <t>Tier 5</t>
        </is>
      </c>
      <c r="C19" s="210" t="inlineStr">
        <is>
          <t>Metal Estriado Élfico</t>
        </is>
      </c>
      <c r="D19" s="210" t="inlineStr">
        <is>
          <t>Minério</t>
        </is>
      </c>
      <c r="E19" s="210" t="inlineStr">
        <is>
          <t>Ruínas Élficas &amp; Penhascos dos Ecos</t>
        </is>
      </c>
      <c r="F19" s="210" t="inlineStr">
        <is>
          <t>Picareta de Prata (FOR/DES)</t>
        </is>
      </c>
      <c r="G19" s="210" t="inlineStr">
        <is>
          <t>CD 16</t>
        </is>
      </c>
      <c r="H19" s="210" t="inlineStr">
        <is>
          <t>Incomum (Médio rendimento)</t>
        </is>
      </c>
      <c r="I19" s="210" t="inlineStr">
        <is>
          <t>Forja de Lâminas e Armaduras Élficas</t>
        </is>
      </c>
      <c r="J19" s="210" t="n">
        <v>40</v>
      </c>
      <c r="K19" s="210" t="inlineStr">
        <is>
          <t>Liga metálica que reverbera harmonias quando golpeada. Não sofre oxidação.</t>
        </is>
      </c>
      <c r="L19" s="211" t="n"/>
      <c r="M19" s="211" t="inlineStr">
        <is>
          <t>⛏️</t>
        </is>
      </c>
    </row>
    <row r="20" ht="15" customHeight="1" s="116">
      <c r="A20" s="210" t="n">
        <v>18</v>
      </c>
      <c r="B20" s="210" t="inlineStr">
        <is>
          <t>Tier 5</t>
        </is>
      </c>
      <c r="C20" s="210" t="inlineStr">
        <is>
          <t>Sabugueiro Ancestral (Madeira Viva)</t>
        </is>
      </c>
      <c r="D20" s="210" t="inlineStr">
        <is>
          <t>Madeira</t>
        </is>
      </c>
      <c r="E20" s="210" t="inlineStr">
        <is>
          <t>Bosque Sagrado do Entreposto Élfico</t>
        </is>
      </c>
      <c r="F20" s="210" t="inlineStr">
        <is>
          <t>Machado Abençoado (FOR/SAB)</t>
        </is>
      </c>
      <c r="G20" s="210" t="inlineStr">
        <is>
          <t>CD 16</t>
        </is>
      </c>
      <c r="H20" s="210" t="inlineStr">
        <is>
          <t>Incomum (Médio rendimento)</t>
        </is>
      </c>
      <c r="I20" s="210" t="inlineStr">
        <is>
          <t>Arcos longos de precisão e cajados nobres</t>
        </is>
      </c>
      <c r="J20" s="210" t="n">
        <v>35</v>
      </c>
      <c r="K20" s="210" t="inlineStr">
        <is>
          <t>Troncos que pulsam seiva prateada. Se cortada com respeito, a madeira retém elasticidade eterna.</t>
        </is>
      </c>
      <c r="L20" s="211" t="n"/>
      <c r="M20" s="211" t="inlineStr">
        <is>
          <t>🌳</t>
        </is>
      </c>
    </row>
    <row r="21" ht="15" customHeight="1" s="116">
      <c r="A21" s="210" t="n">
        <v>19</v>
      </c>
      <c r="B21" s="210" t="inlineStr">
        <is>
          <t>Tier 5</t>
        </is>
      </c>
      <c r="C21" s="210" t="inlineStr">
        <is>
          <t>Folha Cantante</t>
        </is>
      </c>
      <c r="D21" s="210" t="inlineStr">
        <is>
          <t>Planta / Erva</t>
        </is>
      </c>
      <c r="E21" s="210" t="inlineStr">
        <is>
          <t>Clareiras das Ruínas Élficas</t>
        </is>
      </c>
      <c r="F21" s="210" t="inlineStr">
        <is>
          <t>Coleta Harmônica (SAB)</t>
        </is>
      </c>
      <c r="G21" s="210" t="inlineStr">
        <is>
          <t>CD 16</t>
        </is>
      </c>
      <c r="H21" s="210" t="inlineStr">
        <is>
          <t>Raro (Médio rendimento)</t>
        </is>
      </c>
      <c r="I21" s="210" t="inlineStr">
        <is>
          <t>Elixires de Mana e Poções de Agilidade</t>
        </is>
      </c>
      <c r="J21" s="210" t="n">
        <v>50</v>
      </c>
      <c r="K21" s="210" t="inlineStr">
        <is>
          <t>Erva delicada que vibra sons suaves com a brisa. Amplifica a concentração de conjuradores.</t>
        </is>
      </c>
      <c r="L21" s="211" t="n"/>
      <c r="M21" s="211" t="inlineStr">
        <is>
          <t>🌿</t>
        </is>
      </c>
    </row>
    <row r="22" ht="15" customHeight="1" s="116">
      <c r="A22" s="210" t="n">
        <v>20</v>
      </c>
      <c r="B22" s="210" t="inlineStr">
        <is>
          <t>Tier 5</t>
        </is>
      </c>
      <c r="C22" s="210" t="inlineStr">
        <is>
          <t>Cristal Ressonante da Elfa</t>
        </is>
      </c>
      <c r="D22" s="210" t="inlineStr">
        <is>
          <t>Orgânico / Essência</t>
        </is>
      </c>
      <c r="E22" s="210" t="inlineStr">
        <is>
          <t>Santuário da Última Elfa</t>
        </is>
      </c>
      <c r="F22" s="210" t="inlineStr">
        <is>
          <t>Extração Arcana (INT)</t>
        </is>
      </c>
      <c r="G22" s="210" t="inlineStr">
        <is>
          <t>CD 16</t>
        </is>
      </c>
      <c r="H22" s="210" t="inlineStr">
        <is>
          <t>Raro (Baixo rendimento - Boss)</t>
        </is>
      </c>
      <c r="I22" s="210" t="inlineStr">
        <is>
          <t>Joias de mana e artefatos de penetração de defesa</t>
        </is>
      </c>
      <c r="J22" s="210" t="n">
        <v>85</v>
      </c>
      <c r="K22" s="210" t="inlineStr">
        <is>
          <t>Cristal nascido da última lágrima derramada antes da queda da dinastia élfica.</t>
        </is>
      </c>
      <c r="L22" s="211" t="n"/>
      <c r="M22" s="211" t="n"/>
    </row>
    <row r="23" ht="15" customHeight="1" s="116">
      <c r="A23" s="212" t="n">
        <v>21</v>
      </c>
      <c r="B23" s="212" t="inlineStr">
        <is>
          <t>Tier 6</t>
        </is>
      </c>
      <c r="C23" s="212" t="inlineStr">
        <is>
          <t>Latão de Fornalha Subterrânea</t>
        </is>
      </c>
      <c r="D23" s="212" t="inlineStr">
        <is>
          <t>Minério</t>
        </is>
      </c>
      <c r="E23" s="212" t="inlineStr">
        <is>
          <t>Câmara Mecânica Anã</t>
        </is>
      </c>
      <c r="F23" s="212" t="inlineStr">
        <is>
          <t>Picareta de Aço (FOR)</t>
        </is>
      </c>
      <c r="G23" s="212" t="inlineStr">
        <is>
          <t>CD 18</t>
        </is>
      </c>
      <c r="H23" s="212" t="inlineStr">
        <is>
          <t>Comum (Alto rendimento)</t>
        </is>
      </c>
      <c r="I23" s="212" t="inlineStr">
        <is>
          <t>Mecanismos, Armas de Engrenagem e Placas Anãs</t>
        </is>
      </c>
      <c r="J23" s="212" t="n">
        <v>60</v>
      </c>
      <c r="K23" s="212" t="inlineStr">
        <is>
          <t>Metal pesado com memória elástica, ideal para molas, pistões e lâminas retráteis.</t>
        </is>
      </c>
      <c r="L23" s="213" t="n"/>
      <c r="M23" s="213" t="inlineStr">
        <is>
          <t>⛏️</t>
        </is>
      </c>
    </row>
    <row r="24" ht="15" customHeight="1" s="116">
      <c r="A24" s="212" t="n">
        <v>22</v>
      </c>
      <c r="B24" s="212" t="inlineStr">
        <is>
          <t>Tier 6</t>
        </is>
      </c>
      <c r="C24" s="212" t="inlineStr">
        <is>
          <t>Madeira Petrificada a Vapor</t>
        </is>
      </c>
      <c r="D24" s="212" t="inlineStr">
        <is>
          <t>Madeira</t>
        </is>
      </c>
      <c r="E24" s="212" t="inlineStr">
        <is>
          <t>Dutos Profundos da Câmara Anã</t>
        </is>
      </c>
      <c r="F24" s="212" t="inlineStr">
        <is>
          <t>Serra/Machado de Aço (FOR)</t>
        </is>
      </c>
      <c r="G24" s="212" t="inlineStr">
        <is>
          <t>CD 18</t>
        </is>
      </c>
      <c r="H24" s="212" t="inlineStr">
        <is>
          <t>Comum (Médio rendimento)</t>
        </is>
      </c>
      <c r="I24" s="212" t="inlineStr">
        <is>
          <t>Coronhas de bestas e empunhaduras de martelos</t>
        </is>
      </c>
      <c r="J24" s="212" t="n">
        <v>50</v>
      </c>
      <c r="K24" s="212" t="inlineStr">
        <is>
          <t>Troncos fossilizados pelo calor contínuo das caldeiras ancestrais que nunca se apagaram.</t>
        </is>
      </c>
      <c r="L24" s="213" t="n"/>
      <c r="M24" s="213" t="inlineStr">
        <is>
          <t>🌳</t>
        </is>
      </c>
    </row>
    <row r="25" ht="15" customHeight="1" s="116">
      <c r="A25" s="212" t="n">
        <v>23</v>
      </c>
      <c r="B25" s="212" t="inlineStr">
        <is>
          <t>Tier 6</t>
        </is>
      </c>
      <c r="C25" s="212" t="inlineStr">
        <is>
          <t>Musgo de Graxa Arcana</t>
        </is>
      </c>
      <c r="D25" s="212" t="inlineStr">
        <is>
          <t>Planta / Erva</t>
        </is>
      </c>
      <c r="E25" s="212" t="inlineStr">
        <is>
          <t>Dutos de Lubrificação Abandonados</t>
        </is>
      </c>
      <c r="F25" s="212" t="inlineStr">
        <is>
          <t>Raspagem (DES)</t>
        </is>
      </c>
      <c r="G25" s="212" t="inlineStr">
        <is>
          <t>CD 18</t>
        </is>
      </c>
      <c r="H25" s="212" t="inlineStr">
        <is>
          <t>Incomum (Médio rendimento)</t>
        </is>
      </c>
      <c r="I25" s="212" t="inlineStr">
        <is>
          <t>Óleos de velocidade e fluidos de ignição</t>
        </is>
      </c>
      <c r="J25" s="212" t="n">
        <v>65</v>
      </c>
      <c r="K25" s="212" t="inlineStr">
        <is>
          <t>Musgo espesso que excreta uma substância altamente inflamável e de fricção zero.</t>
        </is>
      </c>
      <c r="L25" s="213" t="n"/>
      <c r="M25" s="213" t="inlineStr">
        <is>
          <t>🌿</t>
        </is>
      </c>
    </row>
    <row r="26" ht="15" customHeight="1" s="116">
      <c r="A26" s="212" t="n">
        <v>24</v>
      </c>
      <c r="B26" s="212" t="inlineStr">
        <is>
          <t>Tier 6</t>
        </is>
      </c>
      <c r="C26" s="212" t="inlineStr">
        <is>
          <t>Núcleo de Engrenagem Ancestral</t>
        </is>
      </c>
      <c r="D26" s="212" t="inlineStr">
        <is>
          <t>Orgânico / Mecânico</t>
        </is>
      </c>
      <c r="E26" s="212" t="inlineStr">
        <is>
          <t>Núcleo Mecânico Ancestral</t>
        </is>
      </c>
      <c r="F26" s="212" t="inlineStr">
        <is>
          <t>Desmanche Tecnológico (INT)</t>
        </is>
      </c>
      <c r="G26" s="212" t="inlineStr">
        <is>
          <t>CD 18</t>
        </is>
      </c>
      <c r="H26" s="212" t="inlineStr">
        <is>
          <t>Raro (Baixo rendimento - Boss)</t>
        </is>
      </c>
      <c r="I26" s="212" t="inlineStr">
        <is>
          <t>Armaduras mecanizadas e relógios de precisão</t>
        </is>
      </c>
      <c r="J26" s="212" t="n">
        <v>120</v>
      </c>
      <c r="K26" s="212" t="inlineStr">
        <is>
          <t>Engrenagem forjada com liga perdida que gira sozinha sem fonte de energia aparente.</t>
        </is>
      </c>
      <c r="L26" s="213" t="n"/>
      <c r="M26" s="213" t="n"/>
    </row>
    <row r="27" ht="15" customHeight="1" s="116">
      <c r="A27" s="214" t="n">
        <v>25</v>
      </c>
      <c r="B27" s="214" t="inlineStr">
        <is>
          <t>Tier 7</t>
        </is>
      </c>
      <c r="C27" s="214" t="inlineStr">
        <is>
          <t>Obsidiana Incandescente (Vidro Vulcânico)</t>
        </is>
      </c>
      <c r="D27" s="214" t="inlineStr">
        <is>
          <t>Minério</t>
        </is>
      </c>
      <c r="E27" s="214" t="inlineStr">
        <is>
          <t>Fenda Vulcânica Ativa</t>
        </is>
      </c>
      <c r="F27" s="214" t="inlineStr">
        <is>
          <t>Picareta Térmica (FOR)</t>
        </is>
      </c>
      <c r="G27" s="214" t="inlineStr">
        <is>
          <t>CD 20</t>
        </is>
      </c>
      <c r="H27" s="214" t="inlineStr">
        <is>
          <t>Incomum (Alto rendimento)</t>
        </is>
      </c>
      <c r="I27" s="214" t="inlineStr">
        <is>
          <t>Lâminas Serrilhadas de Fogo e Vidro</t>
        </is>
      </c>
      <c r="J27" s="214" t="n">
        <v>90</v>
      </c>
      <c r="K27" s="214" t="inlineStr">
        <is>
          <t>Formado no choque do magma vivo com ar gélido. Extremamente afiado, quebra fácil se mal forjado.</t>
        </is>
      </c>
      <c r="L27" s="215" t="n"/>
      <c r="M27" s="215" t="inlineStr">
        <is>
          <t>⛏️</t>
        </is>
      </c>
    </row>
    <row r="28" ht="15" customHeight="1" s="116">
      <c r="A28" s="214" t="n">
        <v>26</v>
      </c>
      <c r="B28" s="214" t="inlineStr">
        <is>
          <t>Tier 7</t>
        </is>
      </c>
      <c r="C28" s="214" t="inlineStr">
        <is>
          <t>Tronco Queimado de Fenda (Ébano de Fogo)</t>
        </is>
      </c>
      <c r="D28" s="214" t="inlineStr">
        <is>
          <t>Madeira</t>
        </is>
      </c>
      <c r="E28" s="214" t="inlineStr">
        <is>
          <t>Margem da Fenda Vulcânica</t>
        </is>
      </c>
      <c r="F28" s="214" t="inlineStr">
        <is>
          <t>Machado Reforçado (FOR)</t>
        </is>
      </c>
      <c r="G28" s="214" t="inlineStr">
        <is>
          <t>CD 20</t>
        </is>
      </c>
      <c r="H28" s="214" t="inlineStr">
        <is>
          <t>Incomum (Médio rendimento)</t>
        </is>
      </c>
      <c r="I28" s="214" t="inlineStr">
        <is>
          <t>Cabos resistentes a calor extremo</t>
        </is>
      </c>
      <c r="J28" s="214" t="n">
        <v>75</v>
      </c>
      <c r="K28" s="214" t="inlineStr">
        <is>
          <t>Madeira carbonizada por séculos que absorveu o calor e nunca mais entra em combustão.</t>
        </is>
      </c>
      <c r="L28" s="215" t="n"/>
      <c r="M28" s="215" t="inlineStr">
        <is>
          <t>🌳</t>
        </is>
      </c>
    </row>
    <row r="29" ht="15" customHeight="1" s="116">
      <c r="A29" s="214" t="n">
        <v>27</v>
      </c>
      <c r="B29" s="214" t="inlineStr">
        <is>
          <t>Tier 7</t>
        </is>
      </c>
      <c r="C29" s="214" t="inlineStr">
        <is>
          <t>Orquídea de Magma</t>
        </is>
      </c>
      <c r="D29" s="214" t="inlineStr">
        <is>
          <t>Planta / Erva</t>
        </is>
      </c>
      <c r="E29" s="214" t="inlineStr">
        <is>
          <t>Paredões de Rocha Quente da Fenda</t>
        </is>
      </c>
      <c r="F29" s="214" t="inlineStr">
        <is>
          <t>Coleta com Pinças (DES/SAB)</t>
        </is>
      </c>
      <c r="G29" s="214" t="inlineStr">
        <is>
          <t>CD 20</t>
        </is>
      </c>
      <c r="H29" s="214" t="inlineStr">
        <is>
          <t>Raro (Médio rendimento)</t>
        </is>
      </c>
      <c r="I29" s="214" t="inlineStr">
        <is>
          <t>Poções de Dano de Fogo e Resistência ao Calor</t>
        </is>
      </c>
      <c r="J29" s="214" t="n">
        <v>110</v>
      </c>
      <c r="K29" s="214" t="inlineStr">
        <is>
          <t>Pétalas vermelhas incandescentes que fervem a água ao redor se colhidas incorretamente.</t>
        </is>
      </c>
      <c r="L29" s="215" t="n"/>
      <c r="M29" s="215" t="inlineStr">
        <is>
          <t>🌿</t>
        </is>
      </c>
    </row>
    <row r="30" ht="15" customHeight="1" s="116">
      <c r="A30" s="214" t="n">
        <v>28</v>
      </c>
      <c r="B30" s="214" t="inlineStr">
        <is>
          <t>Tier 7</t>
        </is>
      </c>
      <c r="C30" s="214" t="inlineStr">
        <is>
          <t>Escama de Fera Vítrea</t>
        </is>
      </c>
      <c r="D30" s="214" t="inlineStr">
        <is>
          <t>Orgânico</t>
        </is>
      </c>
      <c r="E30" s="214" t="inlineStr">
        <is>
          <t>Covil do Guardião da Fenda Ativa</t>
        </is>
      </c>
      <c r="F30" s="214" t="inlineStr">
        <is>
          <t>Esfolamento Cuidadoso (DES)</t>
        </is>
      </c>
      <c r="G30" s="214" t="inlineStr">
        <is>
          <t>CD 20</t>
        </is>
      </c>
      <c r="H30" s="214" t="inlineStr">
        <is>
          <t>Raro (Baixo rendimento - Boss)</t>
        </is>
      </c>
      <c r="I30" s="214" t="inlineStr">
        <is>
          <t>Armaduras refletoras e escudos térmicos</t>
        </is>
      </c>
      <c r="J30" s="214" t="n">
        <v>180</v>
      </c>
      <c r="K30" s="214" t="inlineStr">
        <is>
          <t>Placas de vidro vulcânico orgânico que se regeneravam no corpo da fera ancestral.</t>
        </is>
      </c>
      <c r="L30" s="215" t="n"/>
      <c r="M30" s="215" t="inlineStr">
        <is>
          <t>💠</t>
        </is>
      </c>
    </row>
    <row r="31" ht="15" customHeight="1" s="116">
      <c r="A31" s="216" t="n">
        <v>29</v>
      </c>
      <c r="B31" s="216" t="inlineStr">
        <is>
          <t>Tier 8</t>
        </is>
      </c>
      <c r="C31" s="216" t="inlineStr">
        <is>
          <t>Lingote de Ferro Órquico Bruto</t>
        </is>
      </c>
      <c r="D31" s="216" t="inlineStr">
        <is>
          <t>Minério</t>
        </is>
      </c>
      <c r="E31" s="216" t="inlineStr">
        <is>
          <t>Acampamento Orc &amp; Minas Tomadas</t>
        </is>
      </c>
      <c r="F31" s="216" t="inlineStr">
        <is>
          <t>Picareta Pesada / Saque (FOR)</t>
        </is>
      </c>
      <c r="G31" s="216" t="inlineStr">
        <is>
          <t>CD 22</t>
        </is>
      </c>
      <c r="H31" s="216" t="inlineStr">
        <is>
          <t>Comum (Alto rendimento - Combate)</t>
        </is>
      </c>
      <c r="I31" s="216" t="inlineStr">
        <is>
          <t>Machados Bárbaros e Peitorais de Guerra</t>
        </is>
      </c>
      <c r="J31" s="216" t="n">
        <v>130</v>
      </c>
      <c r="K31" s="216" t="inlineStr">
        <is>
          <t>Ferro impuro temperado com carvão de ossos e sangue, conferindo peso e brutalidade ao golpe.</t>
        </is>
      </c>
      <c r="L31" s="217" t="n"/>
      <c r="M31" s="217" t="inlineStr">
        <is>
          <t>⛏️</t>
        </is>
      </c>
    </row>
    <row r="32" ht="15" customHeight="1" s="116">
      <c r="A32" s="216" t="n">
        <v>30</v>
      </c>
      <c r="B32" s="216" t="inlineStr">
        <is>
          <t>Tier 8</t>
        </is>
      </c>
      <c r="C32" s="216" t="inlineStr">
        <is>
          <t>Carvalho Sangrento de Paliçada</t>
        </is>
      </c>
      <c r="D32" s="216" t="inlineStr">
        <is>
          <t>Madeira</t>
        </is>
      </c>
      <c r="E32" s="216" t="inlineStr">
        <is>
          <t>Fortificações do Bando Orc</t>
        </is>
      </c>
      <c r="F32" s="216" t="inlineStr">
        <is>
          <t>Machado de Duas Mãos (FOR)</t>
        </is>
      </c>
      <c r="G32" s="216" t="inlineStr">
        <is>
          <t>CD 22</t>
        </is>
      </c>
      <c r="H32" s="216" t="inlineStr">
        <is>
          <t>Comum (Médio rendimento)</t>
        </is>
      </c>
      <c r="I32" s="216" t="inlineStr">
        <is>
          <t>Cabos reforçados para armas pesadas</t>
        </is>
      </c>
      <c r="J32" s="216" t="n">
        <v>100</v>
      </c>
      <c r="K32" s="216" t="inlineStr">
        <is>
          <t>Madeira densa manchada por rituais de guerra órquicos. Resistente a impactos contundentes.</t>
        </is>
      </c>
      <c r="L32" s="217" t="n"/>
      <c r="M32" s="217" t="inlineStr">
        <is>
          <t>🌳</t>
        </is>
      </c>
    </row>
    <row r="33" ht="15" customHeight="1" s="116">
      <c r="A33" s="216" t="n">
        <v>31</v>
      </c>
      <c r="B33" s="216" t="inlineStr">
        <is>
          <t>Tier 8</t>
        </is>
      </c>
      <c r="C33" s="216" t="inlineStr">
        <is>
          <t>Raiz da Fúria Vermelha</t>
        </is>
      </c>
      <c r="D33" s="216" t="inlineStr">
        <is>
          <t>Planta / Erva</t>
        </is>
      </c>
      <c r="E33" s="216" t="inlineStr">
        <is>
          <t>Solo Ppisoteado do Acampamento Orc</t>
        </is>
      </c>
      <c r="F33" s="216" t="inlineStr">
        <is>
          <t>Colheita Rápida (SAB)</t>
        </is>
      </c>
      <c r="G33" s="216" t="inlineStr">
        <is>
          <t>CD 22</t>
        </is>
      </c>
      <c r="H33" s="216" t="inlineStr">
        <is>
          <t>Incomum (Médio rendimento)</t>
        </is>
      </c>
      <c r="I33" s="216" t="inlineStr">
        <is>
          <t>Poções de Fúria Berserker (+Ataque)</t>
        </is>
      </c>
      <c r="J33" s="216" t="n">
        <v>140</v>
      </c>
      <c r="K33" s="216" t="inlineStr">
        <is>
          <t>Raiz tuberosa picante que acelera os batimentos cardíacos e bloqueia a sensação de dor.</t>
        </is>
      </c>
      <c r="L33" s="217" t="n"/>
      <c r="M33" s="217" t="inlineStr">
        <is>
          <t>🌿</t>
        </is>
      </c>
    </row>
    <row r="34" ht="15" customHeight="1" s="116">
      <c r="A34" s="216" t="n">
        <v>32</v>
      </c>
      <c r="B34" s="216" t="inlineStr">
        <is>
          <t>Tier 8</t>
        </is>
      </c>
      <c r="C34" s="216" t="inlineStr">
        <is>
          <t>Crânio Troféu do Chefe Orc</t>
        </is>
      </c>
      <c r="D34" s="216" t="inlineStr">
        <is>
          <t>Orgânico</t>
        </is>
      </c>
      <c r="E34" s="216" t="inlineStr">
        <is>
          <t>Chefe do Bando Orc</t>
        </is>
      </c>
      <c r="F34" s="216" t="inlineStr">
        <is>
          <t>Saque de Honra (FOR)</t>
        </is>
      </c>
      <c r="G34" s="216" t="inlineStr">
        <is>
          <t>CD 22</t>
        </is>
      </c>
      <c r="H34" s="216" t="inlineStr">
        <is>
          <t>Raro (Baixo rendimento - Boss)</t>
        </is>
      </c>
      <c r="I34" s="216" t="inlineStr">
        <is>
          <t>Elmos intimidadores e amuletos de liderança</t>
        </is>
      </c>
      <c r="J34" s="216" t="n">
        <v>240</v>
      </c>
      <c r="K34" s="216" t="inlineStr">
        <is>
          <t>Crânio adornado com cravos de ferro que ecoa os gritos de comando do chefe caído.</t>
        </is>
      </c>
      <c r="L34" s="217" t="n"/>
      <c r="M34" s="217" t="inlineStr">
        <is>
          <t>💠</t>
        </is>
      </c>
    </row>
    <row r="35" ht="15" customHeight="1" s="116">
      <c r="A35" s="218" t="n">
        <v>33</v>
      </c>
      <c r="B35" s="218" t="inlineStr">
        <is>
          <t>Tier 9</t>
        </is>
      </c>
      <c r="C35" s="218" t="inlineStr">
        <is>
          <t>Veio Profundo de Mithril</t>
        </is>
      </c>
      <c r="D35" s="218" t="inlineStr">
        <is>
          <t>Minério</t>
        </is>
      </c>
      <c r="E35" s="218" t="inlineStr">
        <is>
          <t>Cavernas Profundas de Mithril</t>
        </is>
      </c>
      <c r="F35" s="218" t="inlineStr">
        <is>
          <t>Picareta de Mithril/Aço (FOR/DES)</t>
        </is>
      </c>
      <c r="G35" s="218" t="inlineStr">
        <is>
          <t>CD 24</t>
        </is>
      </c>
      <c r="H35" s="218" t="inlineStr">
        <is>
          <t>Incomum (Alto rendimento)</t>
        </is>
      </c>
      <c r="I35" s="218" t="inlineStr">
        <is>
          <t>Armaduras de Placas Leves e Lâminas Nobres</t>
        </is>
      </c>
      <c r="J35" s="218" t="n">
        <v>180</v>
      </c>
      <c r="K35" s="218" t="inlineStr">
        <is>
          <t>Metal prateado luminescente que quase não possui peso, porém supera o aço em dureza.</t>
        </is>
      </c>
      <c r="L35" s="219" t="n"/>
      <c r="M35" s="219" t="inlineStr">
        <is>
          <t>⛏️</t>
        </is>
      </c>
    </row>
    <row r="36" ht="15" customHeight="1" s="116">
      <c r="A36" s="218" t="n">
        <v>34</v>
      </c>
      <c r="B36" s="218" t="inlineStr">
        <is>
          <t>Tier 9</t>
        </is>
      </c>
      <c r="C36" s="218" t="inlineStr">
        <is>
          <t>Raiz Abissal dos Pilares</t>
        </is>
      </c>
      <c r="D36" s="218" t="inlineStr">
        <is>
          <t>Madeira</t>
        </is>
      </c>
      <c r="E36" s="218" t="inlineStr">
        <is>
          <t>Abismos Subterrâneos do Porto</t>
        </is>
      </c>
      <c r="F36" s="218" t="inlineStr">
        <is>
          <t>Machado Afiado (FOR)</t>
        </is>
      </c>
      <c r="G36" s="218" t="inlineStr">
        <is>
          <t>CD 24</t>
        </is>
      </c>
      <c r="H36" s="218" t="inlineStr">
        <is>
          <t>Incomum (Médio rendimento)</t>
        </is>
      </c>
      <c r="I36" s="218" t="inlineStr">
        <is>
          <t>Arcos de longo alcance e cajados profundos</t>
        </is>
      </c>
      <c r="J36" s="218" t="n">
        <v>140</v>
      </c>
      <c r="K36" s="218" t="inlineStr">
        <is>
          <t>Raízes de árvores colossais que atravessam quilômetros de rocha em busca de água pura.</t>
        </is>
      </c>
      <c r="L36" s="219" t="n"/>
      <c r="M36" s="219" t="inlineStr">
        <is>
          <t>🌳</t>
        </is>
      </c>
    </row>
    <row r="37" ht="15" customHeight="1" s="116">
      <c r="A37" s="218" t="n">
        <v>35</v>
      </c>
      <c r="B37" s="218" t="inlineStr">
        <is>
          <t>Tier 9</t>
        </is>
      </c>
      <c r="C37" s="218" t="inlineStr">
        <is>
          <t>Lótus do Lago Sem Sol</t>
        </is>
      </c>
      <c r="D37" s="218" t="inlineStr">
        <is>
          <t>Planta / Erva</t>
        </is>
      </c>
      <c r="E37" s="218" t="inlineStr">
        <is>
          <t>Lagos das Cavernas Profundas</t>
        </is>
      </c>
      <c r="F37" s="218" t="inlineStr">
        <is>
          <t>Coleta Aquática (DES/SAB)</t>
        </is>
      </c>
      <c r="G37" s="218" t="inlineStr">
        <is>
          <t>CD 24</t>
        </is>
      </c>
      <c r="H37" s="218" t="inlineStr">
        <is>
          <t>Raro (Médio rendimento)</t>
        </is>
      </c>
      <c r="I37" s="218" t="inlineStr">
        <is>
          <t>Poções de Restauração Total e Mana Máxima</t>
        </is>
      </c>
      <c r="J37" s="218" t="n">
        <v>210</v>
      </c>
      <c r="K37" s="218" t="inlineStr">
        <is>
          <t>Flor aquática que absorve minerais de mithril dissolvidos na água, brilhando no escuro absoluto.</t>
        </is>
      </c>
      <c r="L37" s="219" t="n"/>
      <c r="M37" s="219" t="inlineStr">
        <is>
          <t>🌿</t>
        </is>
      </c>
    </row>
    <row r="38" ht="15" customHeight="1" s="116">
      <c r="A38" s="218" t="n">
        <v>36</v>
      </c>
      <c r="B38" s="218" t="inlineStr">
        <is>
          <t>Tier 9</t>
        </is>
      </c>
      <c r="C38" s="218" t="inlineStr">
        <is>
          <t>Núcleo de Cristal Elemental</t>
        </is>
      </c>
      <c r="D38" s="218" t="inlineStr">
        <is>
          <t>Orgânico / Essência</t>
        </is>
      </c>
      <c r="E38" s="218" t="inlineStr">
        <is>
          <t>Elemental Guardião das Profundezas</t>
        </is>
      </c>
      <c r="F38" s="218" t="inlineStr">
        <is>
          <t>Extração Arcana (INT)</t>
        </is>
      </c>
      <c r="G38" s="218" t="inlineStr">
        <is>
          <t>CD 24</t>
        </is>
      </c>
      <c r="H38" s="218" t="inlineStr">
        <is>
          <t>Raro (Baixo rendimento - Boss)</t>
        </is>
      </c>
      <c r="I38" s="218" t="inlineStr">
        <is>
          <t>Armas anti-magia e runas de reflexão de dano</t>
        </is>
      </c>
      <c r="J38" s="218" t="n">
        <v>350</v>
      </c>
      <c r="K38" s="218" t="inlineStr">
        <is>
          <t>Coração cristalino do elemental que vibra em harmonia com a estrutura geológica do mundo.</t>
        </is>
      </c>
      <c r="L38" s="219" t="n"/>
      <c r="M38" s="219" t="n"/>
    </row>
    <row r="39" ht="15" customHeight="1" s="116">
      <c r="A39" s="220" t="n">
        <v>37</v>
      </c>
      <c r="B39" s="220" t="inlineStr">
        <is>
          <t>Tier 10</t>
        </is>
      </c>
      <c r="C39" s="220" t="inlineStr">
        <is>
          <t>Rocha Negra de Ébano</t>
        </is>
      </c>
      <c r="D39" s="220" t="inlineStr">
        <is>
          <t>Minério</t>
        </is>
      </c>
      <c r="E39" s="220" t="inlineStr">
        <is>
          <t>Fenda Vulcânica Morta</t>
        </is>
      </c>
      <c r="F39" s="220" t="inlineStr">
        <is>
          <t>Picareta Pesada (FOR)</t>
        </is>
      </c>
      <c r="G39" s="220" t="inlineStr">
        <is>
          <t>CD 26</t>
        </is>
      </c>
      <c r="H39" s="220" t="inlineStr">
        <is>
          <t>Comum (Alto rendimento)</t>
        </is>
      </c>
      <c r="I39" s="220" t="inlineStr">
        <is>
          <t>Armas de Sombras e Armaduras Pesadas Negras</t>
        </is>
      </c>
      <c r="J39" s="220" t="n">
        <v>250</v>
      </c>
      <c r="K39" s="220" t="inlineStr">
        <is>
          <t>Rocha vulcânica fria que absorve a luz ambiente, pesada como chumbo e afiada como navalha.</t>
        </is>
      </c>
      <c r="L39" s="221" t="n"/>
      <c r="M39" s="221" t="inlineStr">
        <is>
          <t>⛏️</t>
        </is>
      </c>
    </row>
    <row r="40" ht="15" customHeight="1" s="116">
      <c r="A40" s="220" t="n">
        <v>38</v>
      </c>
      <c r="B40" s="220" t="inlineStr">
        <is>
          <t>Tier 10</t>
        </is>
      </c>
      <c r="C40" s="220" t="inlineStr">
        <is>
          <t>Tronco Negro Dessecado</t>
        </is>
      </c>
      <c r="D40" s="220" t="inlineStr">
        <is>
          <t>Madeira</t>
        </is>
      </c>
      <c r="E40" s="220" t="inlineStr">
        <is>
          <t>Florestas Petrificadas da Fenda Morta</t>
        </is>
      </c>
      <c r="F40" s="220" t="inlineStr">
        <is>
          <t>Machado de Mithril (FOR)</t>
        </is>
      </c>
      <c r="G40" s="220" t="inlineStr">
        <is>
          <t>CD 26</t>
        </is>
      </c>
      <c r="H40" s="220" t="inlineStr">
        <is>
          <t>Comum (Médio rendimento)</t>
        </is>
      </c>
      <c r="I40" s="220" t="inlineStr">
        <is>
          <t>Cabos e hastes que não conduzem magia inimiga</t>
        </is>
      </c>
      <c r="J40" s="220" t="n">
        <v>200</v>
      </c>
      <c r="K40" s="220" t="inlineStr">
        <is>
          <t>Árvores mortas no grande cataclismo da Mão, congeladas no tempo em cinza maciça.</t>
        </is>
      </c>
      <c r="L40" s="221" t="n"/>
      <c r="M40" s="221" t="inlineStr">
        <is>
          <t>🌳</t>
        </is>
      </c>
    </row>
    <row r="41" ht="15" customHeight="1" s="116">
      <c r="A41" s="220" t="n">
        <v>39</v>
      </c>
      <c r="B41" s="220" t="inlineStr">
        <is>
          <t>Tier 10</t>
        </is>
      </c>
      <c r="C41" s="220" t="inlineStr">
        <is>
          <t>Cogumelo da Cinza Fria</t>
        </is>
      </c>
      <c r="D41" s="220" t="inlineStr">
        <is>
          <t>Planta / Erva</t>
        </is>
      </c>
      <c r="E41" s="220" t="inlineStr">
        <is>
          <t>Montes de Cinzas Vulcânicas Mortas</t>
        </is>
      </c>
      <c r="F41" s="220" t="inlineStr">
        <is>
          <t>Coleta com Máscara (SAB)</t>
        </is>
      </c>
      <c r="G41" s="220" t="inlineStr">
        <is>
          <t>CD 26</t>
        </is>
      </c>
      <c r="H41" s="220" t="inlineStr">
        <is>
          <t>Incomum (Médio rendimento)</t>
        </is>
      </c>
      <c r="I41" s="220" t="inlineStr">
        <is>
          <t>Óleos Venenosos de Necrose e Frio</t>
        </is>
      </c>
      <c r="J41" s="220" t="n">
        <v>280</v>
      </c>
      <c r="K41" s="220" t="inlineStr">
        <is>
          <t>Fungo venenoso que cresce em fendas sem ar. Libera esporos sufocantes se perturbado.</t>
        </is>
      </c>
      <c r="L41" s="221" t="n"/>
      <c r="M41" s="221" t="inlineStr">
        <is>
          <t>🌿</t>
        </is>
      </c>
    </row>
    <row r="42" ht="15" customHeight="1" s="116">
      <c r="A42" s="220" t="n">
        <v>40</v>
      </c>
      <c r="B42" s="220" t="inlineStr">
        <is>
          <t>Tier 10</t>
        </is>
      </c>
      <c r="C42" s="220" t="inlineStr">
        <is>
          <t>Essência da Fenda Extinta</t>
        </is>
      </c>
      <c r="D42" s="220" t="inlineStr">
        <is>
          <t>Orgânico / Essência</t>
        </is>
      </c>
      <c r="E42" s="220" t="inlineStr">
        <is>
          <t>Guardião da Fenda Morta</t>
        </is>
      </c>
      <c r="F42" s="220" t="inlineStr">
        <is>
          <t>Extração Espiritual (SAB/INT)</t>
        </is>
      </c>
      <c r="G42" s="220" t="inlineStr">
        <is>
          <t>CD 26</t>
        </is>
      </c>
      <c r="H42" s="220" t="inlineStr">
        <is>
          <t>Raro (Baixo rendimento - Boss)</t>
        </is>
      </c>
      <c r="I42" s="220" t="inlineStr">
        <is>
          <t>Artefatos de silêncio e manto de invisibilidade noturna</t>
        </is>
      </c>
      <c r="J42" s="220" t="n">
        <v>480</v>
      </c>
      <c r="K42" s="220" t="inlineStr">
        <is>
          <t>O último suspiro térmico da fenda vulcanica, aprisionado em forma de âmbar escuro.</t>
        </is>
      </c>
      <c r="L42" s="221" t="n"/>
      <c r="M42" s="221" t="n"/>
    </row>
    <row r="43" ht="15" customHeight="1" s="116">
      <c r="A43" s="222" t="n">
        <v>41</v>
      </c>
      <c r="B43" s="222" t="inlineStr">
        <is>
          <t>Tier 11</t>
        </is>
      </c>
      <c r="C43" s="222" t="inlineStr">
        <is>
          <t>Veio Puro de Adamantina</t>
        </is>
      </c>
      <c r="D43" s="222" t="inlineStr">
        <is>
          <t>Minério</t>
        </is>
      </c>
      <c r="E43" s="222" t="inlineStr">
        <is>
          <t>Covil do Titã &amp; Bastião Adamantino</t>
        </is>
      </c>
      <c r="F43" s="222" t="inlineStr">
        <is>
          <t>Picareta de Adamantina / Drop (FOR)</t>
        </is>
      </c>
      <c r="G43" s="222" t="inlineStr">
        <is>
          <t>CD 28</t>
        </is>
      </c>
      <c r="H43" s="222" t="inlineStr">
        <is>
          <t>Raro (Médio rendimento)</t>
        </is>
      </c>
      <c r="I43" s="222" t="inlineStr">
        <is>
          <t>As Armaduras Mais Impenetráveis do Continente</t>
        </is>
      </c>
      <c r="J43" s="222" t="n">
        <v>350</v>
      </c>
      <c r="K43" s="222" t="inlineStr">
        <is>
          <t>O metal mais denso e resistente conhecido pela civilização mortal. Requer forjas de dragão para moldar.</t>
        </is>
      </c>
      <c r="L43" s="223" t="n"/>
      <c r="M43" s="223" t="inlineStr">
        <is>
          <t>⛏️</t>
        </is>
      </c>
    </row>
    <row r="44" ht="15" customHeight="1" s="116">
      <c r="A44" s="222" t="n">
        <v>42</v>
      </c>
      <c r="B44" s="222" t="inlineStr">
        <is>
          <t>Tier 11</t>
        </is>
      </c>
      <c r="C44" s="222" t="inlineStr">
        <is>
          <t>Madeira de Pau-Ferro Ancestral</t>
        </is>
      </c>
      <c r="D44" s="222" t="inlineStr">
        <is>
          <t>Madeira</t>
        </is>
      </c>
      <c r="E44" s="222" t="inlineStr">
        <is>
          <t>Planícies Próximas ao Bastião</t>
        </is>
      </c>
      <c r="F44" s="222" t="inlineStr">
        <is>
          <t>Machado de Adamantina (FOR)</t>
        </is>
      </c>
      <c r="G44" s="222" t="inlineStr">
        <is>
          <t>CD 28</t>
        </is>
      </c>
      <c r="H44" s="222" t="inlineStr">
        <is>
          <t>Incomum (Médio rendimento)</t>
        </is>
      </c>
      <c r="I44" s="222" t="inlineStr">
        <is>
          <t>Escudos de torre e cabos indestrutíveis</t>
        </is>
      </c>
      <c r="J44" s="222" t="n">
        <v>280</v>
      </c>
      <c r="K44" s="222" t="inlineStr">
        <is>
          <t>Troncos de densidade tão extrema que afundam na água e desafiam as lâminas convencionais.</t>
        </is>
      </c>
      <c r="L44" s="223" t="n"/>
      <c r="M44" s="223" t="inlineStr">
        <is>
          <t>🌳</t>
        </is>
      </c>
    </row>
    <row r="45" ht="15" customHeight="1" s="116">
      <c r="A45" s="222" t="n">
        <v>43</v>
      </c>
      <c r="B45" s="222" t="inlineStr">
        <is>
          <t>Tier 11</t>
        </is>
      </c>
      <c r="C45" s="222" t="inlineStr">
        <is>
          <t>Flor de Aço Titanica</t>
        </is>
      </c>
      <c r="D45" s="222" t="inlineStr">
        <is>
          <t>Planta / Erva</t>
        </is>
      </c>
      <c r="E45" s="222" t="inlineStr">
        <is>
          <t>Fissuras de Adamantina no Covil</t>
        </is>
      </c>
      <c r="F45" s="222" t="inlineStr">
        <is>
          <t>Coleta com Luva Blindada (DES)</t>
        </is>
      </c>
      <c r="G45" s="222" t="inlineStr">
        <is>
          <t>CD 28</t>
        </is>
      </c>
      <c r="H45" s="222" t="inlineStr">
        <is>
          <t>Raro (Médio rendimento)</t>
        </is>
      </c>
      <c r="I45" s="222" t="inlineStr">
        <is>
          <t>Elixires de Imunidade Física e Fortificação</t>
        </is>
      </c>
      <c r="J45" s="222" t="n">
        <v>400</v>
      </c>
      <c r="K45" s="222" t="inlineStr">
        <is>
          <t>Planta com espinhos metálicos capazes de perfurar armaduras de ferro. Extrai seiva mineral pura.</t>
        </is>
      </c>
      <c r="L45" s="223" t="n"/>
      <c r="M45" s="223" t="inlineStr">
        <is>
          <t>🌿</t>
        </is>
      </c>
    </row>
    <row r="46" ht="15" customHeight="1" s="116">
      <c r="A46" s="222" t="n">
        <v>44</v>
      </c>
      <c r="B46" s="222" t="inlineStr">
        <is>
          <t>Tier 11</t>
        </is>
      </c>
      <c r="C46" s="222" t="inlineStr">
        <is>
          <t>Fragmento de Coroa do Titã</t>
        </is>
      </c>
      <c r="D46" s="222" t="inlineStr">
        <is>
          <t>Orgânico / Material</t>
        </is>
      </c>
      <c r="E46" s="222" t="inlineStr">
        <is>
          <t>Titã de Adamantina</t>
        </is>
      </c>
      <c r="F46" s="222" t="inlineStr">
        <is>
          <t>Extração de Chefe (FOR)</t>
        </is>
      </c>
      <c r="G46" s="222" t="inlineStr">
        <is>
          <t>CD 28</t>
        </is>
      </c>
      <c r="H46" s="222" t="inlineStr">
        <is>
          <t>Raro (Baixo rendimento - Boss)</t>
        </is>
      </c>
      <c r="I46" s="222" t="inlineStr">
        <is>
          <t>Armaduras de confronto final e armas de quebra de defesa</t>
        </is>
      </c>
      <c r="J46" s="222" t="n">
        <v>650</v>
      </c>
      <c r="K46" s="222" t="inlineStr">
        <is>
          <t>Pedaço da couraça do campeão corrompido que nunca cedeu a nenhum impacto em vida.</t>
        </is>
      </c>
      <c r="L46" s="223" t="n"/>
      <c r="M46" s="223" t="n"/>
    </row>
    <row r="47" ht="15" customHeight="1" s="116">
      <c r="A47" s="224" t="n">
        <v>45</v>
      </c>
      <c r="B47" s="224" t="inlineStr">
        <is>
          <t>Tier 12</t>
        </is>
      </c>
      <c r="C47" s="224" t="inlineStr">
        <is>
          <t>Marfim e Osso de Dragão Ancião</t>
        </is>
      </c>
      <c r="D47" s="224" t="inlineStr">
        <is>
          <t>Minério / Material</t>
        </is>
      </c>
      <c r="E47" s="224" t="inlineStr">
        <is>
          <t>Covil do Dragão Ancião &amp; Cordilheira Ígnea</t>
        </is>
      </c>
      <c r="F47" s="224" t="inlineStr">
        <is>
          <t>Extração Dracônica (FOR/DES)</t>
        </is>
      </c>
      <c r="G47" s="224" t="inlineStr">
        <is>
          <t>CD 30</t>
        </is>
      </c>
      <c r="H47" s="224" t="inlineStr">
        <is>
          <t>Incomum (Médio rendimento - Boss/Cacas)</t>
        </is>
      </c>
      <c r="I47" s="224" t="inlineStr">
        <is>
          <t>Lâminas Dracônicas e Armaduras Escamadas</t>
        </is>
      </c>
      <c r="J47" s="224" t="n">
        <v>500</v>
      </c>
      <c r="K47" s="224" t="inlineStr">
        <is>
          <t>Ossos gigantescos imbuídos de fogo primordial que continuam quentes décadas após a morte do dragão.</t>
        </is>
      </c>
      <c r="L47" s="225" t="n"/>
      <c r="M47" s="225" t="n"/>
    </row>
    <row r="48" ht="15" customHeight="1" s="116">
      <c r="A48" s="224" t="n">
        <v>46</v>
      </c>
      <c r="B48" s="224" t="inlineStr">
        <is>
          <t>Tier 12</t>
        </is>
      </c>
      <c r="C48" s="224" t="inlineStr">
        <is>
          <t>Pinheiro Draconiano de Alta Altitude</t>
        </is>
      </c>
      <c r="D48" s="224" t="inlineStr">
        <is>
          <t>Madeira</t>
        </is>
      </c>
      <c r="E48" s="224" t="inlineStr">
        <is>
          <t>Picos Fumegantes da Cordilheira</t>
        </is>
      </c>
      <c r="F48" s="224" t="inlineStr">
        <is>
          <t>Machado Dracônico (FOR)</t>
        </is>
      </c>
      <c r="G48" s="224" t="inlineStr">
        <is>
          <t>CD 30</t>
        </is>
      </c>
      <c r="H48" s="224" t="inlineStr">
        <is>
          <t>Incomum (Médio rendimento)</t>
        </is>
      </c>
      <c r="I48" s="224" t="inlineStr">
        <is>
          <t>Arcos de caça maior e lanças de assalto</t>
        </is>
      </c>
      <c r="J48" s="224" t="n">
        <v>400</v>
      </c>
      <c r="K48" s="224" t="inlineStr">
        <is>
          <t>Árvore retorcida pelo calor das baforadas de dragão. Totalmente imune a fogo e ácido.</t>
        </is>
      </c>
      <c r="L48" s="225" t="n"/>
      <c r="M48" s="225" t="inlineStr">
        <is>
          <t>🌳</t>
        </is>
      </c>
    </row>
    <row r="49" ht="15" customHeight="1" s="116">
      <c r="A49" s="224" t="n">
        <v>47</v>
      </c>
      <c r="B49" s="224" t="inlineStr">
        <is>
          <t>Tier 12</t>
        </is>
      </c>
      <c r="C49" s="224" t="inlineStr">
        <is>
          <t>Flor Bafo-de-Dragão</t>
        </is>
      </c>
      <c r="D49" s="224" t="inlineStr">
        <is>
          <t>Planta / Erva</t>
        </is>
      </c>
      <c r="E49" s="224" t="inlineStr">
        <is>
          <t>Ninhos e Fendas de Calor Dracônico</t>
        </is>
      </c>
      <c r="F49" s="224" t="inlineStr">
        <is>
          <t>Coleta Protegida (SAB/DES)</t>
        </is>
      </c>
      <c r="G49" s="224" t="inlineStr">
        <is>
          <t>CD 30</t>
        </is>
      </c>
      <c r="H49" s="224" t="inlineStr">
        <is>
          <t>Raro (Médio rendimento)</t>
        </is>
      </c>
      <c r="I49" s="224" t="inlineStr">
        <is>
          <t>Poções Dracônicas de Dano Triplo e Fogo Supremo</t>
        </is>
      </c>
      <c r="J49" s="224" t="n">
        <v>550</v>
      </c>
      <c r="K49" s="224" t="inlineStr">
        <is>
          <t>Planta carmesim que solta vapores de enxofre constantes. Usada para alquimias ancestrais.</t>
        </is>
      </c>
      <c r="L49" s="225" t="n"/>
      <c r="M49" s="225" t="inlineStr">
        <is>
          <t>🌿</t>
        </is>
      </c>
    </row>
    <row r="50" ht="15" customHeight="1" s="116">
      <c r="A50" s="224" t="n">
        <v>48</v>
      </c>
      <c r="B50" s="224" t="inlineStr">
        <is>
          <t>Tier 12</t>
        </is>
      </c>
      <c r="C50" s="224" t="inlineStr">
        <is>
          <t>Coração Incandescente de Dragão</t>
        </is>
      </c>
      <c r="D50" s="224" t="inlineStr">
        <is>
          <t>Orgânico / Essência</t>
        </is>
      </c>
      <c r="E50" s="224" t="inlineStr">
        <is>
          <t>Dragão Ancião</t>
        </is>
      </c>
      <c r="F50" s="224" t="inlineStr">
        <is>
          <t>Extração com Lâmina Sagrada (DES/SAB)</t>
        </is>
      </c>
      <c r="G50" s="224" t="inlineStr">
        <is>
          <t>CD 30</t>
        </is>
      </c>
      <c r="H50" s="224" t="inlineStr">
        <is>
          <t>Lendário (Único por abate)</t>
        </is>
      </c>
      <c r="I50" s="224" t="inlineStr">
        <is>
          <t>Artefatos Lendários Dracônicos</t>
        </is>
      </c>
      <c r="J50" s="224" t="n">
        <v>900</v>
      </c>
      <c r="K50" s="224" t="inlineStr">
        <is>
          <t>A fornalha biológica da criatura. Pulsa chamas puras capazes de alimentar uma forja por 100 anos.</t>
        </is>
      </c>
      <c r="L50" s="225" t="n"/>
      <c r="M50" s="225" t="n"/>
    </row>
    <row r="51" ht="15" customHeight="1" s="116">
      <c r="A51" s="226" t="n">
        <v>49</v>
      </c>
      <c r="B51" s="226" t="inlineStr">
        <is>
          <t>Tier 13</t>
        </is>
      </c>
      <c r="C51" s="226" t="inlineStr">
        <is>
          <t>Veio do Pacto Abissal</t>
        </is>
      </c>
      <c r="D51" s="226" t="inlineStr">
        <is>
          <t>Minério</t>
        </is>
      </c>
      <c r="E51" s="226" t="inlineStr">
        <is>
          <t>Círculo Ritualístico Daédrico</t>
        </is>
      </c>
      <c r="F51" s="226" t="inlineStr">
        <is>
          <t>Ritual de Extração (INT/SAB)</t>
        </is>
      </c>
      <c r="G51" s="226" t="inlineStr">
        <is>
          <t>CD 30</t>
        </is>
      </c>
      <c r="H51" s="226" t="inlineStr">
        <is>
          <t>Raro (Baixo rendimento - Risco)</t>
        </is>
      </c>
      <c r="I51" s="226" t="inlineStr">
        <is>
          <t>Armas do Pacto que Drenam Vida</t>
        </is>
      </c>
      <c r="J51" s="226" t="n">
        <v>700</v>
      </c>
      <c r="K51" s="226" t="inlineStr">
        <is>
          <t>Metal negro com veios carmesins pulsantes. Sussurra no ouvido do ferreiro durante a forja.</t>
        </is>
      </c>
      <c r="L51" s="227" t="n"/>
      <c r="M51" s="227" t="inlineStr">
        <is>
          <t>⛏️</t>
        </is>
      </c>
    </row>
    <row r="52" ht="15" customHeight="1" s="116">
      <c r="A52" s="226" t="n">
        <v>50</v>
      </c>
      <c r="B52" s="226" t="inlineStr">
        <is>
          <t>Tier 13</t>
        </is>
      </c>
      <c r="C52" s="226" t="inlineStr">
        <is>
          <t>Madeira Sangrenta Amaldiçoada</t>
        </is>
      </c>
      <c r="D52" s="226" t="inlineStr">
        <is>
          <t>Madeira</t>
        </is>
      </c>
      <c r="E52" s="226" t="inlineStr">
        <is>
          <t>Bosque Proibido do Santuário</t>
        </is>
      </c>
      <c r="F52" s="226" t="inlineStr">
        <is>
          <t>Machado Ritualístico (FOR/SAB)</t>
        </is>
      </c>
      <c r="G52" s="226" t="inlineStr">
        <is>
          <t>CD 30</t>
        </is>
      </c>
      <c r="H52" s="226" t="inlineStr">
        <is>
          <t>Raro (Médio rendimento)</t>
        </is>
      </c>
      <c r="I52" s="226" t="inlineStr">
        <is>
          <t>Cajados de necromancia e arcos corrompidos</t>
        </is>
      </c>
      <c r="J52" s="226" t="n">
        <v>550</v>
      </c>
      <c r="K52" s="226" t="inlineStr">
        <is>
          <t>Madeira viva que sangra seiva espessa quando cortada. Não queima, apodrece a carne que a toca sem luvas.</t>
        </is>
      </c>
      <c r="L52" s="227" t="n"/>
      <c r="M52" s="227" t="inlineStr">
        <is>
          <t>🌳</t>
        </is>
      </c>
    </row>
    <row r="53" ht="15" customHeight="1" s="116">
      <c r="A53" s="226" t="n">
        <v>51</v>
      </c>
      <c r="B53" s="226" t="inlineStr">
        <is>
          <t>Tier 13</t>
        </is>
      </c>
      <c r="C53" s="226" t="inlineStr">
        <is>
          <t>Erva da Oferenda Sombria</t>
        </is>
      </c>
      <c r="D53" s="226" t="inlineStr">
        <is>
          <t>Planta / Erva</t>
        </is>
      </c>
      <c r="E53" s="226" t="inlineStr">
        <is>
          <t>Altares de Sangue do Círculo Daédrico</t>
        </is>
      </c>
      <c r="F53" s="226" t="inlineStr">
        <is>
          <t>Coleta Sacrificial (SAB)</t>
        </is>
      </c>
      <c r="G53" s="226" t="inlineStr">
        <is>
          <t>CD 30</t>
        </is>
      </c>
      <c r="H53" s="226" t="inlineStr">
        <is>
          <t>Raro (Médio rendimento)</t>
        </is>
      </c>
      <c r="I53" s="226" t="inlineStr">
        <is>
          <t>Poções Proibidas de Cura com Dano Próprio / Troca de Vida</t>
        </is>
      </c>
      <c r="J53" s="226" t="n">
        <v>750</v>
      </c>
      <c r="K53" s="226" t="inlineStr">
        <is>
          <t>Cresce alimentada pelas almas dos cultistas da Mão. Suas sementes brilham no escuro como olhos.</t>
        </is>
      </c>
      <c r="L53" s="227" t="n"/>
      <c r="M53" s="227" t="inlineStr">
        <is>
          <t>🌿</t>
        </is>
      </c>
    </row>
    <row r="54" ht="15" customHeight="1" s="116">
      <c r="A54" s="226" t="n">
        <v>52</v>
      </c>
      <c r="B54" s="226" t="inlineStr">
        <is>
          <t>Tier 13</t>
        </is>
      </c>
      <c r="C54" s="226" t="inlineStr">
        <is>
          <t>Olho Preservado do Arauto</t>
        </is>
      </c>
      <c r="D54" s="226" t="inlineStr">
        <is>
          <t>Orgânico / Essência</t>
        </is>
      </c>
      <c r="E54" s="226" t="inlineStr">
        <is>
          <t>Arauto Daédrico</t>
        </is>
      </c>
      <c r="F54" s="226" t="inlineStr">
        <is>
          <t>Extração de Horror (INT/SAB)</t>
        </is>
      </c>
      <c r="G54" s="226" t="inlineStr">
        <is>
          <t>CD 30</t>
        </is>
      </c>
      <c r="H54" s="226" t="inlineStr">
        <is>
          <t>Lendário (Baixo rendimento - Boss)</t>
        </is>
      </c>
      <c r="I54" s="226" t="inlineStr">
        <is>
          <t>Artefatos de dominação mental e ataques duplos</t>
        </is>
      </c>
      <c r="J54" s="226" t="n">
        <v>1200</v>
      </c>
      <c r="K54" s="226" t="inlineStr">
        <is>
          <t>Olho que ainda se move e observa quem o carrega, revelando fraquezas nos pontos vitais dos inimigos.</t>
        </is>
      </c>
      <c r="L54" s="227" t="n"/>
      <c r="M54" s="227" t="n"/>
    </row>
    <row r="55" ht="15" customHeight="1" s="116">
      <c r="A55" s="228" t="n">
        <v>53</v>
      </c>
      <c r="B55" s="228" t="inlineStr">
        <is>
          <t>Tier 14</t>
        </is>
      </c>
      <c r="C55" s="228" t="inlineStr">
        <is>
          <t>Minério Estelar / Poeira de Quasar</t>
        </is>
      </c>
      <c r="D55" s="228" t="inlineStr">
        <is>
          <t>Minério</t>
        </is>
      </c>
      <c r="E55" s="228" t="inlineStr">
        <is>
          <t>Além do Portal Estelar</t>
        </is>
      </c>
      <c r="F55" s="228" t="inlineStr">
        <is>
          <t>Extração Gravitacional (INT)</t>
        </is>
      </c>
      <c r="G55" s="228" t="inlineStr">
        <is>
          <t>CD 32</t>
        </is>
      </c>
      <c r="H55" s="228" t="inlineStr">
        <is>
          <t>Lendário (Escasso - Desafio Final)</t>
        </is>
      </c>
      <c r="I55" s="228" t="inlineStr">
        <is>
          <t>Armas Cosmicas que Ignoram Toda Defesa</t>
        </is>
      </c>
      <c r="J55" s="228" t="n">
        <v>1000</v>
      </c>
      <c r="K55" s="228" t="inlineStr">
        <is>
          <t>Matéria condensada de estrelas mortas que desafia o peso e a física terrena. Distorce o espaço ao redor.</t>
        </is>
      </c>
      <c r="L55" s="229" t="n"/>
      <c r="M55" s="229" t="inlineStr">
        <is>
          <t>⛏️</t>
        </is>
      </c>
    </row>
    <row r="56" ht="15" customHeight="1" s="116">
      <c r="A56" s="228" t="n">
        <v>54</v>
      </c>
      <c r="B56" s="228" t="inlineStr">
        <is>
          <t>Tier 14</t>
        </is>
      </c>
      <c r="C56" s="228" t="inlineStr">
        <is>
          <t>Tronco Astral do Vazio</t>
        </is>
      </c>
      <c r="D56" s="228" t="inlineStr">
        <is>
          <t>Madeira</t>
        </is>
      </c>
      <c r="E56" s="228" t="inlineStr">
        <is>
          <t>Projeções Etéreas do Santuário Proibido</t>
        </is>
      </c>
      <c r="F56" s="228" t="inlineStr">
        <is>
          <t>Foice de Energia Astral (SAB/INT)</t>
        </is>
      </c>
      <c r="G56" s="228" t="inlineStr">
        <is>
          <t>CD 32</t>
        </is>
      </c>
      <c r="H56" s="228" t="inlineStr">
        <is>
          <t>Lendário (Escasso)</t>
        </is>
      </c>
      <c r="I56" s="228" t="inlineStr">
        <is>
          <t>Arcos e Cajados de Ruptura Dimensional</t>
        </is>
      </c>
      <c r="J56" s="228" t="n">
        <v>800</v>
      </c>
      <c r="K56" s="228" t="inlineStr">
        <is>
          <t>Estrutura vegetal de pura luz sólida que existe em várias dimensões ao mesmo tempo.</t>
        </is>
      </c>
      <c r="L56" s="229" t="n"/>
      <c r="M56" s="229" t="inlineStr">
        <is>
          <t>🌳</t>
        </is>
      </c>
    </row>
    <row r="57" ht="15" customHeight="1" s="116">
      <c r="A57" s="228" t="n">
        <v>55</v>
      </c>
      <c r="B57" s="228" t="inlineStr">
        <is>
          <t>Tier 14</t>
        </is>
      </c>
      <c r="C57" s="228" t="inlineStr">
        <is>
          <t>Lótus Cósmica do Fim dos Tempos</t>
        </is>
      </c>
      <c r="D57" s="228" t="inlineStr">
        <is>
          <t>Planta / Erva</t>
        </is>
      </c>
      <c r="E57" s="228" t="inlineStr">
        <is>
          <t>Fissuras Dimensionais do Vazio</t>
        </is>
      </c>
      <c r="F57" s="228" t="inlineStr">
        <is>
          <t>Coleta com Foco Mental Puro (INT/SAB)</t>
        </is>
      </c>
      <c r="G57" s="228" t="inlineStr">
        <is>
          <t>CD 32</t>
        </is>
      </c>
      <c r="H57" s="228" t="inlineStr">
        <is>
          <t>Lendário (Escasso)</t>
        </is>
      </c>
      <c r="I57" s="228" t="inlineStr">
        <is>
          <t>Elixir da Imortalidade Temporária / Restauração Divina</t>
        </is>
      </c>
      <c r="J57" s="228" t="n">
        <v>1100</v>
      </c>
      <c r="K57" s="228" t="inlineStr">
        <is>
          <t>Desabrocha onde o tempo e o espaço colapsam. Cura qualquer ferida ou aflição mortal instantaneamente.</t>
        </is>
      </c>
      <c r="L57" s="229" t="n"/>
      <c r="M57" s="229" t="inlineStr">
        <is>
          <t>🌿</t>
        </is>
      </c>
    </row>
    <row r="58" ht="15" customHeight="1" s="116">
      <c r="A58" s="228" t="n">
        <v>56</v>
      </c>
      <c r="B58" s="228" t="inlineStr">
        <is>
          <t>Tier 14</t>
        </is>
      </c>
      <c r="C58" s="228" t="inlineStr">
        <is>
          <t>Centelha do Fim Inominável</t>
        </is>
      </c>
      <c r="D58" s="228" t="inlineStr">
        <is>
          <t>Orgânico / Cósmico</t>
        </is>
      </c>
      <c r="E58" s="228" t="inlineStr">
        <is>
          <t>O Aspecto da Infecção</t>
        </is>
      </c>
      <c r="F58" s="228" t="inlineStr">
        <is>
          <t>Abate Final da Campanha (Universal)</t>
        </is>
      </c>
      <c r="G58" s="228" t="inlineStr">
        <is>
          <t>CD 35</t>
        </is>
      </c>
      <c r="H58" s="228" t="inlineStr">
        <is>
          <t>Mítico (Clímax da Campanha)</t>
        </is>
      </c>
      <c r="I58" s="228" t="inlineStr">
        <is>
          <t>Criação do Artefato de Selamento Eterno</t>
        </is>
      </c>
      <c r="J58" s="228" t="n">
        <v>2000</v>
      </c>
      <c r="K58" s="228" t="inlineStr">
        <is>
          <t>O fragmento central do próprio Aspecto da Infecção. O destino do continente repousa sobre o que for feito com ele.</t>
        </is>
      </c>
      <c r="L58" s="229" t="n"/>
      <c r="M58" s="229" t="n"/>
    </row>
    <row r="59" ht="15" customHeight="1" s="116">
      <c r="A59" s="226" t="n">
        <v>57</v>
      </c>
      <c r="B59" s="226" t="inlineStr">
        <is>
          <t>Tier 13</t>
        </is>
      </c>
      <c r="C59" s="226" t="inlineStr">
        <is>
          <t>Sangue Selado dos Dez</t>
        </is>
      </c>
      <c r="D59" s="226" t="inlineStr">
        <is>
          <t>Componente Raro</t>
        </is>
      </c>
      <c r="E59" s="226" t="inlineStr">
        <is>
          <t>Altar do Santuário Proibido</t>
        </is>
      </c>
      <c r="F59" s="226" t="inlineStr">
        <is>
          <t>Extração Ritual (INT/SAB)</t>
        </is>
      </c>
      <c r="G59" s="226" t="inlineStr">
        <is>
          <t>CD 34</t>
        </is>
      </c>
      <c r="H59" s="226" t="inlineStr">
        <is>
          <t>Raro (Baixo rendimento - Boss)</t>
        </is>
      </c>
      <c r="I59" s="226" t="inlineStr">
        <is>
          <t>Receitas Nível 3/4 do Pacto Daédrico</t>
        </is>
      </c>
      <c r="J59" s="226" t="n">
        <v>900</v>
      </c>
      <c r="K59" s="226" t="inlineStr">
        <is>
          <t>Colhido só do Sacerdote do Sangue Final — sangue de dez cultistas selado num único frasco.</t>
        </is>
      </c>
      <c r="L59" s="227" t="n"/>
      <c r="M59" s="227" t="inlineStr">
        <is>
          <t>👑</t>
        </is>
      </c>
    </row>
    <row r="60" ht="15" customHeight="1" s="116">
      <c r="A60" s="226" t="n">
        <v>58</v>
      </c>
      <c r="B60" s="226" t="inlineStr">
        <is>
          <t>Tier 13</t>
        </is>
      </c>
      <c r="C60" s="226" t="inlineStr">
        <is>
          <t>Fragmento do Véu Traído</t>
        </is>
      </c>
      <c r="D60" s="226" t="inlineStr">
        <is>
          <t>Componente Raro</t>
        </is>
      </c>
      <c r="E60" s="226" t="inlineStr">
        <is>
          <t>Círculo Ritualístico Daédrico</t>
        </is>
      </c>
      <c r="F60" s="226" t="inlineStr">
        <is>
          <t>Extração de Horror (INT/SAB)</t>
        </is>
      </c>
      <c r="G60" s="226" t="inlineStr">
        <is>
          <t>CD 34</t>
        </is>
      </c>
      <c r="H60" s="226" t="inlineStr">
        <is>
          <t>Raro (Baixo rendimento - Boss)</t>
        </is>
      </c>
      <c r="I60" s="226" t="inlineStr">
        <is>
          <t>Receitas Nível 3/4 do Pacto Daédrico</t>
        </is>
      </c>
      <c r="J60" s="226" t="n">
        <v>920</v>
      </c>
      <c r="K60" s="226" t="inlineStr">
        <is>
          <t>Um caco do manto do Arquivista Traidor — ainda revela a posição de quem o carrega.</t>
        </is>
      </c>
      <c r="L60" s="227" t="n"/>
      <c r="M60" s="227" t="inlineStr">
        <is>
          <t>👑</t>
        </is>
      </c>
    </row>
    <row r="61" ht="15" customHeight="1" s="116">
      <c r="A61" s="228" t="n">
        <v>59</v>
      </c>
      <c r="B61" s="228" t="inlineStr">
        <is>
          <t>Tier 14</t>
        </is>
      </c>
      <c r="C61" s="228" t="inlineStr">
        <is>
          <t>Poeira de Matéria Impossível</t>
        </is>
      </c>
      <c r="D61" s="228" t="inlineStr">
        <is>
          <t>Componente Raro</t>
        </is>
      </c>
      <c r="E61" s="228" t="inlineStr">
        <is>
          <t>O Limiar do Portal Estelar</t>
        </is>
      </c>
      <c r="F61" s="228" t="inlineStr">
        <is>
          <t>Extração Gravitacional (INT)</t>
        </is>
      </c>
      <c r="G61" s="228" t="inlineStr">
        <is>
          <t>CD 36</t>
        </is>
      </c>
      <c r="H61" s="228" t="inlineStr">
        <is>
          <t>Raro (Escasso - Boss)</t>
        </is>
      </c>
      <c r="I61" s="228" t="inlineStr">
        <is>
          <t>Receitas Nível 3/4 do Estelar/Cósmico</t>
        </is>
      </c>
      <c r="J61" s="228" t="n">
        <v>1400</v>
      </c>
      <c r="K61" s="228" t="inlineStr">
        <is>
          <t>Deixada pelo Guardião do Portal Estelar ao cair — não obedece peso nem gravidade normal.</t>
        </is>
      </c>
      <c r="L61" s="229" t="n"/>
      <c r="M61" s="229" t="inlineStr">
        <is>
          <t>👑</t>
        </is>
      </c>
    </row>
    <row r="62" ht="15" customHeight="1" s="116">
      <c r="A62" s="228" t="n">
        <v>60</v>
      </c>
      <c r="B62" s="228" t="inlineStr">
        <is>
          <t>Tier 14</t>
        </is>
      </c>
      <c r="C62" s="228" t="inlineStr">
        <is>
          <t>Eco do Último Fiel</t>
        </is>
      </c>
      <c r="D62" s="228" t="inlineStr">
        <is>
          <t>Componente Raro</t>
        </is>
      </c>
      <c r="E62" s="228" t="inlineStr">
        <is>
          <t>Além do Portal Estelar</t>
        </is>
      </c>
      <c r="F62" s="228" t="inlineStr">
        <is>
          <t>Extração de Horror (SAB)</t>
        </is>
      </c>
      <c r="G62" s="228" t="inlineStr">
        <is>
          <t>CD 36</t>
        </is>
      </c>
      <c r="H62" s="228" t="inlineStr">
        <is>
          <t>Raro (Escasso - Elite)</t>
        </is>
      </c>
      <c r="I62" s="228" t="inlineStr">
        <is>
          <t>Receitas Nível 3/4 do Estelar/Cósmico</t>
        </is>
      </c>
      <c r="J62" s="228" t="n">
        <v>1350</v>
      </c>
      <c r="K62" s="228" t="inlineStr">
        <is>
          <t>Resíduo espiritual do último crente de carne e osso do culto original — pesa mais do que devia.</t>
        </is>
      </c>
      <c r="L62" s="229" t="n"/>
      <c r="M62" s="229" t="inlineStr">
        <is>
          <t>👑</t>
        </is>
      </c>
    </row>
    <row r="63" ht="15" customHeight="1" s="116">
      <c r="A63" s="228" t="n">
        <v>61</v>
      </c>
      <c r="B63" s="228" t="inlineStr">
        <is>
          <t>Tier 14</t>
        </is>
      </c>
      <c r="C63" s="228" t="inlineStr">
        <is>
          <t>Centelha Fragmentada</t>
        </is>
      </c>
      <c r="D63" s="228" t="inlineStr">
        <is>
          <t>Componente Raro</t>
        </is>
      </c>
      <c r="E63" s="228" t="inlineStr">
        <is>
          <t>Santuário Proibido</t>
        </is>
      </c>
      <c r="F63" s="228" t="inlineStr">
        <is>
          <t>Extração Ritual (INT/SAB)</t>
        </is>
      </c>
      <c r="G63" s="228" t="inlineStr">
        <is>
          <t>CD 38</t>
        </is>
      </c>
      <c r="H63" s="228" t="inlineStr">
        <is>
          <t>Lendário (Escassíssimo)</t>
        </is>
      </c>
      <c r="I63" s="228" t="inlineStr">
        <is>
          <t>Receitas Nível 4 do Estelar/Cósmico</t>
        </is>
      </c>
      <c r="J63" s="228" t="n">
        <v>2000</v>
      </c>
      <c r="K63" s="228" t="inlineStr">
        <is>
          <t>Um estilhaço menor da Centelha do Fim Inominável — sozinho não é o suficiente pra selar nada, mas move montanhas.</t>
        </is>
      </c>
      <c r="L63" s="229" t="n"/>
      <c r="M63" s="229" t="inlineStr">
        <is>
          <t>👑</t>
        </is>
      </c>
    </row>
    <row r="64" ht="15" customHeight="1" s="116">
      <c r="A64" s="202" t="n">
        <v>62</v>
      </c>
      <c r="B64" s="202" t="inlineStr">
        <is>
          <t>Tier 1</t>
        </is>
      </c>
      <c r="C64" s="202" t="inlineStr">
        <is>
          <t>Fragmento de Fanático dos Dedos Rubros</t>
        </is>
      </c>
      <c r="D64" s="202" t="inlineStr">
        <is>
          <t>Troféu de Monstro</t>
        </is>
      </c>
      <c r="E64" s="202" t="inlineStr">
        <is>
          <t>Loot de Fanático dos Dedos Rubros (Elite)</t>
        </is>
      </c>
      <c r="F64" s="203" t="n"/>
      <c r="G64" s="203" t="n"/>
      <c r="H64" s="203" t="n"/>
      <c r="I64" s="202" t="inlineStr">
        <is>
          <t>Crafting geral</t>
        </is>
      </c>
      <c r="J64" s="202" t="n">
        <v>8</v>
      </c>
      <c r="K64" s="202" t="inlineStr">
        <is>
          <t>Parte física de Fanático dos Dedos Rubros, guardada por quem sabe seu valor.</t>
        </is>
      </c>
      <c r="L64" s="202" t="inlineStr">
        <is>
          <t>Ofensivo / Defensivo</t>
        </is>
      </c>
      <c r="M64" s="203" t="inlineStr">
        <is>
          <t>🐾</t>
        </is>
      </c>
    </row>
    <row r="65" ht="15" customHeight="1" s="116">
      <c r="A65" s="202" t="n">
        <v>63</v>
      </c>
      <c r="B65" s="202" t="inlineStr">
        <is>
          <t>Tier 1</t>
        </is>
      </c>
      <c r="C65" s="202" t="inlineStr">
        <is>
          <t>Fragmento de Caçador de Marcas</t>
        </is>
      </c>
      <c r="D65" s="202" t="inlineStr">
        <is>
          <t>Troféu de Monstro</t>
        </is>
      </c>
      <c r="E65" s="202" t="inlineStr">
        <is>
          <t>Loot de Caçador de Marcas (Elite)</t>
        </is>
      </c>
      <c r="F65" s="203" t="n"/>
      <c r="G65" s="203" t="n"/>
      <c r="H65" s="203" t="n"/>
      <c r="I65" s="202" t="inlineStr">
        <is>
          <t>Crafting geral</t>
        </is>
      </c>
      <c r="J65" s="202" t="n">
        <v>8</v>
      </c>
      <c r="K65" s="202" t="inlineStr">
        <is>
          <t>Parte física de Caçador de Marcas, guardada por quem sabe seu valor.</t>
        </is>
      </c>
      <c r="L65" s="202" t="inlineStr">
        <is>
          <t>Ofensivo / Defensivo</t>
        </is>
      </c>
      <c r="M65" s="203" t="inlineStr">
        <is>
          <t>🐾</t>
        </is>
      </c>
    </row>
    <row r="66" ht="15" customHeight="1" s="116">
      <c r="A66" s="202" t="n">
        <v>64</v>
      </c>
      <c r="B66" s="202" t="inlineStr">
        <is>
          <t>Tier 1</t>
        </is>
      </c>
      <c r="C66" s="202" t="inlineStr">
        <is>
          <t>Presa de Javali Selvagem Alfa</t>
        </is>
      </c>
      <c r="D66" s="202" t="inlineStr">
        <is>
          <t>Troféu de Monstro</t>
        </is>
      </c>
      <c r="E66" s="202" t="inlineStr">
        <is>
          <t>Loot de Javali Selvagem Alfa (Boss)</t>
        </is>
      </c>
      <c r="F66" s="203" t="n"/>
      <c r="G66" s="203" t="n"/>
      <c r="H66" s="203" t="n"/>
      <c r="I66" s="202" t="inlineStr">
        <is>
          <t>Armas, refinamento</t>
        </is>
      </c>
      <c r="J66" s="202" t="n">
        <v>16</v>
      </c>
      <c r="K66" s="202" t="inlineStr">
        <is>
          <t>Parte física de Javali Selvagem Alfa, guardada por quem sabe seu valor.</t>
        </is>
      </c>
      <c r="L66" s="202" t="inlineStr">
        <is>
          <t>Ofensivo / Resistente</t>
        </is>
      </c>
      <c r="M66" s="203" t="inlineStr">
        <is>
          <t>🐾</t>
        </is>
      </c>
    </row>
    <row r="67" ht="15" customHeight="1" s="116">
      <c r="A67" s="202" t="n">
        <v>65</v>
      </c>
      <c r="B67" s="202" t="inlineStr">
        <is>
          <t>Tier 1</t>
        </is>
      </c>
      <c r="C67" s="202" t="inlineStr">
        <is>
          <t>Essência de Javali Selvagem Alfa</t>
        </is>
      </c>
      <c r="D67" s="202" t="inlineStr">
        <is>
          <t>Troféu de Monstro</t>
        </is>
      </c>
      <c r="E67" s="202" t="inlineStr">
        <is>
          <t>Loot raro de Javali Selvagem Alfa (Boss)</t>
        </is>
      </c>
      <c r="F67" s="203" t="n"/>
      <c r="G67" s="203" t="n"/>
      <c r="H67" s="203" t="n"/>
      <c r="I67" s="202" t="inlineStr">
        <is>
          <t>Refinamento Nível 2/3, efeitos especiais</t>
        </is>
      </c>
      <c r="J67" s="202" t="n">
        <v>24</v>
      </c>
      <c r="K67" s="202" t="inlineStr">
        <is>
          <t>O que resta da força vital de Javali Selvagem Alfa — raro, e cobiçado por artesãos mestres.</t>
        </is>
      </c>
      <c r="L67" s="202" t="inlineStr">
        <is>
          <t>Arcano / Elemental</t>
        </is>
      </c>
      <c r="M67" s="203" t="inlineStr">
        <is>
          <t>🐾</t>
        </is>
      </c>
    </row>
    <row r="68" ht="15" customHeight="1" s="116">
      <c r="A68" s="202" t="n">
        <v>66</v>
      </c>
      <c r="B68" s="202" t="inlineStr">
        <is>
          <t>Tier 1</t>
        </is>
      </c>
      <c r="C68" s="202" t="inlineStr">
        <is>
          <t>Amostra de Carne de O Colhedor do Primeiro Sangue</t>
        </is>
      </c>
      <c r="D68" s="202" t="inlineStr">
        <is>
          <t>Troféu de Monstro</t>
        </is>
      </c>
      <c r="E68" s="202" t="inlineStr">
        <is>
          <t>Loot de O Colhedor do Primeiro Sangue (Boss)</t>
        </is>
      </c>
      <c r="F68" s="203" t="n"/>
      <c r="G68" s="203" t="n"/>
      <c r="H68" s="203" t="n"/>
      <c r="I68" s="202" t="inlineStr">
        <is>
          <t>Venenos, alquimia</t>
        </is>
      </c>
      <c r="J68" s="202" t="n">
        <v>16</v>
      </c>
      <c r="K68" s="202" t="inlineStr">
        <is>
          <t>Parte física de O Colhedor do Primeiro Sangue, guardada por quem sabe seu valor.</t>
        </is>
      </c>
      <c r="L68" s="202" t="inlineStr">
        <is>
          <t>Alquímico / Elemental</t>
        </is>
      </c>
      <c r="M68" s="203" t="inlineStr">
        <is>
          <t>🐾</t>
        </is>
      </c>
    </row>
    <row r="69" ht="15" customHeight="1" s="116">
      <c r="A69" s="202" t="n">
        <v>67</v>
      </c>
      <c r="B69" s="202" t="inlineStr">
        <is>
          <t>Tier 1</t>
        </is>
      </c>
      <c r="C69" s="202" t="inlineStr">
        <is>
          <t>Essência de O Colhedor do Primeiro Sangue</t>
        </is>
      </c>
      <c r="D69" s="202" t="inlineStr">
        <is>
          <t>Troféu de Monstro</t>
        </is>
      </c>
      <c r="E69" s="202" t="inlineStr">
        <is>
          <t>Loot raro de O Colhedor do Primeiro Sangue (Boss)</t>
        </is>
      </c>
      <c r="F69" s="203" t="n"/>
      <c r="G69" s="203" t="n"/>
      <c r="H69" s="203" t="n"/>
      <c r="I69" s="202" t="inlineStr">
        <is>
          <t>Refinamento Nível 2/3, efeitos especiais</t>
        </is>
      </c>
      <c r="J69" s="202" t="n">
        <v>24</v>
      </c>
      <c r="K69" s="202" t="inlineStr">
        <is>
          <t>O que resta da força vital de O Colhedor do Primeiro Sangue — raro, e cobiçado por artesãos mestres.</t>
        </is>
      </c>
      <c r="L69" s="202" t="inlineStr">
        <is>
          <t>Arcano / Elemental</t>
        </is>
      </c>
      <c r="M69" s="203" t="inlineStr">
        <is>
          <t>🐾</t>
        </is>
      </c>
    </row>
    <row r="70" ht="15" customHeight="1" s="116">
      <c r="A70" s="204" t="n">
        <v>68</v>
      </c>
      <c r="B70" s="204" t="inlineStr">
        <is>
          <t>Tier 2</t>
        </is>
      </c>
      <c r="C70" s="204" t="inlineStr">
        <is>
          <t>Casco de Quitina de Matriarca da Colônia de Aranhas</t>
        </is>
      </c>
      <c r="D70" s="204" t="inlineStr">
        <is>
          <t>Troféu de Monstro</t>
        </is>
      </c>
      <c r="E70" s="204" t="inlineStr">
        <is>
          <t>Loot de Matriarca da Colônia de Aranhas (Elite)</t>
        </is>
      </c>
      <c r="F70" s="205" t="n"/>
      <c r="G70" s="205" t="n"/>
      <c r="H70" s="205" t="n"/>
      <c r="I70" s="204" t="inlineStr">
        <is>
          <t>Armaduras leves, refinamento</t>
        </is>
      </c>
      <c r="J70" s="204" t="n">
        <v>15</v>
      </c>
      <c r="K70" s="204" t="inlineStr">
        <is>
          <t>Parte física de Matriarca da Colônia de Aranhas, guardada por quem sabe seu valor.</t>
        </is>
      </c>
      <c r="L70" s="204" t="inlineStr">
        <is>
          <t>Resistente / Estrutural</t>
        </is>
      </c>
      <c r="M70" s="205" t="inlineStr">
        <is>
          <t>🐾</t>
        </is>
      </c>
    </row>
    <row r="71" ht="15" customHeight="1" s="116">
      <c r="A71" s="204" t="n">
        <v>69</v>
      </c>
      <c r="B71" s="204" t="inlineStr">
        <is>
          <t>Tier 2</t>
        </is>
      </c>
      <c r="C71" s="204" t="inlineStr">
        <is>
          <t>Presa de Capataz Enforcado</t>
        </is>
      </c>
      <c r="D71" s="204" t="inlineStr">
        <is>
          <t>Troféu de Monstro</t>
        </is>
      </c>
      <c r="E71" s="204" t="inlineStr">
        <is>
          <t>Loot de Capataz Enforcado (Elite)</t>
        </is>
      </c>
      <c r="F71" s="205" t="n"/>
      <c r="G71" s="205" t="n"/>
      <c r="H71" s="205" t="n"/>
      <c r="I71" s="204" t="inlineStr">
        <is>
          <t>Armas, refinamento</t>
        </is>
      </c>
      <c r="J71" s="204" t="n">
        <v>15</v>
      </c>
      <c r="K71" s="204" t="inlineStr">
        <is>
          <t>Parte física de Capataz Enforcado, guardada por quem sabe seu valor.</t>
        </is>
      </c>
      <c r="L71" s="204" t="inlineStr">
        <is>
          <t>Ofensivo / Resistente</t>
        </is>
      </c>
      <c r="M71" s="205" t="inlineStr">
        <is>
          <t>🐾</t>
        </is>
      </c>
    </row>
    <row r="72" ht="15" customHeight="1" s="116">
      <c r="A72" s="204" t="n">
        <v>70</v>
      </c>
      <c r="B72" s="204" t="inlineStr">
        <is>
          <t>Tier 2</t>
        </is>
      </c>
      <c r="C72" s="204" t="inlineStr">
        <is>
          <t>Casco de Quitina de Rainha-Aranha da Mina</t>
        </is>
      </c>
      <c r="D72" s="204" t="inlineStr">
        <is>
          <t>Troféu de Monstro</t>
        </is>
      </c>
      <c r="E72" s="204" t="inlineStr">
        <is>
          <t>Loot de Rainha-Aranha da Mina (Boss)</t>
        </is>
      </c>
      <c r="F72" s="205" t="n"/>
      <c r="G72" s="205" t="n"/>
      <c r="H72" s="205" t="n"/>
      <c r="I72" s="204" t="inlineStr">
        <is>
          <t>Armaduras leves, refinamento</t>
        </is>
      </c>
      <c r="J72" s="204" t="n">
        <v>30</v>
      </c>
      <c r="K72" s="204" t="inlineStr">
        <is>
          <t>Parte física de Rainha-Aranha da Mina, guardada por quem sabe seu valor.</t>
        </is>
      </c>
      <c r="L72" s="204" t="inlineStr">
        <is>
          <t>Resistente / Estrutural</t>
        </is>
      </c>
      <c r="M72" s="205" t="inlineStr">
        <is>
          <t>🐾</t>
        </is>
      </c>
    </row>
    <row r="73" ht="15" customHeight="1" s="116">
      <c r="A73" s="204" t="n">
        <v>71</v>
      </c>
      <c r="B73" s="204" t="inlineStr">
        <is>
          <t>Tier 2</t>
        </is>
      </c>
      <c r="C73" s="204" t="inlineStr">
        <is>
          <t>Essência de Rainha-Aranha da Mina</t>
        </is>
      </c>
      <c r="D73" s="204" t="inlineStr">
        <is>
          <t>Troféu de Monstro</t>
        </is>
      </c>
      <c r="E73" s="204" t="inlineStr">
        <is>
          <t>Loot raro de Rainha-Aranha da Mina (Boss)</t>
        </is>
      </c>
      <c r="F73" s="205" t="n"/>
      <c r="G73" s="205" t="n"/>
      <c r="H73" s="205" t="n"/>
      <c r="I73" s="204" t="inlineStr">
        <is>
          <t>Refinamento Nível 2/3, efeitos especiais</t>
        </is>
      </c>
      <c r="J73" s="204" t="n">
        <v>45</v>
      </c>
      <c r="K73" s="204" t="inlineStr">
        <is>
          <t>O que resta da força vital de Rainha-Aranha da Mina — raro, e cobiçado por artesãos mestres.</t>
        </is>
      </c>
      <c r="L73" s="204" t="inlineStr">
        <is>
          <t>Arcano / Elemental</t>
        </is>
      </c>
      <c r="M73" s="205" t="inlineStr">
        <is>
          <t>🐾</t>
        </is>
      </c>
    </row>
    <row r="74" ht="15" customHeight="1" s="116">
      <c r="A74" s="204" t="n">
        <v>72</v>
      </c>
      <c r="B74" s="204" t="inlineStr">
        <is>
          <t>Tier 2</t>
        </is>
      </c>
      <c r="C74" s="204" t="inlineStr">
        <is>
          <t>Selo Pessoal de Barão Aldous Grimm (Corrompido)</t>
        </is>
      </c>
      <c r="D74" s="204" t="inlineStr">
        <is>
          <t>Troféu de Monstro</t>
        </is>
      </c>
      <c r="E74" s="204" t="inlineStr">
        <is>
          <t>Loot de Barão Aldous Grimm (Corrompido) (Boss)</t>
        </is>
      </c>
      <c r="F74" s="205" t="n"/>
      <c r="G74" s="205" t="n"/>
      <c r="H74" s="205" t="n"/>
      <c r="I74" s="204" t="inlineStr">
        <is>
          <t>Facções, refinamento</t>
        </is>
      </c>
      <c r="J74" s="204" t="n">
        <v>30</v>
      </c>
      <c r="K74" s="204" t="inlineStr">
        <is>
          <t>Parte física de Barão Aldous Grimm (Corrompido), guardada por quem sabe seu valor.</t>
        </is>
      </c>
      <c r="L74" s="204" t="inlineStr">
        <is>
          <t>Ofensivo / Alquímico</t>
        </is>
      </c>
      <c r="M74" s="205" t="inlineStr">
        <is>
          <t>🐾</t>
        </is>
      </c>
    </row>
    <row r="75" ht="15" customHeight="1" s="116">
      <c r="A75" s="204" t="n">
        <v>73</v>
      </c>
      <c r="B75" s="204" t="inlineStr">
        <is>
          <t>Tier 2</t>
        </is>
      </c>
      <c r="C75" s="204" t="inlineStr">
        <is>
          <t>Essência de Barão Aldous Grimm (Corrompido)</t>
        </is>
      </c>
      <c r="D75" s="204" t="inlineStr">
        <is>
          <t>Troféu de Monstro</t>
        </is>
      </c>
      <c r="E75" s="204" t="inlineStr">
        <is>
          <t>Loot raro de Barão Aldous Grimm (Corrompido) (Boss)</t>
        </is>
      </c>
      <c r="F75" s="205" t="n"/>
      <c r="G75" s="205" t="n"/>
      <c r="H75" s="205" t="n"/>
      <c r="I75" s="204" t="inlineStr">
        <is>
          <t>Refinamento Nível 2/3, efeitos especiais</t>
        </is>
      </c>
      <c r="J75" s="204" t="n">
        <v>45</v>
      </c>
      <c r="K75" s="204" t="inlineStr">
        <is>
          <t>O que resta da força vital de Barão Aldous Grimm (Corrompido) — raro, e cobiçado por artesãos mestres.</t>
        </is>
      </c>
      <c r="L75" s="204" t="inlineStr">
        <is>
          <t>Arcano / Elemental</t>
        </is>
      </c>
      <c r="M75" s="205" t="inlineStr">
        <is>
          <t>🐾</t>
        </is>
      </c>
    </row>
    <row r="76" ht="15" customHeight="1" s="116">
      <c r="A76" s="206" t="n">
        <v>74</v>
      </c>
      <c r="B76" s="206" t="inlineStr">
        <is>
          <t>Tier 3</t>
        </is>
      </c>
      <c r="C76" s="206" t="inlineStr">
        <is>
          <t>Fragmento de Guarda de Ferro Corrompido</t>
        </is>
      </c>
      <c r="D76" s="206" t="inlineStr">
        <is>
          <t>Troféu de Monstro</t>
        </is>
      </c>
      <c r="E76" s="206" t="inlineStr">
        <is>
          <t>Loot de Guarda de Ferro Corrompido (Elite)</t>
        </is>
      </c>
      <c r="F76" s="207" t="n"/>
      <c r="G76" s="207" t="n"/>
      <c r="H76" s="207" t="n"/>
      <c r="I76" s="206" t="inlineStr">
        <is>
          <t>Crafting geral</t>
        </is>
      </c>
      <c r="J76" s="206" t="n">
        <v>28</v>
      </c>
      <c r="K76" s="206" t="inlineStr">
        <is>
          <t>Parte física de Guarda de Ferro Corrompido, guardada por quem sabe seu valor.</t>
        </is>
      </c>
      <c r="L76" s="206" t="inlineStr">
        <is>
          <t>Ofensivo / Defensivo</t>
        </is>
      </c>
      <c r="M76" s="207" t="inlineStr">
        <is>
          <t>🐾</t>
        </is>
      </c>
    </row>
    <row r="77" ht="15" customHeight="1" s="116">
      <c r="A77" s="206" t="n">
        <v>75</v>
      </c>
      <c r="B77" s="206" t="inlineStr">
        <is>
          <t>Tier 3</t>
        </is>
      </c>
      <c r="C77" s="206" t="inlineStr">
        <is>
          <t>Fragmento de O Executor da Forja Velha</t>
        </is>
      </c>
      <c r="D77" s="206" t="inlineStr">
        <is>
          <t>Troféu de Monstro</t>
        </is>
      </c>
      <c r="E77" s="206" t="inlineStr">
        <is>
          <t>Loot de O Executor da Forja Velha (Elite)</t>
        </is>
      </c>
      <c r="F77" s="207" t="n"/>
      <c r="G77" s="207" t="n"/>
      <c r="H77" s="207" t="n"/>
      <c r="I77" s="206" t="inlineStr">
        <is>
          <t>Crafting geral</t>
        </is>
      </c>
      <c r="J77" s="206" t="n">
        <v>28</v>
      </c>
      <c r="K77" s="206" t="inlineStr">
        <is>
          <t>Parte física de O Executor da Forja Velha, guardada por quem sabe seu valor.</t>
        </is>
      </c>
      <c r="L77" s="206" t="inlineStr">
        <is>
          <t>Ofensivo / Defensivo</t>
        </is>
      </c>
      <c r="M77" s="207" t="inlineStr">
        <is>
          <t>🐾</t>
        </is>
      </c>
    </row>
    <row r="78" ht="15" customHeight="1" s="116">
      <c r="A78" s="206" t="n">
        <v>76</v>
      </c>
      <c r="B78" s="206" t="inlineStr">
        <is>
          <t>Tier 3</t>
        </is>
      </c>
      <c r="C78" s="206" t="inlineStr">
        <is>
          <t>Relicário de Zelote Superior do Ferro</t>
        </is>
      </c>
      <c r="D78" s="206" t="inlineStr">
        <is>
          <t>Troféu de Monstro</t>
        </is>
      </c>
      <c r="E78" s="206" t="inlineStr">
        <is>
          <t>Loot de Zelote Superior do Ferro (Elite)</t>
        </is>
      </c>
      <c r="F78" s="207" t="n"/>
      <c r="G78" s="207" t="n"/>
      <c r="H78" s="207" t="n"/>
      <c r="I78" s="206" t="inlineStr">
        <is>
          <t>Rituais, alquimia</t>
        </is>
      </c>
      <c r="J78" s="206" t="n">
        <v>28</v>
      </c>
      <c r="K78" s="206" t="inlineStr">
        <is>
          <t>Parte física de Zelote Superior do Ferro, guardada por quem sabe seu valor.</t>
        </is>
      </c>
      <c r="L78" s="206" t="inlineStr">
        <is>
          <t>Arcano / Alquímico</t>
        </is>
      </c>
      <c r="M78" s="207" t="inlineStr">
        <is>
          <t>🐾</t>
        </is>
      </c>
    </row>
    <row r="79" ht="15" customHeight="1" s="116">
      <c r="A79" s="206" t="n">
        <v>77</v>
      </c>
      <c r="B79" s="206" t="inlineStr">
        <is>
          <t>Tier 3</t>
        </is>
      </c>
      <c r="C79" s="206" t="inlineStr">
        <is>
          <t>Núcleo de Golem de Sucata</t>
        </is>
      </c>
      <c r="D79" s="206" t="inlineStr">
        <is>
          <t>Troféu de Monstro</t>
        </is>
      </c>
      <c r="E79" s="206" t="inlineStr">
        <is>
          <t>Loot de Golem de Sucata (Boss)</t>
        </is>
      </c>
      <c r="F79" s="207" t="n"/>
      <c r="G79" s="207" t="n"/>
      <c r="H79" s="207" t="n"/>
      <c r="I79" s="206" t="inlineStr">
        <is>
          <t>Refinamento, equipamentos mágicos</t>
        </is>
      </c>
      <c r="J79" s="206" t="n">
        <v>56</v>
      </c>
      <c r="K79" s="206" t="inlineStr">
        <is>
          <t>Parte física de Golem de Sucata, guardada por quem sabe seu valor.</t>
        </is>
      </c>
      <c r="L79" s="206" t="inlineStr">
        <is>
          <t>Arcano / Estrutural</t>
        </is>
      </c>
      <c r="M79" s="207" t="inlineStr">
        <is>
          <t>🐾</t>
        </is>
      </c>
    </row>
    <row r="80" ht="15" customHeight="1" s="116">
      <c r="A80" s="206" t="n">
        <v>78</v>
      </c>
      <c r="B80" s="206" t="inlineStr">
        <is>
          <t>Tier 3</t>
        </is>
      </c>
      <c r="C80" s="206" t="inlineStr">
        <is>
          <t>Essência de Golem de Sucata</t>
        </is>
      </c>
      <c r="D80" s="206" t="inlineStr">
        <is>
          <t>Troféu de Monstro</t>
        </is>
      </c>
      <c r="E80" s="206" t="inlineStr">
        <is>
          <t>Loot raro de Golem de Sucata (Boss)</t>
        </is>
      </c>
      <c r="F80" s="207" t="n"/>
      <c r="G80" s="207" t="n"/>
      <c r="H80" s="207" t="n"/>
      <c r="I80" s="206" t="inlineStr">
        <is>
          <t>Refinamento Nível 2/3, efeitos especiais</t>
        </is>
      </c>
      <c r="J80" s="206" t="n">
        <v>84</v>
      </c>
      <c r="K80" s="206" t="inlineStr">
        <is>
          <t>O que resta da força vital de Golem de Sucata — raro, e cobiçado por artesãos mestres.</t>
        </is>
      </c>
      <c r="L80" s="206" t="inlineStr">
        <is>
          <t>Arcano / Elemental</t>
        </is>
      </c>
      <c r="M80" s="207" t="inlineStr">
        <is>
          <t>🐾</t>
        </is>
      </c>
    </row>
    <row r="81" ht="15" customHeight="1" s="116">
      <c r="A81" s="206" t="n">
        <v>79</v>
      </c>
      <c r="B81" s="206" t="inlineStr">
        <is>
          <t>Tier 3</t>
        </is>
      </c>
      <c r="C81" s="206" t="inlineStr">
        <is>
          <t>Fragmento de O Primeiro Marcado</t>
        </is>
      </c>
      <c r="D81" s="206" t="inlineStr">
        <is>
          <t>Troféu de Monstro</t>
        </is>
      </c>
      <c r="E81" s="206" t="inlineStr">
        <is>
          <t>Loot de O Primeiro Marcado (Boss)</t>
        </is>
      </c>
      <c r="F81" s="207" t="n"/>
      <c r="G81" s="207" t="n"/>
      <c r="H81" s="207" t="n"/>
      <c r="I81" s="206" t="inlineStr">
        <is>
          <t>Crafting geral</t>
        </is>
      </c>
      <c r="J81" s="206" t="n">
        <v>56</v>
      </c>
      <c r="K81" s="206" t="inlineStr">
        <is>
          <t>Parte física de O Primeiro Marcado, guardada por quem sabe seu valor.</t>
        </is>
      </c>
      <c r="L81" s="206" t="inlineStr">
        <is>
          <t>Ofensivo / Defensivo</t>
        </is>
      </c>
      <c r="M81" s="207" t="inlineStr">
        <is>
          <t>🐾</t>
        </is>
      </c>
    </row>
    <row r="82" ht="15" customHeight="1" s="116">
      <c r="A82" s="206" t="n">
        <v>80</v>
      </c>
      <c r="B82" s="206" t="inlineStr">
        <is>
          <t>Tier 3</t>
        </is>
      </c>
      <c r="C82" s="206" t="inlineStr">
        <is>
          <t>Essência de O Primeiro Marcado</t>
        </is>
      </c>
      <c r="D82" s="206" t="inlineStr">
        <is>
          <t>Troféu de Monstro</t>
        </is>
      </c>
      <c r="E82" s="206" t="inlineStr">
        <is>
          <t>Loot raro de O Primeiro Marcado (Boss)</t>
        </is>
      </c>
      <c r="F82" s="207" t="n"/>
      <c r="G82" s="207" t="n"/>
      <c r="H82" s="207" t="n"/>
      <c r="I82" s="206" t="inlineStr">
        <is>
          <t>Refinamento Nível 2/3, efeitos especiais</t>
        </is>
      </c>
      <c r="J82" s="206" t="n">
        <v>84</v>
      </c>
      <c r="K82" s="206" t="inlineStr">
        <is>
          <t>O que resta da força vital de O Primeiro Marcado — raro, e cobiçado por artesãos mestres.</t>
        </is>
      </c>
      <c r="L82" s="206" t="inlineStr">
        <is>
          <t>Arcano / Elemental</t>
        </is>
      </c>
      <c r="M82" s="207" t="inlineStr">
        <is>
          <t>🐾</t>
        </is>
      </c>
    </row>
    <row r="83" ht="15" customHeight="1" s="116">
      <c r="A83" s="208" t="n">
        <v>81</v>
      </c>
      <c r="B83" s="208" t="inlineStr">
        <is>
          <t>Tier 4</t>
        </is>
      </c>
      <c r="C83" s="208" t="inlineStr">
        <is>
          <t>Fragmento de Placa de Cavaleiro Amaldicoado</t>
        </is>
      </c>
      <c r="D83" s="208" t="inlineStr">
        <is>
          <t>Troféu de Monstro</t>
        </is>
      </c>
      <c r="E83" s="208" t="inlineStr">
        <is>
          <t>Loot de Cavaleiro Amaldicoado (Elite)</t>
        </is>
      </c>
      <c r="F83" s="209" t="n"/>
      <c r="G83" s="209" t="n"/>
      <c r="H83" s="209" t="n"/>
      <c r="I83" s="208" t="inlineStr">
        <is>
          <t>Armaduras pesadas</t>
        </is>
      </c>
      <c r="J83" s="208" t="n">
        <v>45</v>
      </c>
      <c r="K83" s="208" t="inlineStr">
        <is>
          <t>Parte física de Cavaleiro Amaldicoado, guardada por quem sabe seu valor.</t>
        </is>
      </c>
      <c r="L83" s="208" t="inlineStr">
        <is>
          <t>Resistente / Defensivo</t>
        </is>
      </c>
      <c r="M83" s="209" t="inlineStr">
        <is>
          <t>🐾</t>
        </is>
      </c>
    </row>
    <row r="84" ht="15" customHeight="1" s="116">
      <c r="A84" s="208" t="n">
        <v>82</v>
      </c>
      <c r="B84" s="208" t="inlineStr">
        <is>
          <t>Tier 4</t>
        </is>
      </c>
      <c r="C84" s="208" t="inlineStr">
        <is>
          <t>Relicário de Inquisidor do Silêncio</t>
        </is>
      </c>
      <c r="D84" s="208" t="inlineStr">
        <is>
          <t>Troféu de Monstro</t>
        </is>
      </c>
      <c r="E84" s="208" t="inlineStr">
        <is>
          <t>Loot de Inquisidor do Silêncio (Elite)</t>
        </is>
      </c>
      <c r="F84" s="209" t="n"/>
      <c r="G84" s="209" t="n"/>
      <c r="H84" s="209" t="n"/>
      <c r="I84" s="208" t="inlineStr">
        <is>
          <t>Rituais, alquimia</t>
        </is>
      </c>
      <c r="J84" s="208" t="n">
        <v>45</v>
      </c>
      <c r="K84" s="208" t="inlineStr">
        <is>
          <t>Parte física de Inquisidor do Silêncio, guardada por quem sabe seu valor.</t>
        </is>
      </c>
      <c r="L84" s="208" t="inlineStr">
        <is>
          <t>Arcano / Alquímico</t>
        </is>
      </c>
      <c r="M84" s="209" t="inlineStr">
        <is>
          <t>🐾</t>
        </is>
      </c>
    </row>
    <row r="85" ht="15" customHeight="1" s="116">
      <c r="A85" s="208" t="n">
        <v>83</v>
      </c>
      <c r="B85" s="208" t="inlineStr">
        <is>
          <t>Tier 4</t>
        </is>
      </c>
      <c r="C85" s="208" t="inlineStr">
        <is>
          <t>Fragmento de Irmã Traidora</t>
        </is>
      </c>
      <c r="D85" s="208" t="inlineStr">
        <is>
          <t>Troféu de Monstro</t>
        </is>
      </c>
      <c r="E85" s="208" t="inlineStr">
        <is>
          <t>Loot de Irmã Traidora (Elite)</t>
        </is>
      </c>
      <c r="F85" s="209" t="n"/>
      <c r="G85" s="209" t="n"/>
      <c r="H85" s="209" t="n"/>
      <c r="I85" s="208" t="inlineStr">
        <is>
          <t>Crafting geral</t>
        </is>
      </c>
      <c r="J85" s="208" t="n">
        <v>45</v>
      </c>
      <c r="K85" s="208" t="inlineStr">
        <is>
          <t>Parte física de Irmã Traidora, guardada por quem sabe seu valor.</t>
        </is>
      </c>
      <c r="L85" s="208" t="inlineStr">
        <is>
          <t>Ofensivo / Defensivo</t>
        </is>
      </c>
      <c r="M85" s="209" t="inlineStr">
        <is>
          <t>🐾</t>
        </is>
      </c>
    </row>
    <row r="86" ht="15" customHeight="1" s="116">
      <c r="A86" s="208" t="n">
        <v>84</v>
      </c>
      <c r="B86" s="208" t="inlineStr">
        <is>
          <t>Tier 4</t>
        </is>
      </c>
      <c r="C86" s="208" t="inlineStr">
        <is>
          <t>Resíduo Espectral de O Ceifador do Silêncio</t>
        </is>
      </c>
      <c r="D86" s="208" t="inlineStr">
        <is>
          <t>Troféu de Monstro</t>
        </is>
      </c>
      <c r="E86" s="208" t="inlineStr">
        <is>
          <t>Loot de O Ceifador do Silêncio (Boss)</t>
        </is>
      </c>
      <c r="F86" s="209" t="n"/>
      <c r="G86" s="209" t="n"/>
      <c r="H86" s="209" t="n"/>
      <c r="I86" s="208" t="inlineStr">
        <is>
          <t>Alquimia, efeitos especiais</t>
        </is>
      </c>
      <c r="J86" s="208" t="n">
        <v>90</v>
      </c>
      <c r="K86" s="208" t="inlineStr">
        <is>
          <t>Parte física de O Ceifador do Silêncio, guardada por quem sabe seu valor.</t>
        </is>
      </c>
      <c r="L86" s="208" t="inlineStr">
        <is>
          <t>Arcano / Elemental</t>
        </is>
      </c>
      <c r="M86" s="209" t="inlineStr">
        <is>
          <t>🐾</t>
        </is>
      </c>
    </row>
    <row r="87" ht="15" customHeight="1" s="116">
      <c r="A87" s="208" t="n">
        <v>85</v>
      </c>
      <c r="B87" s="208" t="inlineStr">
        <is>
          <t>Tier 4</t>
        </is>
      </c>
      <c r="C87" s="208" t="inlineStr">
        <is>
          <t>Essência de O Ceifador do Silêncio</t>
        </is>
      </c>
      <c r="D87" s="208" t="inlineStr">
        <is>
          <t>Troféu de Monstro</t>
        </is>
      </c>
      <c r="E87" s="208" t="inlineStr">
        <is>
          <t>Loot raro de O Ceifador do Silêncio (Boss)</t>
        </is>
      </c>
      <c r="F87" s="209" t="n"/>
      <c r="G87" s="209" t="n"/>
      <c r="H87" s="209" t="n"/>
      <c r="I87" s="208" t="inlineStr">
        <is>
          <t>Refinamento Nível 2/3, efeitos especiais</t>
        </is>
      </c>
      <c r="J87" s="208" t="n">
        <v>135</v>
      </c>
      <c r="K87" s="208" t="inlineStr">
        <is>
          <t>O que resta da força vital de O Ceifador do Silêncio — raro, e cobiçado por artesãos mestres.</t>
        </is>
      </c>
      <c r="L87" s="208" t="inlineStr">
        <is>
          <t>Arcano / Elemental</t>
        </is>
      </c>
      <c r="M87" s="209" t="inlineStr">
        <is>
          <t>🐾</t>
        </is>
      </c>
    </row>
    <row r="88" ht="15" customHeight="1" s="116">
      <c r="A88" s="208" t="n">
        <v>86</v>
      </c>
      <c r="B88" s="208" t="inlineStr">
        <is>
          <t>Tier 4</t>
        </is>
      </c>
      <c r="C88" s="208" t="inlineStr">
        <is>
          <t>Núcleo de Guardião do Sino</t>
        </is>
      </c>
      <c r="D88" s="208" t="inlineStr">
        <is>
          <t>Troféu de Monstro</t>
        </is>
      </c>
      <c r="E88" s="208" t="inlineStr">
        <is>
          <t>Loot de Guardião do Sino (Boss)</t>
        </is>
      </c>
      <c r="F88" s="209" t="n"/>
      <c r="G88" s="209" t="n"/>
      <c r="H88" s="209" t="n"/>
      <c r="I88" s="208" t="inlineStr">
        <is>
          <t>Refinamento, equipamentos mágicos</t>
        </is>
      </c>
      <c r="J88" s="208" t="n">
        <v>90</v>
      </c>
      <c r="K88" s="208" t="inlineStr">
        <is>
          <t>Parte física de Guardião do Sino, guardada por quem sabe seu valor.</t>
        </is>
      </c>
      <c r="L88" s="208" t="inlineStr">
        <is>
          <t>Arcano / Estrutural</t>
        </is>
      </c>
      <c r="M88" s="209" t="inlineStr">
        <is>
          <t>🐾</t>
        </is>
      </c>
    </row>
    <row r="89" ht="15" customHeight="1" s="116">
      <c r="A89" s="208" t="n">
        <v>87</v>
      </c>
      <c r="B89" s="208" t="inlineStr">
        <is>
          <t>Tier 4</t>
        </is>
      </c>
      <c r="C89" s="208" t="inlineStr">
        <is>
          <t>Essência de Guardião do Sino</t>
        </is>
      </c>
      <c r="D89" s="208" t="inlineStr">
        <is>
          <t>Troféu de Monstro</t>
        </is>
      </c>
      <c r="E89" s="208" t="inlineStr">
        <is>
          <t>Loot raro de Guardião do Sino (Boss)</t>
        </is>
      </c>
      <c r="F89" s="209" t="n"/>
      <c r="G89" s="209" t="n"/>
      <c r="H89" s="209" t="n"/>
      <c r="I89" s="208" t="inlineStr">
        <is>
          <t>Refinamento Nível 2/3, efeitos especiais</t>
        </is>
      </c>
      <c r="J89" s="208" t="n">
        <v>135</v>
      </c>
      <c r="K89" s="208" t="inlineStr">
        <is>
          <t>O que resta da força vital de Guardião do Sino — raro, e cobiçado por artesãos mestres.</t>
        </is>
      </c>
      <c r="L89" s="208" t="inlineStr">
        <is>
          <t>Arcano / Elemental</t>
        </is>
      </c>
      <c r="M89" s="209" t="inlineStr">
        <is>
          <t>🐾</t>
        </is>
      </c>
    </row>
    <row r="90" ht="15" customHeight="1" s="116">
      <c r="A90" s="210" t="n">
        <v>88</v>
      </c>
      <c r="B90" s="210" t="inlineStr">
        <is>
          <t>Tier 5</t>
        </is>
      </c>
      <c r="C90" s="210" t="inlineStr">
        <is>
          <t>Núcleo de Guardiao das Ruinas</t>
        </is>
      </c>
      <c r="D90" s="210" t="inlineStr">
        <is>
          <t>Troféu de Monstro</t>
        </is>
      </c>
      <c r="E90" s="210" t="inlineStr">
        <is>
          <t>Loot de Guardiao das Ruinas (Elite)</t>
        </is>
      </c>
      <c r="F90" s="211" t="n"/>
      <c r="G90" s="211" t="n"/>
      <c r="H90" s="211" t="n"/>
      <c r="I90" s="210" t="inlineStr">
        <is>
          <t>Refinamento, equipamentos mágicos</t>
        </is>
      </c>
      <c r="J90" s="210" t="n">
        <v>70</v>
      </c>
      <c r="K90" s="210" t="inlineStr">
        <is>
          <t>Parte física de Guardiao das Ruinas, guardada por quem sabe seu valor.</t>
        </is>
      </c>
      <c r="L90" s="210" t="inlineStr">
        <is>
          <t>Arcano / Estrutural</t>
        </is>
      </c>
      <c r="M90" s="211" t="inlineStr">
        <is>
          <t>🐾</t>
        </is>
      </c>
    </row>
    <row r="91" ht="15" customHeight="1" s="116">
      <c r="A91" s="210" t="n">
        <v>89</v>
      </c>
      <c r="B91" s="210" t="inlineStr">
        <is>
          <t>Tier 5</t>
        </is>
      </c>
      <c r="C91" s="210" t="inlineStr">
        <is>
          <t>Núcleo de Guardião dos Bosques Pétreos</t>
        </is>
      </c>
      <c r="D91" s="210" t="inlineStr">
        <is>
          <t>Troféu de Monstro</t>
        </is>
      </c>
      <c r="E91" s="210" t="inlineStr">
        <is>
          <t>Loot de Guardião dos Bosques Pétreos (Elite)</t>
        </is>
      </c>
      <c r="F91" s="211" t="n"/>
      <c r="G91" s="211" t="n"/>
      <c r="H91" s="211" t="n"/>
      <c r="I91" s="210" t="inlineStr">
        <is>
          <t>Refinamento, equipamentos mágicos</t>
        </is>
      </c>
      <c r="J91" s="210" t="n">
        <v>70</v>
      </c>
      <c r="K91" s="210" t="inlineStr">
        <is>
          <t>Parte física de Guardião dos Bosques Pétreos, guardada por quem sabe seu valor.</t>
        </is>
      </c>
      <c r="L91" s="210" t="inlineStr">
        <is>
          <t>Arcano / Estrutural</t>
        </is>
      </c>
      <c r="M91" s="211" t="inlineStr">
        <is>
          <t>🐾</t>
        </is>
      </c>
    </row>
    <row r="92" ht="15" customHeight="1" s="116">
      <c r="A92" s="210" t="n">
        <v>90</v>
      </c>
      <c r="B92" s="210" t="inlineStr">
        <is>
          <t>Tier 5</t>
        </is>
      </c>
      <c r="C92" s="210" t="inlineStr">
        <is>
          <t>Fragmento de Caçador de Conjuradores</t>
        </is>
      </c>
      <c r="D92" s="210" t="inlineStr">
        <is>
          <t>Troféu de Monstro</t>
        </is>
      </c>
      <c r="E92" s="210" t="inlineStr">
        <is>
          <t>Loot de Caçador de Conjuradores (Elite)</t>
        </is>
      </c>
      <c r="F92" s="211" t="n"/>
      <c r="G92" s="211" t="n"/>
      <c r="H92" s="211" t="n"/>
      <c r="I92" s="210" t="inlineStr">
        <is>
          <t>Crafting geral</t>
        </is>
      </c>
      <c r="J92" s="210" t="n">
        <v>70</v>
      </c>
      <c r="K92" s="210" t="inlineStr">
        <is>
          <t>Parte física de Caçador de Conjuradores, guardada por quem sabe seu valor.</t>
        </is>
      </c>
      <c r="L92" s="210" t="inlineStr">
        <is>
          <t>Ofensivo / Defensivo</t>
        </is>
      </c>
      <c r="M92" s="211" t="inlineStr">
        <is>
          <t>🐾</t>
        </is>
      </c>
    </row>
    <row r="93" ht="15" customHeight="1" s="116">
      <c r="A93" s="210" t="n">
        <v>91</v>
      </c>
      <c r="B93" s="210" t="inlineStr">
        <is>
          <t>Tier 5</t>
        </is>
      </c>
      <c r="C93" s="210" t="inlineStr">
        <is>
          <t>Resíduo Espectral de Espirito da Ultima Elfa</t>
        </is>
      </c>
      <c r="D93" s="210" t="inlineStr">
        <is>
          <t>Troféu de Monstro</t>
        </is>
      </c>
      <c r="E93" s="210" t="inlineStr">
        <is>
          <t>Loot de Espirito da Ultima Elfa (Boss)</t>
        </is>
      </c>
      <c r="F93" s="211" t="n"/>
      <c r="G93" s="211" t="n"/>
      <c r="H93" s="211" t="n"/>
      <c r="I93" s="210" t="inlineStr">
        <is>
          <t>Alquimia, efeitos especiais</t>
        </is>
      </c>
      <c r="J93" s="210" t="n">
        <v>140</v>
      </c>
      <c r="K93" s="210" t="inlineStr">
        <is>
          <t>Parte física de Espirito da Ultima Elfa, guardada por quem sabe seu valor.</t>
        </is>
      </c>
      <c r="L93" s="210" t="inlineStr">
        <is>
          <t>Arcano / Elemental</t>
        </is>
      </c>
      <c r="M93" s="211" t="inlineStr">
        <is>
          <t>🐾</t>
        </is>
      </c>
    </row>
    <row r="94" ht="15" customHeight="1" s="116">
      <c r="A94" s="210" t="n">
        <v>92</v>
      </c>
      <c r="B94" s="210" t="inlineStr">
        <is>
          <t>Tier 5</t>
        </is>
      </c>
      <c r="C94" s="210" t="inlineStr">
        <is>
          <t>Essência de Espirito da Ultima Elfa</t>
        </is>
      </c>
      <c r="D94" s="210" t="inlineStr">
        <is>
          <t>Troféu de Monstro</t>
        </is>
      </c>
      <c r="E94" s="210" t="inlineStr">
        <is>
          <t>Loot raro de Espirito da Ultima Elfa (Boss)</t>
        </is>
      </c>
      <c r="F94" s="211" t="n"/>
      <c r="G94" s="211" t="n"/>
      <c r="H94" s="211" t="n"/>
      <c r="I94" s="210" t="inlineStr">
        <is>
          <t>Refinamento Nível 2/3, efeitos especiais</t>
        </is>
      </c>
      <c r="J94" s="210" t="n">
        <v>210</v>
      </c>
      <c r="K94" s="210" t="inlineStr">
        <is>
          <t>O que resta da força vital de Espirito da Ultima Elfa — raro, e cobiçado por artesãos mestres.</t>
        </is>
      </c>
      <c r="L94" s="210" t="inlineStr">
        <is>
          <t>Arcano / Elemental</t>
        </is>
      </c>
      <c r="M94" s="211" t="inlineStr">
        <is>
          <t>🐾</t>
        </is>
      </c>
    </row>
    <row r="95" ht="15" customHeight="1" s="116">
      <c r="A95" s="210" t="n">
        <v>93</v>
      </c>
      <c r="B95" s="210" t="inlineStr">
        <is>
          <t>Tier 5</t>
        </is>
      </c>
      <c r="C95" s="210" t="inlineStr">
        <is>
          <t>Núcleo de O Núcleo Desgovernado</t>
        </is>
      </c>
      <c r="D95" s="210" t="inlineStr">
        <is>
          <t>Troféu de Monstro</t>
        </is>
      </c>
      <c r="E95" s="210" t="inlineStr">
        <is>
          <t>Loot de O Núcleo Desgovernado (Boss)</t>
        </is>
      </c>
      <c r="F95" s="211" t="n"/>
      <c r="G95" s="211" t="n"/>
      <c r="H95" s="211" t="n"/>
      <c r="I95" s="210" t="inlineStr">
        <is>
          <t>Refinamento, equipamentos mágicos</t>
        </is>
      </c>
      <c r="J95" s="210" t="n">
        <v>140</v>
      </c>
      <c r="K95" s="210" t="inlineStr">
        <is>
          <t>Parte física de O Núcleo Desgovernado, guardada por quem sabe seu valor.</t>
        </is>
      </c>
      <c r="L95" s="210" t="inlineStr">
        <is>
          <t>Arcano / Estrutural</t>
        </is>
      </c>
      <c r="M95" s="211" t="inlineStr">
        <is>
          <t>🐾</t>
        </is>
      </c>
    </row>
    <row r="96" ht="15" customHeight="1" s="116">
      <c r="A96" s="210" t="n">
        <v>94</v>
      </c>
      <c r="B96" s="210" t="inlineStr">
        <is>
          <t>Tier 5</t>
        </is>
      </c>
      <c r="C96" s="210" t="inlineStr">
        <is>
          <t>Essência de O Núcleo Desgovernado</t>
        </is>
      </c>
      <c r="D96" s="210" t="inlineStr">
        <is>
          <t>Troféu de Monstro</t>
        </is>
      </c>
      <c r="E96" s="210" t="inlineStr">
        <is>
          <t>Loot raro de O Núcleo Desgovernado (Boss)</t>
        </is>
      </c>
      <c r="F96" s="211" t="n"/>
      <c r="G96" s="211" t="n"/>
      <c r="H96" s="211" t="n"/>
      <c r="I96" s="210" t="inlineStr">
        <is>
          <t>Refinamento Nível 2/3, efeitos especiais</t>
        </is>
      </c>
      <c r="J96" s="210" t="n">
        <v>210</v>
      </c>
      <c r="K96" s="210" t="inlineStr">
        <is>
          <t>O que resta da força vital de O Núcleo Desgovernado — raro, e cobiçado por artesãos mestres.</t>
        </is>
      </c>
      <c r="L96" s="210" t="inlineStr">
        <is>
          <t>Arcano / Elemental</t>
        </is>
      </c>
      <c r="M96" s="211" t="inlineStr">
        <is>
          <t>🐾</t>
        </is>
      </c>
    </row>
    <row r="97" ht="15" customHeight="1" s="116">
      <c r="A97" s="212" t="n">
        <v>95</v>
      </c>
      <c r="B97" s="212" t="inlineStr">
        <is>
          <t>Tier 6</t>
        </is>
      </c>
      <c r="C97" s="212" t="inlineStr">
        <is>
          <t>Engrenagem de Maquina de Guerra Ana</t>
        </is>
      </c>
      <c r="D97" s="212" t="inlineStr">
        <is>
          <t>Troféu de Monstro</t>
        </is>
      </c>
      <c r="E97" s="212" t="inlineStr">
        <is>
          <t>Loot de Maquina de Guerra Ana (Elite)</t>
        </is>
      </c>
      <c r="F97" s="213" t="n"/>
      <c r="G97" s="213" t="n"/>
      <c r="H97" s="213" t="n"/>
      <c r="I97" s="212" t="inlineStr">
        <is>
          <t>Refinamento, construções</t>
        </is>
      </c>
      <c r="J97" s="212" t="n">
        <v>100</v>
      </c>
      <c r="K97" s="212" t="inlineStr">
        <is>
          <t>Parte física de Maquina de Guerra Ana, guardada por quem sabe seu valor.</t>
        </is>
      </c>
      <c r="L97" s="212" t="inlineStr">
        <is>
          <t>Estrutural / Arcano</t>
        </is>
      </c>
      <c r="M97" s="213" t="inlineStr">
        <is>
          <t>🐾</t>
        </is>
      </c>
    </row>
    <row r="98" ht="15" customHeight="1" s="116">
      <c r="A98" s="212" t="n">
        <v>96</v>
      </c>
      <c r="B98" s="212" t="inlineStr">
        <is>
          <t>Tier 6</t>
        </is>
      </c>
      <c r="C98" s="212" t="inlineStr">
        <is>
          <t>Núcleo de Guardião do Puzzle Central</t>
        </is>
      </c>
      <c r="D98" s="212" t="inlineStr">
        <is>
          <t>Troféu de Monstro</t>
        </is>
      </c>
      <c r="E98" s="212" t="inlineStr">
        <is>
          <t>Loot de Guardião do Puzzle Central (Elite)</t>
        </is>
      </c>
      <c r="F98" s="213" t="n"/>
      <c r="G98" s="213" t="n"/>
      <c r="H98" s="213" t="n"/>
      <c r="I98" s="212" t="inlineStr">
        <is>
          <t>Refinamento, equipamentos mágicos</t>
        </is>
      </c>
      <c r="J98" s="212" t="n">
        <v>100</v>
      </c>
      <c r="K98" s="212" t="inlineStr">
        <is>
          <t>Parte física de Guardião do Puzzle Central, guardada por quem sabe seu valor.</t>
        </is>
      </c>
      <c r="L98" s="212" t="inlineStr">
        <is>
          <t>Arcano / Estrutural</t>
        </is>
      </c>
      <c r="M98" s="213" t="inlineStr">
        <is>
          <t>🐾</t>
        </is>
      </c>
    </row>
    <row r="99" ht="15" customHeight="1" s="116">
      <c r="A99" s="212" t="n">
        <v>97</v>
      </c>
      <c r="B99" s="212" t="inlineStr">
        <is>
          <t>Tier 6</t>
        </is>
      </c>
      <c r="C99" s="212" t="inlineStr">
        <is>
          <t>Resíduo Espectral de Engenheiro Fantasma</t>
        </is>
      </c>
      <c r="D99" s="212" t="inlineStr">
        <is>
          <t>Troféu de Monstro</t>
        </is>
      </c>
      <c r="E99" s="212" t="inlineStr">
        <is>
          <t>Loot de Engenheiro Fantasma (Elite)</t>
        </is>
      </c>
      <c r="F99" s="213" t="n"/>
      <c r="G99" s="213" t="n"/>
      <c r="H99" s="213" t="n"/>
      <c r="I99" s="212" t="inlineStr">
        <is>
          <t>Alquimia, efeitos especiais</t>
        </is>
      </c>
      <c r="J99" s="212" t="n">
        <v>100</v>
      </c>
      <c r="K99" s="212" t="inlineStr">
        <is>
          <t>Parte física de Engenheiro Fantasma, guardada por quem sabe seu valor.</t>
        </is>
      </c>
      <c r="L99" s="212" t="inlineStr">
        <is>
          <t>Arcano / Elemental</t>
        </is>
      </c>
      <c r="M99" s="213" t="inlineStr">
        <is>
          <t>🐾</t>
        </is>
      </c>
    </row>
    <row r="100" ht="15" customHeight="1" s="116">
      <c r="A100" s="212" t="n">
        <v>98</v>
      </c>
      <c r="B100" s="212" t="inlineStr">
        <is>
          <t>Tier 6</t>
        </is>
      </c>
      <c r="C100" s="212" t="inlineStr">
        <is>
          <t>Núcleo de O Colosso a Vapor Desgovernado</t>
        </is>
      </c>
      <c r="D100" s="212" t="inlineStr">
        <is>
          <t>Troféu de Monstro</t>
        </is>
      </c>
      <c r="E100" s="212" t="inlineStr">
        <is>
          <t>Loot de O Colosso a Vapor Desgovernado (Boss)</t>
        </is>
      </c>
      <c r="F100" s="213" t="n"/>
      <c r="G100" s="213" t="n"/>
      <c r="H100" s="213" t="n"/>
      <c r="I100" s="212" t="inlineStr">
        <is>
          <t>Refinamento, equipamentos mágicos</t>
        </is>
      </c>
      <c r="J100" s="212" t="n">
        <v>200</v>
      </c>
      <c r="K100" s="212" t="inlineStr">
        <is>
          <t>Parte física de O Colosso a Vapor Desgovernado, guardada por quem sabe seu valor.</t>
        </is>
      </c>
      <c r="L100" s="212" t="inlineStr">
        <is>
          <t>Arcano / Estrutural</t>
        </is>
      </c>
      <c r="M100" s="213" t="inlineStr">
        <is>
          <t>🐾</t>
        </is>
      </c>
    </row>
    <row r="101" ht="15" customHeight="1" s="116">
      <c r="A101" s="212" t="n">
        <v>99</v>
      </c>
      <c r="B101" s="212" t="inlineStr">
        <is>
          <t>Tier 6</t>
        </is>
      </c>
      <c r="C101" s="212" t="inlineStr">
        <is>
          <t>Essência de O Colosso a Vapor Desgovernado</t>
        </is>
      </c>
      <c r="D101" s="212" t="inlineStr">
        <is>
          <t>Troféu de Monstro</t>
        </is>
      </c>
      <c r="E101" s="212" t="inlineStr">
        <is>
          <t>Loot raro de O Colosso a Vapor Desgovernado (Boss)</t>
        </is>
      </c>
      <c r="F101" s="213" t="n"/>
      <c r="G101" s="213" t="n"/>
      <c r="H101" s="213" t="n"/>
      <c r="I101" s="212" t="inlineStr">
        <is>
          <t>Refinamento Nível 2/3, efeitos especiais</t>
        </is>
      </c>
      <c r="J101" s="212" t="n">
        <v>300</v>
      </c>
      <c r="K101" s="212" t="inlineStr">
        <is>
          <t>O que resta da força vital de O Colosso a Vapor Desgovernado — raro, e cobiçado por artesãos mestres.</t>
        </is>
      </c>
      <c r="L101" s="212" t="inlineStr">
        <is>
          <t>Arcano / Elemental</t>
        </is>
      </c>
      <c r="M101" s="213" t="inlineStr">
        <is>
          <t>🐾</t>
        </is>
      </c>
    </row>
    <row r="102" ht="15" customHeight="1" s="116">
      <c r="A102" s="212" t="n">
        <v>100</v>
      </c>
      <c r="B102" s="212" t="inlineStr">
        <is>
          <t>Tier 6</t>
        </is>
      </c>
      <c r="C102" s="212" t="inlineStr">
        <is>
          <t>Núcleo de Nucleo Mecanico Ancestral</t>
        </is>
      </c>
      <c r="D102" s="212" t="inlineStr">
        <is>
          <t>Troféu de Monstro</t>
        </is>
      </c>
      <c r="E102" s="212" t="inlineStr">
        <is>
          <t>Loot de Nucleo Mecanico Ancestral (Boss)</t>
        </is>
      </c>
      <c r="F102" s="213" t="n"/>
      <c r="G102" s="213" t="n"/>
      <c r="H102" s="213" t="n"/>
      <c r="I102" s="212" t="inlineStr">
        <is>
          <t>Refinamento, equipamentos mágicos</t>
        </is>
      </c>
      <c r="J102" s="212" t="n">
        <v>200</v>
      </c>
      <c r="K102" s="212" t="inlineStr">
        <is>
          <t>Parte física de Nucleo Mecanico Ancestral, guardada por quem sabe seu valor.</t>
        </is>
      </c>
      <c r="L102" s="212" t="inlineStr">
        <is>
          <t>Arcano / Estrutural</t>
        </is>
      </c>
      <c r="M102" s="213" t="inlineStr">
        <is>
          <t>🐾</t>
        </is>
      </c>
    </row>
    <row r="103" ht="15" customHeight="1" s="116">
      <c r="A103" s="212" t="n">
        <v>101</v>
      </c>
      <c r="B103" s="212" t="inlineStr">
        <is>
          <t>Tier 6</t>
        </is>
      </c>
      <c r="C103" s="212" t="inlineStr">
        <is>
          <t>Essência de Nucleo Mecanico Ancestral</t>
        </is>
      </c>
      <c r="D103" s="212" t="inlineStr">
        <is>
          <t>Troféu de Monstro</t>
        </is>
      </c>
      <c r="E103" s="212" t="inlineStr">
        <is>
          <t>Loot raro de Nucleo Mecanico Ancestral (Boss)</t>
        </is>
      </c>
      <c r="F103" s="213" t="n"/>
      <c r="G103" s="213" t="n"/>
      <c r="H103" s="213" t="n"/>
      <c r="I103" s="212" t="inlineStr">
        <is>
          <t>Refinamento Nível 2/3, efeitos especiais</t>
        </is>
      </c>
      <c r="J103" s="212" t="n">
        <v>300</v>
      </c>
      <c r="K103" s="212" t="inlineStr">
        <is>
          <t>O que resta da força vital de Nucleo Mecanico Ancestral — raro, e cobiçado por artesãos mestres.</t>
        </is>
      </c>
      <c r="L103" s="212" t="inlineStr">
        <is>
          <t>Arcano / Elemental</t>
        </is>
      </c>
      <c r="M103" s="213" t="inlineStr">
        <is>
          <t>🐾</t>
        </is>
      </c>
    </row>
    <row r="104" ht="15" customHeight="1" s="116">
      <c r="A104" s="214" t="n">
        <v>102</v>
      </c>
      <c r="B104" s="214" t="inlineStr">
        <is>
          <t>Tier 7</t>
        </is>
      </c>
      <c r="C104" s="214" t="inlineStr">
        <is>
          <t>Presa de Fera Vitrea Ancestral</t>
        </is>
      </c>
      <c r="D104" s="214" t="inlineStr">
        <is>
          <t>Troféu de Monstro</t>
        </is>
      </c>
      <c r="E104" s="214" t="inlineStr">
        <is>
          <t>Loot de Fera Vitrea Ancestral (Elite)</t>
        </is>
      </c>
      <c r="F104" s="215" t="n"/>
      <c r="G104" s="215" t="n"/>
      <c r="H104" s="215" t="n"/>
      <c r="I104" s="214" t="inlineStr">
        <is>
          <t>Armas, refinamento</t>
        </is>
      </c>
      <c r="J104" s="214" t="n">
        <v>140</v>
      </c>
      <c r="K104" s="214" t="inlineStr">
        <is>
          <t>Parte física de Fera Vitrea Ancestral, guardada por quem sabe seu valor.</t>
        </is>
      </c>
      <c r="L104" s="214" t="inlineStr">
        <is>
          <t>Ofensivo / Resistente</t>
        </is>
      </c>
      <c r="M104" s="215" t="inlineStr">
        <is>
          <t>🐾</t>
        </is>
      </c>
    </row>
    <row r="105" ht="15" customHeight="1" s="116">
      <c r="A105" s="214" t="n">
        <v>103</v>
      </c>
      <c r="B105" s="214" t="inlineStr">
        <is>
          <t>Tier 7</t>
        </is>
      </c>
      <c r="C105" s="214" t="inlineStr">
        <is>
          <t>Relicário de Sumo Sacerdote da Coroação</t>
        </is>
      </c>
      <c r="D105" s="214" t="inlineStr">
        <is>
          <t>Troféu de Monstro</t>
        </is>
      </c>
      <c r="E105" s="214" t="inlineStr">
        <is>
          <t>Loot de Sumo Sacerdote da Coroação (Elite)</t>
        </is>
      </c>
      <c r="F105" s="215" t="n"/>
      <c r="G105" s="215" t="n"/>
      <c r="H105" s="215" t="n"/>
      <c r="I105" s="214" t="inlineStr">
        <is>
          <t>Rituais, alquimia</t>
        </is>
      </c>
      <c r="J105" s="214" t="n">
        <v>140</v>
      </c>
      <c r="K105" s="214" t="inlineStr">
        <is>
          <t>Parte física de Sumo Sacerdote da Coroação, guardada por quem sabe seu valor.</t>
        </is>
      </c>
      <c r="L105" s="214" t="inlineStr">
        <is>
          <t>Arcano / Alquímico</t>
        </is>
      </c>
      <c r="M105" s="215" t="inlineStr">
        <is>
          <t>🐾</t>
        </is>
      </c>
    </row>
    <row r="106" ht="15" customHeight="1" s="116">
      <c r="A106" s="214" t="n">
        <v>104</v>
      </c>
      <c r="B106" s="214" t="inlineStr">
        <is>
          <t>Tier 7</t>
        </is>
      </c>
      <c r="C106" s="214" t="inlineStr">
        <is>
          <t>Relicário de Zelote Superior da Coroação</t>
        </is>
      </c>
      <c r="D106" s="214" t="inlineStr">
        <is>
          <t>Troféu de Monstro</t>
        </is>
      </c>
      <c r="E106" s="214" t="inlineStr">
        <is>
          <t>Loot de Zelote Superior da Coroação (Elite)</t>
        </is>
      </c>
      <c r="F106" s="215" t="n"/>
      <c r="G106" s="215" t="n"/>
      <c r="H106" s="215" t="n"/>
      <c r="I106" s="214" t="inlineStr">
        <is>
          <t>Rituais, alquimia</t>
        </is>
      </c>
      <c r="J106" s="214" t="n">
        <v>140</v>
      </c>
      <c r="K106" s="214" t="inlineStr">
        <is>
          <t>Parte física de Zelote Superior da Coroação, guardada por quem sabe seu valor.</t>
        </is>
      </c>
      <c r="L106" s="214" t="inlineStr">
        <is>
          <t>Arcano / Alquímico</t>
        </is>
      </c>
      <c r="M106" s="215" t="inlineStr">
        <is>
          <t>🐾</t>
        </is>
      </c>
    </row>
    <row r="107" ht="15" customHeight="1" s="116">
      <c r="A107" s="214" t="n">
        <v>105</v>
      </c>
      <c r="B107" s="214" t="inlineStr">
        <is>
          <t>Tier 7</t>
        </is>
      </c>
      <c r="C107" s="214" t="inlineStr">
        <is>
          <t>Núcleo de Guardiao da Fenda Ativa</t>
        </is>
      </c>
      <c r="D107" s="214" t="inlineStr">
        <is>
          <t>Troféu de Monstro</t>
        </is>
      </c>
      <c r="E107" s="214" t="inlineStr">
        <is>
          <t>Loot de Guardiao da Fenda Ativa (Boss)</t>
        </is>
      </c>
      <c r="F107" s="215" t="n"/>
      <c r="G107" s="215" t="n"/>
      <c r="H107" s="215" t="n"/>
      <c r="I107" s="214" t="inlineStr">
        <is>
          <t>Refinamento, equipamentos mágicos</t>
        </is>
      </c>
      <c r="J107" s="214" t="n">
        <v>280</v>
      </c>
      <c r="K107" s="214" t="inlineStr">
        <is>
          <t>Parte física de Guardiao da Fenda Ativa, guardada por quem sabe seu valor.</t>
        </is>
      </c>
      <c r="L107" s="214" t="inlineStr">
        <is>
          <t>Arcano / Estrutural</t>
        </is>
      </c>
      <c r="M107" s="215" t="inlineStr">
        <is>
          <t>🐾</t>
        </is>
      </c>
    </row>
    <row r="108" ht="15" customHeight="1" s="116">
      <c r="A108" s="214" t="n">
        <v>106</v>
      </c>
      <c r="B108" s="214" t="inlineStr">
        <is>
          <t>Tier 7</t>
        </is>
      </c>
      <c r="C108" s="214" t="inlineStr">
        <is>
          <t>Essência de Guardiao da Fenda Ativa</t>
        </is>
      </c>
      <c r="D108" s="214" t="inlineStr">
        <is>
          <t>Troféu de Monstro</t>
        </is>
      </c>
      <c r="E108" s="214" t="inlineStr">
        <is>
          <t>Loot raro de Guardiao da Fenda Ativa (Boss)</t>
        </is>
      </c>
      <c r="F108" s="215" t="n"/>
      <c r="G108" s="215" t="n"/>
      <c r="H108" s="215" t="n"/>
      <c r="I108" s="214" t="inlineStr">
        <is>
          <t>Refinamento Nível 2/3, efeitos especiais</t>
        </is>
      </c>
      <c r="J108" s="214" t="n">
        <v>420</v>
      </c>
      <c r="K108" s="214" t="inlineStr">
        <is>
          <t>O que resta da força vital de Guardiao da Fenda Ativa — raro, e cobiçado por artesãos mestres.</t>
        </is>
      </c>
      <c r="L108" s="214" t="inlineStr">
        <is>
          <t>Arcano / Elemental</t>
        </is>
      </c>
      <c r="M108" s="215" t="inlineStr">
        <is>
          <t>🐾</t>
        </is>
      </c>
    </row>
    <row r="109" ht="15" customHeight="1" s="116">
      <c r="A109" s="214" t="n">
        <v>107</v>
      </c>
      <c r="B109" s="214" t="inlineStr">
        <is>
          <t>Tier 7</t>
        </is>
      </c>
      <c r="C109" s="214" t="inlineStr">
        <is>
          <t>Relicário de O Arauto da Coroação Vazia</t>
        </is>
      </c>
      <c r="D109" s="214" t="inlineStr">
        <is>
          <t>Troféu de Monstro</t>
        </is>
      </c>
      <c r="E109" s="214" t="inlineStr">
        <is>
          <t>Loot de O Arauto da Coroação Vazia (Boss)</t>
        </is>
      </c>
      <c r="F109" s="215" t="n"/>
      <c r="G109" s="215" t="n"/>
      <c r="H109" s="215" t="n"/>
      <c r="I109" s="214" t="inlineStr">
        <is>
          <t>Rituais, alquimia</t>
        </is>
      </c>
      <c r="J109" s="214" t="n">
        <v>280</v>
      </c>
      <c r="K109" s="214" t="inlineStr">
        <is>
          <t>Parte física de O Arauto da Coroação Vazia, guardada por quem sabe seu valor.</t>
        </is>
      </c>
      <c r="L109" s="214" t="inlineStr">
        <is>
          <t>Arcano / Alquímico</t>
        </is>
      </c>
      <c r="M109" s="215" t="inlineStr">
        <is>
          <t>🐾</t>
        </is>
      </c>
    </row>
    <row r="110" ht="15" customHeight="1" s="116">
      <c r="A110" s="214" t="n">
        <v>108</v>
      </c>
      <c r="B110" s="214" t="inlineStr">
        <is>
          <t>Tier 7</t>
        </is>
      </c>
      <c r="C110" s="214" t="inlineStr">
        <is>
          <t>Essência de O Arauto da Coroação Vazia</t>
        </is>
      </c>
      <c r="D110" s="214" t="inlineStr">
        <is>
          <t>Troféu de Monstro</t>
        </is>
      </c>
      <c r="E110" s="214" t="inlineStr">
        <is>
          <t>Loot raro de O Arauto da Coroação Vazia (Boss)</t>
        </is>
      </c>
      <c r="F110" s="215" t="n"/>
      <c r="G110" s="215" t="n"/>
      <c r="H110" s="215" t="n"/>
      <c r="I110" s="214" t="inlineStr">
        <is>
          <t>Refinamento Nível 2/3, efeitos especiais</t>
        </is>
      </c>
      <c r="J110" s="214" t="n">
        <v>420</v>
      </c>
      <c r="K110" s="214" t="inlineStr">
        <is>
          <t>O que resta da força vital de O Arauto da Coroação Vazia — raro, e cobiçado por artesãos mestres.</t>
        </is>
      </c>
      <c r="L110" s="214" t="inlineStr">
        <is>
          <t>Arcano / Elemental</t>
        </is>
      </c>
      <c r="M110" s="215" t="inlineStr">
        <is>
          <t>🐾</t>
        </is>
      </c>
    </row>
    <row r="111" ht="15" customHeight="1" s="116">
      <c r="A111" s="216" t="n">
        <v>109</v>
      </c>
      <c r="B111" s="216" t="inlineStr">
        <is>
          <t>Tier 8</t>
        </is>
      </c>
      <c r="C111" s="216" t="inlineStr">
        <is>
          <t>Presa de Campeão Cicatrizado Orc</t>
        </is>
      </c>
      <c r="D111" s="216" t="inlineStr">
        <is>
          <t>Troféu de Monstro</t>
        </is>
      </c>
      <c r="E111" s="216" t="inlineStr">
        <is>
          <t>Loot de Campeão Cicatrizado Orc (Elite)</t>
        </is>
      </c>
      <c r="F111" s="217" t="n"/>
      <c r="G111" s="217" t="n"/>
      <c r="H111" s="217" t="n"/>
      <c r="I111" s="216" t="inlineStr">
        <is>
          <t>Armas, refinamento</t>
        </is>
      </c>
      <c r="J111" s="216" t="n">
        <v>190</v>
      </c>
      <c r="K111" s="216" t="inlineStr">
        <is>
          <t>Parte física de Campeão Cicatrizado Orc, guardada por quem sabe seu valor.</t>
        </is>
      </c>
      <c r="L111" s="216" t="inlineStr">
        <is>
          <t>Ofensivo / Resistente</t>
        </is>
      </c>
      <c r="M111" s="217" t="inlineStr">
        <is>
          <t>🐾</t>
        </is>
      </c>
    </row>
    <row r="112" ht="15" customHeight="1" s="116">
      <c r="A112" s="216" t="n">
        <v>110</v>
      </c>
      <c r="B112" s="216" t="inlineStr">
        <is>
          <t>Tier 8</t>
        </is>
      </c>
      <c r="C112" s="216" t="inlineStr">
        <is>
          <t>Presa de Orc Berserker</t>
        </is>
      </c>
      <c r="D112" s="216" t="inlineStr">
        <is>
          <t>Troféu de Monstro</t>
        </is>
      </c>
      <c r="E112" s="216" t="inlineStr">
        <is>
          <t>Loot de Orc Berserker (Elite)</t>
        </is>
      </c>
      <c r="F112" s="217" t="n"/>
      <c r="G112" s="217" t="n"/>
      <c r="H112" s="217" t="n"/>
      <c r="I112" s="216" t="inlineStr">
        <is>
          <t>Armas, refinamento</t>
        </is>
      </c>
      <c r="J112" s="216" t="n">
        <v>190</v>
      </c>
      <c r="K112" s="216" t="inlineStr">
        <is>
          <t>Parte física de Orc Berserker, guardada por quem sabe seu valor.</t>
        </is>
      </c>
      <c r="L112" s="216" t="inlineStr">
        <is>
          <t>Ofensivo / Resistente</t>
        </is>
      </c>
      <c r="M112" s="217" t="inlineStr">
        <is>
          <t>🐾</t>
        </is>
      </c>
    </row>
    <row r="113" ht="15" customHeight="1" s="116">
      <c r="A113" s="216" t="n">
        <v>111</v>
      </c>
      <c r="B113" s="216" t="inlineStr">
        <is>
          <t>Tier 8</t>
        </is>
      </c>
      <c r="C113" s="216" t="inlineStr">
        <is>
          <t>Amostra de Carne de Xamã do Sangue Negro</t>
        </is>
      </c>
      <c r="D113" s="216" t="inlineStr">
        <is>
          <t>Troféu de Monstro</t>
        </is>
      </c>
      <c r="E113" s="216" t="inlineStr">
        <is>
          <t>Loot de Xamã do Sangue Negro (Elite)</t>
        </is>
      </c>
      <c r="F113" s="217" t="n"/>
      <c r="G113" s="217" t="n"/>
      <c r="H113" s="217" t="n"/>
      <c r="I113" s="216" t="inlineStr">
        <is>
          <t>Venenos, alquimia</t>
        </is>
      </c>
      <c r="J113" s="216" t="n">
        <v>190</v>
      </c>
      <c r="K113" s="216" t="inlineStr">
        <is>
          <t>Parte física de Xamã do Sangue Negro, guardada por quem sabe seu valor.</t>
        </is>
      </c>
      <c r="L113" s="216" t="inlineStr">
        <is>
          <t>Alquímico / Elemental</t>
        </is>
      </c>
      <c r="M113" s="217" t="inlineStr">
        <is>
          <t>🐾</t>
        </is>
      </c>
    </row>
    <row r="114" ht="15" customHeight="1" s="116">
      <c r="A114" s="216" t="n">
        <v>112</v>
      </c>
      <c r="B114" s="216" t="inlineStr">
        <is>
          <t>Tier 8</t>
        </is>
      </c>
      <c r="C114" s="216" t="inlineStr">
        <is>
          <t>Presa de Chefe do Bando Orc</t>
        </is>
      </c>
      <c r="D114" s="216" t="inlineStr">
        <is>
          <t>Troféu de Monstro</t>
        </is>
      </c>
      <c r="E114" s="216" t="inlineStr">
        <is>
          <t>Loot de Chefe do Bando Orc (Boss)</t>
        </is>
      </c>
      <c r="F114" s="217" t="n"/>
      <c r="G114" s="217" t="n"/>
      <c r="H114" s="217" t="n"/>
      <c r="I114" s="216" t="inlineStr">
        <is>
          <t>Armas, refinamento</t>
        </is>
      </c>
      <c r="J114" s="216" t="n">
        <v>380</v>
      </c>
      <c r="K114" s="216" t="inlineStr">
        <is>
          <t>Parte física de Chefe do Bando Orc, guardada por quem sabe seu valor.</t>
        </is>
      </c>
      <c r="L114" s="216" t="inlineStr">
        <is>
          <t>Ofensivo / Resistente</t>
        </is>
      </c>
      <c r="M114" s="217" t="inlineStr">
        <is>
          <t>🐾</t>
        </is>
      </c>
    </row>
    <row r="115" ht="15" customHeight="1" s="116">
      <c r="A115" s="216" t="n">
        <v>113</v>
      </c>
      <c r="B115" s="216" t="inlineStr">
        <is>
          <t>Tier 8</t>
        </is>
      </c>
      <c r="C115" s="216" t="inlineStr">
        <is>
          <t>Essência de Chefe do Bando Orc</t>
        </is>
      </c>
      <c r="D115" s="216" t="inlineStr">
        <is>
          <t>Troféu de Monstro</t>
        </is>
      </c>
      <c r="E115" s="216" t="inlineStr">
        <is>
          <t>Loot raro de Chefe do Bando Orc (Boss)</t>
        </is>
      </c>
      <c r="F115" s="217" t="n"/>
      <c r="G115" s="217" t="n"/>
      <c r="H115" s="217" t="n"/>
      <c r="I115" s="216" t="inlineStr">
        <is>
          <t>Refinamento Nível 2/3, efeitos especiais</t>
        </is>
      </c>
      <c r="J115" s="216" t="n">
        <v>570</v>
      </c>
      <c r="K115" s="216" t="inlineStr">
        <is>
          <t>O que resta da força vital de Chefe do Bando Orc — raro, e cobiçado por artesãos mestres.</t>
        </is>
      </c>
      <c r="L115" s="216" t="inlineStr">
        <is>
          <t>Arcano / Elemental</t>
        </is>
      </c>
      <c r="M115" s="217" t="inlineStr">
        <is>
          <t>🐾</t>
        </is>
      </c>
    </row>
    <row r="116" ht="15" customHeight="1" s="116">
      <c r="A116" s="216" t="n">
        <v>114</v>
      </c>
      <c r="B116" s="216" t="inlineStr">
        <is>
          <t>Tier 8</t>
        </is>
      </c>
      <c r="C116" s="216" t="inlineStr">
        <is>
          <t>Núcleo de O Guardião do Estandarte</t>
        </is>
      </c>
      <c r="D116" s="216" t="inlineStr">
        <is>
          <t>Troféu de Monstro</t>
        </is>
      </c>
      <c r="E116" s="216" t="inlineStr">
        <is>
          <t>Loot de O Guardião do Estandarte (Boss)</t>
        </is>
      </c>
      <c r="F116" s="217" t="n"/>
      <c r="G116" s="217" t="n"/>
      <c r="H116" s="217" t="n"/>
      <c r="I116" s="216" t="inlineStr">
        <is>
          <t>Refinamento, equipamentos mágicos</t>
        </is>
      </c>
      <c r="J116" s="216" t="n">
        <v>380</v>
      </c>
      <c r="K116" s="216" t="inlineStr">
        <is>
          <t>Parte física de O Guardião do Estandarte, guardada por quem sabe seu valor.</t>
        </is>
      </c>
      <c r="L116" s="216" t="inlineStr">
        <is>
          <t>Arcano / Estrutural</t>
        </is>
      </c>
      <c r="M116" s="217" t="inlineStr">
        <is>
          <t>🐾</t>
        </is>
      </c>
    </row>
    <row r="117" ht="15" customHeight="1" s="116">
      <c r="A117" s="216" t="n">
        <v>115</v>
      </c>
      <c r="B117" s="216" t="inlineStr">
        <is>
          <t>Tier 8</t>
        </is>
      </c>
      <c r="C117" s="216" t="inlineStr">
        <is>
          <t>Essência de O Guardião do Estandarte</t>
        </is>
      </c>
      <c r="D117" s="216" t="inlineStr">
        <is>
          <t>Troféu de Monstro</t>
        </is>
      </c>
      <c r="E117" s="216" t="inlineStr">
        <is>
          <t>Loot raro de O Guardião do Estandarte (Boss)</t>
        </is>
      </c>
      <c r="F117" s="217" t="n"/>
      <c r="G117" s="217" t="n"/>
      <c r="H117" s="217" t="n"/>
      <c r="I117" s="216" t="inlineStr">
        <is>
          <t>Refinamento Nível 2/3, efeitos especiais</t>
        </is>
      </c>
      <c r="J117" s="216" t="n">
        <v>570</v>
      </c>
      <c r="K117" s="216" t="inlineStr">
        <is>
          <t>O que resta da força vital de O Guardião do Estandarte — raro, e cobiçado por artesãos mestres.</t>
        </is>
      </c>
      <c r="L117" s="216" t="inlineStr">
        <is>
          <t>Arcano / Elemental</t>
        </is>
      </c>
      <c r="M117" s="217" t="inlineStr">
        <is>
          <t>🐾</t>
        </is>
      </c>
    </row>
    <row r="118" ht="15" customHeight="1" s="116">
      <c r="A118" s="218" t="n">
        <v>116</v>
      </c>
      <c r="B118" s="218" t="inlineStr">
        <is>
          <t>Tier 9</t>
        </is>
      </c>
      <c r="C118" s="218" t="inlineStr">
        <is>
          <t>Núcleo de Golem de Mithril</t>
        </is>
      </c>
      <c r="D118" s="218" t="inlineStr">
        <is>
          <t>Troféu de Monstro</t>
        </is>
      </c>
      <c r="E118" s="218" t="inlineStr">
        <is>
          <t>Loot de Golem de Mithril (Elite)</t>
        </is>
      </c>
      <c r="F118" s="219" t="n"/>
      <c r="G118" s="219" t="n"/>
      <c r="H118" s="219" t="n"/>
      <c r="I118" s="218" t="inlineStr">
        <is>
          <t>Refinamento, equipamentos mágicos</t>
        </is>
      </c>
      <c r="J118" s="218" t="n">
        <v>250</v>
      </c>
      <c r="K118" s="218" t="inlineStr">
        <is>
          <t>Parte física de Golem de Mithril, guardada por quem sabe seu valor.</t>
        </is>
      </c>
      <c r="L118" s="218" t="inlineStr">
        <is>
          <t>Arcano / Estrutural</t>
        </is>
      </c>
      <c r="M118" s="219" t="inlineStr">
        <is>
          <t>🐾</t>
        </is>
      </c>
    </row>
    <row r="119" ht="15" customHeight="1" s="116">
      <c r="A119" s="218" t="n">
        <v>117</v>
      </c>
      <c r="B119" s="218" t="inlineStr">
        <is>
          <t>Tier 9</t>
        </is>
      </c>
      <c r="C119" s="218" t="inlineStr">
        <is>
          <t>Fragmento de Cirurgião Renegado</t>
        </is>
      </c>
      <c r="D119" s="218" t="inlineStr">
        <is>
          <t>Troféu de Monstro</t>
        </is>
      </c>
      <c r="E119" s="218" t="inlineStr">
        <is>
          <t>Loot de Cirurgião Renegado (Elite)</t>
        </is>
      </c>
      <c r="F119" s="219" t="n"/>
      <c r="G119" s="219" t="n"/>
      <c r="H119" s="219" t="n"/>
      <c r="I119" s="218" t="inlineStr">
        <is>
          <t>Crafting geral</t>
        </is>
      </c>
      <c r="J119" s="218" t="n">
        <v>250</v>
      </c>
      <c r="K119" s="218" t="inlineStr">
        <is>
          <t>Parte física de Cirurgião Renegado, guardada por quem sabe seu valor.</t>
        </is>
      </c>
      <c r="L119" s="218" t="inlineStr">
        <is>
          <t>Ofensivo / Defensivo</t>
        </is>
      </c>
      <c r="M119" s="219" t="inlineStr">
        <is>
          <t>🐾</t>
        </is>
      </c>
    </row>
    <row r="120" ht="15" customHeight="1" s="116">
      <c r="A120" s="218" t="n">
        <v>118</v>
      </c>
      <c r="B120" s="218" t="inlineStr">
        <is>
          <t>Tier 9</t>
        </is>
      </c>
      <c r="C120" s="218" t="inlineStr">
        <is>
          <t>Fragmento de Profeta da Fusão</t>
        </is>
      </c>
      <c r="D120" s="218" t="inlineStr">
        <is>
          <t>Troféu de Monstro</t>
        </is>
      </c>
      <c r="E120" s="218" t="inlineStr">
        <is>
          <t>Loot de Profeta da Fusão (Elite)</t>
        </is>
      </c>
      <c r="F120" s="219" t="n"/>
      <c r="G120" s="219" t="n"/>
      <c r="H120" s="219" t="n"/>
      <c r="I120" s="218" t="inlineStr">
        <is>
          <t>Crafting geral</t>
        </is>
      </c>
      <c r="J120" s="218" t="n">
        <v>250</v>
      </c>
      <c r="K120" s="218" t="inlineStr">
        <is>
          <t>Parte física de Profeta da Fusão, guardada por quem sabe seu valor.</t>
        </is>
      </c>
      <c r="L120" s="218" t="inlineStr">
        <is>
          <t>Ofensivo / Defensivo</t>
        </is>
      </c>
      <c r="M120" s="219" t="inlineStr">
        <is>
          <t>🐾</t>
        </is>
      </c>
    </row>
    <row r="121" ht="15" customHeight="1" s="116">
      <c r="A121" s="218" t="n">
        <v>119</v>
      </c>
      <c r="B121" s="218" t="inlineStr">
        <is>
          <t>Tier 9</t>
        </is>
      </c>
      <c r="C121" s="218" t="inlineStr">
        <is>
          <t>Núcleo de Elemental Guardiao das Profundezas</t>
        </is>
      </c>
      <c r="D121" s="218" t="inlineStr">
        <is>
          <t>Troféu de Monstro</t>
        </is>
      </c>
      <c r="E121" s="218" t="inlineStr">
        <is>
          <t>Loot de Elemental Guardiao das Profundezas (Boss)</t>
        </is>
      </c>
      <c r="F121" s="219" t="n"/>
      <c r="G121" s="219" t="n"/>
      <c r="H121" s="219" t="n"/>
      <c r="I121" s="218" t="inlineStr">
        <is>
          <t>Refinamento, equipamentos mágicos</t>
        </is>
      </c>
      <c r="J121" s="218" t="n">
        <v>500</v>
      </c>
      <c r="K121" s="218" t="inlineStr">
        <is>
          <t>Parte física de Elemental Guardiao das Profundezas, guardada por quem sabe seu valor.</t>
        </is>
      </c>
      <c r="L121" s="218" t="inlineStr">
        <is>
          <t>Arcano / Estrutural</t>
        </is>
      </c>
      <c r="M121" s="219" t="inlineStr">
        <is>
          <t>🐾</t>
        </is>
      </c>
    </row>
    <row r="122" ht="15" customHeight="1" s="116">
      <c r="A122" s="218" t="n">
        <v>120</v>
      </c>
      <c r="B122" s="218" t="inlineStr">
        <is>
          <t>Tier 9</t>
        </is>
      </c>
      <c r="C122" s="218" t="inlineStr">
        <is>
          <t>Essência de Elemental Guardiao das Profundezas</t>
        </is>
      </c>
      <c r="D122" s="218" t="inlineStr">
        <is>
          <t>Troféu de Monstro</t>
        </is>
      </c>
      <c r="E122" s="218" t="inlineStr">
        <is>
          <t>Loot raro de Elemental Guardiao das Profundezas (Boss)</t>
        </is>
      </c>
      <c r="F122" s="219" t="n"/>
      <c r="G122" s="219" t="n"/>
      <c r="H122" s="219" t="n"/>
      <c r="I122" s="218" t="inlineStr">
        <is>
          <t>Refinamento Nível 2/3, efeitos especiais</t>
        </is>
      </c>
      <c r="J122" s="218" t="n">
        <v>750</v>
      </c>
      <c r="K122" s="218" t="inlineStr">
        <is>
          <t>O que resta da força vital de Elemental Guardiao das Profundezas — raro, e cobiçado por artesãos mestres.</t>
        </is>
      </c>
      <c r="L122" s="218" t="inlineStr">
        <is>
          <t>Arcano / Elemental</t>
        </is>
      </c>
      <c r="M122" s="219" t="inlineStr">
        <is>
          <t>🐾</t>
        </is>
      </c>
    </row>
    <row r="123" ht="15" customHeight="1" s="116">
      <c r="A123" s="218" t="n">
        <v>121</v>
      </c>
      <c r="B123" s="218" t="inlineStr">
        <is>
          <t>Tier 9</t>
        </is>
      </c>
      <c r="C123" s="218" t="inlineStr">
        <is>
          <t>Fragmento de O Devorador de Mithril</t>
        </is>
      </c>
      <c r="D123" s="218" t="inlineStr">
        <is>
          <t>Troféu de Monstro</t>
        </is>
      </c>
      <c r="E123" s="218" t="inlineStr">
        <is>
          <t>Loot de O Devorador de Mithril (Boss)</t>
        </is>
      </c>
      <c r="F123" s="219" t="n"/>
      <c r="G123" s="219" t="n"/>
      <c r="H123" s="219" t="n"/>
      <c r="I123" s="218" t="inlineStr">
        <is>
          <t>Crafting geral</t>
        </is>
      </c>
      <c r="J123" s="218" t="n">
        <v>500</v>
      </c>
      <c r="K123" s="218" t="inlineStr">
        <is>
          <t>Parte física de O Devorador de Mithril, guardada por quem sabe seu valor.</t>
        </is>
      </c>
      <c r="L123" s="218" t="inlineStr">
        <is>
          <t>Ofensivo / Defensivo</t>
        </is>
      </c>
      <c r="M123" s="219" t="inlineStr">
        <is>
          <t>🐾</t>
        </is>
      </c>
    </row>
    <row r="124" ht="15" customHeight="1" s="116">
      <c r="A124" s="218" t="n">
        <v>122</v>
      </c>
      <c r="B124" s="218" t="inlineStr">
        <is>
          <t>Tier 9</t>
        </is>
      </c>
      <c r="C124" s="218" t="inlineStr">
        <is>
          <t>Essência de O Devorador de Mithril</t>
        </is>
      </c>
      <c r="D124" s="218" t="inlineStr">
        <is>
          <t>Troféu de Monstro</t>
        </is>
      </c>
      <c r="E124" s="218" t="inlineStr">
        <is>
          <t>Loot raro de O Devorador de Mithril (Boss)</t>
        </is>
      </c>
      <c r="F124" s="219" t="n"/>
      <c r="G124" s="219" t="n"/>
      <c r="H124" s="219" t="n"/>
      <c r="I124" s="218" t="inlineStr">
        <is>
          <t>Refinamento Nível 2/3, efeitos especiais</t>
        </is>
      </c>
      <c r="J124" s="218" t="n">
        <v>750</v>
      </c>
      <c r="K124" s="218" t="inlineStr">
        <is>
          <t>O que resta da força vital de O Devorador de Mithril — raro, e cobiçado por artesãos mestres.</t>
        </is>
      </c>
      <c r="L124" s="218" t="inlineStr">
        <is>
          <t>Arcano / Elemental</t>
        </is>
      </c>
      <c r="M124" s="219" t="inlineStr">
        <is>
          <t>🐾</t>
        </is>
      </c>
    </row>
    <row r="125" ht="15" customHeight="1" s="116">
      <c r="A125" s="220" t="n">
        <v>123</v>
      </c>
      <c r="B125" s="220" t="inlineStr">
        <is>
          <t>Tier 10</t>
        </is>
      </c>
      <c r="C125" s="220" t="inlineStr">
        <is>
          <t>Resíduo Espectral de Espectro de Ebano</t>
        </is>
      </c>
      <c r="D125" s="220" t="inlineStr">
        <is>
          <t>Troféu de Monstro</t>
        </is>
      </c>
      <c r="E125" s="220" t="inlineStr">
        <is>
          <t>Loot de Espectro de Ebano (Elite)</t>
        </is>
      </c>
      <c r="F125" s="221" t="n"/>
      <c r="G125" s="221" t="n"/>
      <c r="H125" s="221" t="n"/>
      <c r="I125" s="220" t="inlineStr">
        <is>
          <t>Alquimia, efeitos especiais</t>
        </is>
      </c>
      <c r="J125" s="220" t="n">
        <v>320</v>
      </c>
      <c r="K125" s="220" t="inlineStr">
        <is>
          <t>Parte física de Espectro de Ebano, guardada por quem sabe seu valor.</t>
        </is>
      </c>
      <c r="L125" s="220" t="inlineStr">
        <is>
          <t>Arcano / Elemental</t>
        </is>
      </c>
      <c r="M125" s="221" t="inlineStr">
        <is>
          <t>🐾</t>
        </is>
      </c>
    </row>
    <row r="126" ht="15" customHeight="1" s="116">
      <c r="A126" s="220" t="n">
        <v>124</v>
      </c>
      <c r="B126" s="220" t="inlineStr">
        <is>
          <t>Tier 10</t>
        </is>
      </c>
      <c r="C126" s="220" t="inlineStr">
        <is>
          <t>Resíduo Espectral de Ceifador da Carne Viva</t>
        </is>
      </c>
      <c r="D126" s="220" t="inlineStr">
        <is>
          <t>Troféu de Monstro</t>
        </is>
      </c>
      <c r="E126" s="220" t="inlineStr">
        <is>
          <t>Loot de Ceifador da Carne Viva (Elite)</t>
        </is>
      </c>
      <c r="F126" s="221" t="n"/>
      <c r="G126" s="221" t="n"/>
      <c r="H126" s="221" t="n"/>
      <c r="I126" s="220" t="inlineStr">
        <is>
          <t>Alquimia, efeitos especiais</t>
        </is>
      </c>
      <c r="J126" s="220" t="n">
        <v>320</v>
      </c>
      <c r="K126" s="220" t="inlineStr">
        <is>
          <t>Parte física de Ceifador da Carne Viva, guardada por quem sabe seu valor.</t>
        </is>
      </c>
      <c r="L126" s="220" t="inlineStr">
        <is>
          <t>Arcano / Elemental</t>
        </is>
      </c>
      <c r="M126" s="221" t="inlineStr">
        <is>
          <t>🐾</t>
        </is>
      </c>
    </row>
    <row r="127" ht="15" customHeight="1" s="116">
      <c r="A127" s="220" t="n">
        <v>125</v>
      </c>
      <c r="B127" s="220" t="inlineStr">
        <is>
          <t>Tier 10</t>
        </is>
      </c>
      <c r="C127" s="220" t="inlineStr">
        <is>
          <t>Relicário de Zelote da Fusão Suprema</t>
        </is>
      </c>
      <c r="D127" s="220" t="inlineStr">
        <is>
          <t>Troféu de Monstro</t>
        </is>
      </c>
      <c r="E127" s="220" t="inlineStr">
        <is>
          <t>Loot de Zelote da Fusão Suprema (Elite)</t>
        </is>
      </c>
      <c r="F127" s="221" t="n"/>
      <c r="G127" s="221" t="n"/>
      <c r="H127" s="221" t="n"/>
      <c r="I127" s="220" t="inlineStr">
        <is>
          <t>Rituais, alquimia</t>
        </is>
      </c>
      <c r="J127" s="220" t="n">
        <v>320</v>
      </c>
      <c r="K127" s="220" t="inlineStr">
        <is>
          <t>Parte física de Zelote da Fusão Suprema, guardada por quem sabe seu valor.</t>
        </is>
      </c>
      <c r="L127" s="220" t="inlineStr">
        <is>
          <t>Arcano / Alquímico</t>
        </is>
      </c>
      <c r="M127" s="221" t="inlineStr">
        <is>
          <t>🐾</t>
        </is>
      </c>
    </row>
    <row r="128" ht="15" customHeight="1" s="116">
      <c r="A128" s="220" t="n">
        <v>126</v>
      </c>
      <c r="B128" s="220" t="inlineStr">
        <is>
          <t>Tier 10</t>
        </is>
      </c>
      <c r="C128" s="220" t="inlineStr">
        <is>
          <t>Núcleo de Guardiao da Fenda Morta</t>
        </is>
      </c>
      <c r="D128" s="220" t="inlineStr">
        <is>
          <t>Troféu de Monstro</t>
        </is>
      </c>
      <c r="E128" s="220" t="inlineStr">
        <is>
          <t>Loot de Guardiao da Fenda Morta (Boss)</t>
        </is>
      </c>
      <c r="F128" s="221" t="n"/>
      <c r="G128" s="221" t="n"/>
      <c r="H128" s="221" t="n"/>
      <c r="I128" s="220" t="inlineStr">
        <is>
          <t>Refinamento, equipamentos mágicos</t>
        </is>
      </c>
      <c r="J128" s="220" t="n">
        <v>640</v>
      </c>
      <c r="K128" s="220" t="inlineStr">
        <is>
          <t>Parte física de Guardiao da Fenda Morta, guardada por quem sabe seu valor.</t>
        </is>
      </c>
      <c r="L128" s="220" t="inlineStr">
        <is>
          <t>Arcano / Estrutural</t>
        </is>
      </c>
      <c r="M128" s="221" t="inlineStr">
        <is>
          <t>🐾</t>
        </is>
      </c>
    </row>
    <row r="129" ht="15" customHeight="1" s="116">
      <c r="A129" s="220" t="n">
        <v>127</v>
      </c>
      <c r="B129" s="220" t="inlineStr">
        <is>
          <t>Tier 10</t>
        </is>
      </c>
      <c r="C129" s="220" t="inlineStr">
        <is>
          <t>Essência de Guardiao da Fenda Morta</t>
        </is>
      </c>
      <c r="D129" s="220" t="inlineStr">
        <is>
          <t>Troféu de Monstro</t>
        </is>
      </c>
      <c r="E129" s="220" t="inlineStr">
        <is>
          <t>Loot raro de Guardiao da Fenda Morta (Boss)</t>
        </is>
      </c>
      <c r="F129" s="221" t="n"/>
      <c r="G129" s="221" t="n"/>
      <c r="H129" s="221" t="n"/>
      <c r="I129" s="220" t="inlineStr">
        <is>
          <t>Refinamento Nível 2/3, efeitos especiais</t>
        </is>
      </c>
      <c r="J129" s="220" t="n">
        <v>960</v>
      </c>
      <c r="K129" s="220" t="inlineStr">
        <is>
          <t>O que resta da força vital de Guardiao da Fenda Morta — raro, e cobiçado por artesãos mestres.</t>
        </is>
      </c>
      <c r="L129" s="220" t="inlineStr">
        <is>
          <t>Arcano / Elemental</t>
        </is>
      </c>
      <c r="M129" s="221" t="inlineStr">
        <is>
          <t>🐾</t>
        </is>
      </c>
    </row>
    <row r="130" ht="15" customHeight="1" s="116">
      <c r="A130" s="220" t="n">
        <v>128</v>
      </c>
      <c r="B130" s="220" t="inlineStr">
        <is>
          <t>Tier 10</t>
        </is>
      </c>
      <c r="C130" s="220" t="inlineStr">
        <is>
          <t>Amostra de Carne de O Amálgama Original</t>
        </is>
      </c>
      <c r="D130" s="220" t="inlineStr">
        <is>
          <t>Troféu de Monstro</t>
        </is>
      </c>
      <c r="E130" s="220" t="inlineStr">
        <is>
          <t>Loot de O Amálgama Original (Boss)</t>
        </is>
      </c>
      <c r="F130" s="221" t="n"/>
      <c r="G130" s="221" t="n"/>
      <c r="H130" s="221" t="n"/>
      <c r="I130" s="220" t="inlineStr">
        <is>
          <t>Venenos, alquimia</t>
        </is>
      </c>
      <c r="J130" s="220" t="n">
        <v>640</v>
      </c>
      <c r="K130" s="220" t="inlineStr">
        <is>
          <t>Parte física de O Amálgama Original, guardada por quem sabe seu valor.</t>
        </is>
      </c>
      <c r="L130" s="220" t="inlineStr">
        <is>
          <t>Alquímico / Elemental</t>
        </is>
      </c>
      <c r="M130" s="221" t="inlineStr">
        <is>
          <t>🐾</t>
        </is>
      </c>
    </row>
    <row r="131" ht="15" customHeight="1" s="116">
      <c r="A131" s="220" t="n">
        <v>129</v>
      </c>
      <c r="B131" s="220" t="inlineStr">
        <is>
          <t>Tier 10</t>
        </is>
      </c>
      <c r="C131" s="220" t="inlineStr">
        <is>
          <t>Essência de O Amálgama Original</t>
        </is>
      </c>
      <c r="D131" s="220" t="inlineStr">
        <is>
          <t>Troféu de Monstro</t>
        </is>
      </c>
      <c r="E131" s="220" t="inlineStr">
        <is>
          <t>Loot raro de O Amálgama Original (Boss)</t>
        </is>
      </c>
      <c r="F131" s="221" t="n"/>
      <c r="G131" s="221" t="n"/>
      <c r="H131" s="221" t="n"/>
      <c r="I131" s="220" t="inlineStr">
        <is>
          <t>Refinamento Nível 2/3, efeitos especiais</t>
        </is>
      </c>
      <c r="J131" s="220" t="n">
        <v>960</v>
      </c>
      <c r="K131" s="220" t="inlineStr">
        <is>
          <t>O que resta da força vital de O Amálgama Original — raro, e cobiçado por artesãos mestres.</t>
        </is>
      </c>
      <c r="L131" s="220" t="inlineStr">
        <is>
          <t>Arcano / Elemental</t>
        </is>
      </c>
      <c r="M131" s="221" t="inlineStr">
        <is>
          <t>🐾</t>
        </is>
      </c>
    </row>
    <row r="132" ht="15" customHeight="1" s="116">
      <c r="A132" s="222" t="n">
        <v>130</v>
      </c>
      <c r="B132" s="222" t="inlineStr">
        <is>
          <t>Tier 11</t>
        </is>
      </c>
      <c r="C132" s="222" t="inlineStr">
        <is>
          <t>Fragmento de Campeao Adamantino</t>
        </is>
      </c>
      <c r="D132" s="222" t="inlineStr">
        <is>
          <t>Troféu de Monstro</t>
        </is>
      </c>
      <c r="E132" s="222" t="inlineStr">
        <is>
          <t>Loot de Campeao Adamantino (Elite)</t>
        </is>
      </c>
      <c r="F132" s="223" t="n"/>
      <c r="G132" s="223" t="n"/>
      <c r="H132" s="223" t="n"/>
      <c r="I132" s="222" t="inlineStr">
        <is>
          <t>Crafting geral</t>
        </is>
      </c>
      <c r="J132" s="222" t="n">
        <v>400</v>
      </c>
      <c r="K132" s="222" t="inlineStr">
        <is>
          <t>Parte física de Campeao Adamantino, guardada por quem sabe seu valor.</t>
        </is>
      </c>
      <c r="L132" s="222" t="inlineStr">
        <is>
          <t>Ofensivo / Defensivo</t>
        </is>
      </c>
      <c r="M132" s="223" t="inlineStr">
        <is>
          <t>🐾</t>
        </is>
      </c>
    </row>
    <row r="133" ht="15" customHeight="1" s="116">
      <c r="A133" s="222" t="n">
        <v>131</v>
      </c>
      <c r="B133" s="222" t="inlineStr">
        <is>
          <t>Tier 11</t>
        </is>
      </c>
      <c r="C133" s="222" t="inlineStr">
        <is>
          <t>Núcleo de Constructo Titânico Corrompido</t>
        </is>
      </c>
      <c r="D133" s="222" t="inlineStr">
        <is>
          <t>Troféu de Monstro</t>
        </is>
      </c>
      <c r="E133" s="222" t="inlineStr">
        <is>
          <t>Loot de Constructo Titânico Corrompido (Elite)</t>
        </is>
      </c>
      <c r="F133" s="223" t="n"/>
      <c r="G133" s="223" t="n"/>
      <c r="H133" s="223" t="n"/>
      <c r="I133" s="222" t="inlineStr">
        <is>
          <t>Refinamento, equipamentos mágicos</t>
        </is>
      </c>
      <c r="J133" s="222" t="n">
        <v>400</v>
      </c>
      <c r="K133" s="222" t="inlineStr">
        <is>
          <t>Parte física de Constructo Titânico Corrompido, guardada por quem sabe seu valor.</t>
        </is>
      </c>
      <c r="L133" s="222" t="inlineStr">
        <is>
          <t>Arcano / Estrutural</t>
        </is>
      </c>
      <c r="M133" s="223" t="inlineStr">
        <is>
          <t>🐾</t>
        </is>
      </c>
    </row>
    <row r="134" ht="15" customHeight="1" s="116">
      <c r="A134" s="222" t="n">
        <v>132</v>
      </c>
      <c r="B134" s="222" t="inlineStr">
        <is>
          <t>Tier 11</t>
        </is>
      </c>
      <c r="C134" s="222" t="inlineStr">
        <is>
          <t>Fragmento de Placa de Heresiarca do Titã Negro</t>
        </is>
      </c>
      <c r="D134" s="222" t="inlineStr">
        <is>
          <t>Troféu de Monstro</t>
        </is>
      </c>
      <c r="E134" s="222" t="inlineStr">
        <is>
          <t>Loot de Heresiarca do Titã Negro (Elite)</t>
        </is>
      </c>
      <c r="F134" s="223" t="n"/>
      <c r="G134" s="223" t="n"/>
      <c r="H134" s="223" t="n"/>
      <c r="I134" s="222" t="inlineStr">
        <is>
          <t>Armaduras pesadas</t>
        </is>
      </c>
      <c r="J134" s="222" t="n">
        <v>400</v>
      </c>
      <c r="K134" s="222" t="inlineStr">
        <is>
          <t>Parte física de Heresiarca do Titã Negro, guardada por quem sabe seu valor.</t>
        </is>
      </c>
      <c r="L134" s="222" t="inlineStr">
        <is>
          <t>Resistente / Defensivo</t>
        </is>
      </c>
      <c r="M134" s="223" t="inlineStr">
        <is>
          <t>🐾</t>
        </is>
      </c>
    </row>
    <row r="135" ht="15" customHeight="1" s="116">
      <c r="A135" s="222" t="n">
        <v>133</v>
      </c>
      <c r="B135" s="222" t="inlineStr">
        <is>
          <t>Tier 11</t>
        </is>
      </c>
      <c r="C135" s="222" t="inlineStr">
        <is>
          <t>Fragmento de Placa de Tita de Adamantina</t>
        </is>
      </c>
      <c r="D135" s="222" t="inlineStr">
        <is>
          <t>Troféu de Monstro</t>
        </is>
      </c>
      <c r="E135" s="222" t="inlineStr">
        <is>
          <t>Loot de Tita de Adamantina (Boss)</t>
        </is>
      </c>
      <c r="F135" s="223" t="n"/>
      <c r="G135" s="223" t="n"/>
      <c r="H135" s="223" t="n"/>
      <c r="I135" s="222" t="inlineStr">
        <is>
          <t>Armaduras pesadas</t>
        </is>
      </c>
      <c r="J135" s="222" t="n">
        <v>800</v>
      </c>
      <c r="K135" s="222" t="inlineStr">
        <is>
          <t>Parte física de Tita de Adamantina, guardada por quem sabe seu valor.</t>
        </is>
      </c>
      <c r="L135" s="222" t="inlineStr">
        <is>
          <t>Resistente / Defensivo</t>
        </is>
      </c>
      <c r="M135" s="223" t="inlineStr">
        <is>
          <t>🐾</t>
        </is>
      </c>
    </row>
    <row r="136" ht="15" customHeight="1" s="116">
      <c r="A136" s="222" t="n">
        <v>134</v>
      </c>
      <c r="B136" s="222" t="inlineStr">
        <is>
          <t>Tier 11</t>
        </is>
      </c>
      <c r="C136" s="222" t="inlineStr">
        <is>
          <t>Essência de Tita de Adamantina</t>
        </is>
      </c>
      <c r="D136" s="222" t="inlineStr">
        <is>
          <t>Troféu de Monstro</t>
        </is>
      </c>
      <c r="E136" s="222" t="inlineStr">
        <is>
          <t>Loot raro de Tita de Adamantina (Boss)</t>
        </is>
      </c>
      <c r="F136" s="223" t="n"/>
      <c r="G136" s="223" t="n"/>
      <c r="H136" s="223" t="n"/>
      <c r="I136" s="222" t="inlineStr">
        <is>
          <t>Refinamento Nível 2/3, efeitos especiais</t>
        </is>
      </c>
      <c r="J136" s="222" t="n">
        <v>1200</v>
      </c>
      <c r="K136" s="222" t="inlineStr">
        <is>
          <t>O que resta da força vital de Tita de Adamantina — raro, e cobiçado por artesãos mestres.</t>
        </is>
      </c>
      <c r="L136" s="222" t="inlineStr">
        <is>
          <t>Arcano / Elemental</t>
        </is>
      </c>
      <c r="M136" s="223" t="inlineStr">
        <is>
          <t>🐾</t>
        </is>
      </c>
    </row>
    <row r="137" ht="15" customHeight="1" s="116">
      <c r="A137" s="222" t="n">
        <v>135</v>
      </c>
      <c r="B137" s="222" t="inlineStr">
        <is>
          <t>Tier 11</t>
        </is>
      </c>
      <c r="C137" s="222" t="inlineStr">
        <is>
          <t>Fragmento de Placa de O Herói Caído (Ressuscitado)</t>
        </is>
      </c>
      <c r="D137" s="222" t="inlineStr">
        <is>
          <t>Troféu de Monstro</t>
        </is>
      </c>
      <c r="E137" s="222" t="inlineStr">
        <is>
          <t>Loot de O Herói Caído (Ressuscitado) (Boss)</t>
        </is>
      </c>
      <c r="F137" s="223" t="n"/>
      <c r="G137" s="223" t="n"/>
      <c r="H137" s="223" t="n"/>
      <c r="I137" s="222" t="inlineStr">
        <is>
          <t>Armaduras pesadas</t>
        </is>
      </c>
      <c r="J137" s="222" t="n">
        <v>800</v>
      </c>
      <c r="K137" s="222" t="inlineStr">
        <is>
          <t>Parte física de O Herói Caído (Ressuscitado), guardada por quem sabe seu valor.</t>
        </is>
      </c>
      <c r="L137" s="222" t="inlineStr">
        <is>
          <t>Resistente / Defensivo</t>
        </is>
      </c>
      <c r="M137" s="223" t="inlineStr">
        <is>
          <t>🐾</t>
        </is>
      </c>
    </row>
    <row r="138" ht="15" customHeight="1" s="116">
      <c r="A138" s="222" t="n">
        <v>136</v>
      </c>
      <c r="B138" s="222" t="inlineStr">
        <is>
          <t>Tier 11</t>
        </is>
      </c>
      <c r="C138" s="222" t="inlineStr">
        <is>
          <t>Essência de O Herói Caído (Ressuscitado)</t>
        </is>
      </c>
      <c r="D138" s="222" t="inlineStr">
        <is>
          <t>Troféu de Monstro</t>
        </is>
      </c>
      <c r="E138" s="222" t="inlineStr">
        <is>
          <t>Loot raro de O Herói Caído (Ressuscitado) (Boss)</t>
        </is>
      </c>
      <c r="F138" s="223" t="n"/>
      <c r="G138" s="223" t="n"/>
      <c r="H138" s="223" t="n"/>
      <c r="I138" s="222" t="inlineStr">
        <is>
          <t>Refinamento Nível 2/3, efeitos especiais</t>
        </is>
      </c>
      <c r="J138" s="222" t="n">
        <v>1200</v>
      </c>
      <c r="K138" s="222" t="inlineStr">
        <is>
          <t>O que resta da força vital de O Herói Caído (Ressuscitado) — raro, e cobiçado por artesãos mestres.</t>
        </is>
      </c>
      <c r="L138" s="222" t="inlineStr">
        <is>
          <t>Arcano / Elemental</t>
        </is>
      </c>
      <c r="M138" s="223" t="inlineStr">
        <is>
          <t>🐾</t>
        </is>
      </c>
    </row>
    <row r="139" ht="15" customHeight="1" s="116">
      <c r="A139" s="224" t="n">
        <v>137</v>
      </c>
      <c r="B139" s="224" t="inlineStr">
        <is>
          <t>Tier 12</t>
        </is>
      </c>
      <c r="C139" s="224" t="inlineStr">
        <is>
          <t>Escama de Dracoformo Jovem</t>
        </is>
      </c>
      <c r="D139" s="224" t="inlineStr">
        <is>
          <t>Troféu de Monstro</t>
        </is>
      </c>
      <c r="E139" s="224" t="inlineStr">
        <is>
          <t>Loot de Dracoformo Jovem (Elite)</t>
        </is>
      </c>
      <c r="F139" s="225" t="n"/>
      <c r="G139" s="225" t="n"/>
      <c r="H139" s="225" t="n"/>
      <c r="I139" s="224" t="inlineStr">
        <is>
          <t>Armaduras, refinamento</t>
        </is>
      </c>
      <c r="J139" s="224" t="n">
        <v>500</v>
      </c>
      <c r="K139" s="224" t="inlineStr">
        <is>
          <t>Parte física de Dracoformo Jovem, guardada por quem sabe seu valor.</t>
        </is>
      </c>
      <c r="L139" s="224" t="inlineStr">
        <is>
          <t>Elemental / Defensivo</t>
        </is>
      </c>
      <c r="M139" s="225" t="inlineStr">
        <is>
          <t>🐾</t>
        </is>
      </c>
    </row>
    <row r="140" ht="15" customHeight="1" s="116">
      <c r="A140" s="224" t="n">
        <v>138</v>
      </c>
      <c r="B140" s="224" t="inlineStr">
        <is>
          <t>Tier 12</t>
        </is>
      </c>
      <c r="C140" s="224" t="inlineStr">
        <is>
          <t>Núcleo de Guardião do Pilar de Ossos</t>
        </is>
      </c>
      <c r="D140" s="224" t="inlineStr">
        <is>
          <t>Troféu de Monstro</t>
        </is>
      </c>
      <c r="E140" s="224" t="inlineStr">
        <is>
          <t>Loot de Guardião do Pilar de Ossos (Elite)</t>
        </is>
      </c>
      <c r="F140" s="225" t="n"/>
      <c r="G140" s="225" t="n"/>
      <c r="H140" s="225" t="n"/>
      <c r="I140" s="224" t="inlineStr">
        <is>
          <t>Refinamento, equipamentos mágicos</t>
        </is>
      </c>
      <c r="J140" s="224" t="n">
        <v>500</v>
      </c>
      <c r="K140" s="224" t="inlineStr">
        <is>
          <t>Parte física de Guardião do Pilar de Ossos, guardada por quem sabe seu valor.</t>
        </is>
      </c>
      <c r="L140" s="224" t="inlineStr">
        <is>
          <t>Arcano / Estrutural</t>
        </is>
      </c>
      <c r="M140" s="225" t="inlineStr">
        <is>
          <t>🐾</t>
        </is>
      </c>
    </row>
    <row r="141" ht="15" customHeight="1" s="116">
      <c r="A141" s="224" t="n">
        <v>139</v>
      </c>
      <c r="B141" s="224" t="inlineStr">
        <is>
          <t>Tier 12</t>
        </is>
      </c>
      <c r="C141" s="224" t="inlineStr">
        <is>
          <t>Fragmento de Caçador-Mestre Corrompido</t>
        </is>
      </c>
      <c r="D141" s="224" t="inlineStr">
        <is>
          <t>Troféu de Monstro</t>
        </is>
      </c>
      <c r="E141" s="224" t="inlineStr">
        <is>
          <t>Loot de Caçador-Mestre Corrompido (Elite)</t>
        </is>
      </c>
      <c r="F141" s="225" t="n"/>
      <c r="G141" s="225" t="n"/>
      <c r="H141" s="225" t="n"/>
      <c r="I141" s="224" t="inlineStr">
        <is>
          <t>Crafting geral</t>
        </is>
      </c>
      <c r="J141" s="224" t="n">
        <v>500</v>
      </c>
      <c r="K141" s="224" t="inlineStr">
        <is>
          <t>Parte física de Caçador-Mestre Corrompido, guardada por quem sabe seu valor.</t>
        </is>
      </c>
      <c r="L141" s="224" t="inlineStr">
        <is>
          <t>Ofensivo / Defensivo</t>
        </is>
      </c>
      <c r="M141" s="225" t="inlineStr">
        <is>
          <t>🐾</t>
        </is>
      </c>
    </row>
    <row r="142" ht="15" customHeight="1" s="116">
      <c r="A142" s="224" t="n">
        <v>140</v>
      </c>
      <c r="B142" s="224" t="inlineStr">
        <is>
          <t>Tier 12</t>
        </is>
      </c>
      <c r="C142" s="224" t="inlineStr">
        <is>
          <t>Escama de Dragao Anciao</t>
        </is>
      </c>
      <c r="D142" s="224" t="inlineStr">
        <is>
          <t>Troféu de Monstro</t>
        </is>
      </c>
      <c r="E142" s="224" t="inlineStr">
        <is>
          <t>Loot de Dragao Anciao (Boss)</t>
        </is>
      </c>
      <c r="F142" s="225" t="n"/>
      <c r="G142" s="225" t="n"/>
      <c r="H142" s="225" t="n"/>
      <c r="I142" s="224" t="inlineStr">
        <is>
          <t>Armaduras, refinamento</t>
        </is>
      </c>
      <c r="J142" s="224" t="n">
        <v>1000</v>
      </c>
      <c r="K142" s="224" t="inlineStr">
        <is>
          <t>Parte física de Dragao Anciao, guardada por quem sabe seu valor.</t>
        </is>
      </c>
      <c r="L142" s="224" t="inlineStr">
        <is>
          <t>Elemental / Defensivo</t>
        </is>
      </c>
      <c r="M142" s="225" t="inlineStr">
        <is>
          <t>🐾</t>
        </is>
      </c>
    </row>
    <row r="143" ht="15" customHeight="1" s="116">
      <c r="A143" s="224" t="n">
        <v>141</v>
      </c>
      <c r="B143" s="224" t="inlineStr">
        <is>
          <t>Tier 12</t>
        </is>
      </c>
      <c r="C143" s="224" t="inlineStr">
        <is>
          <t>Essência de Dragao Anciao</t>
        </is>
      </c>
      <c r="D143" s="224" t="inlineStr">
        <is>
          <t>Troféu de Monstro</t>
        </is>
      </c>
      <c r="E143" s="224" t="inlineStr">
        <is>
          <t>Loot raro de Dragao Anciao (Boss)</t>
        </is>
      </c>
      <c r="F143" s="225" t="n"/>
      <c r="G143" s="225" t="n"/>
      <c r="H143" s="225" t="n"/>
      <c r="I143" s="224" t="inlineStr">
        <is>
          <t>Refinamento Nível 2/3, efeitos especiais</t>
        </is>
      </c>
      <c r="J143" s="224" t="n">
        <v>1500</v>
      </c>
      <c r="K143" s="224" t="inlineStr">
        <is>
          <t>O que resta da força vital de Dragao Anciao — raro, e cobiçado por artesãos mestres.</t>
        </is>
      </c>
      <c r="L143" s="224" t="inlineStr">
        <is>
          <t>Arcano / Elemental</t>
        </is>
      </c>
      <c r="M143" s="225" t="inlineStr">
        <is>
          <t>🐾</t>
        </is>
      </c>
    </row>
    <row r="144" ht="15" customHeight="1" s="116">
      <c r="A144" s="224" t="n">
        <v>142</v>
      </c>
      <c r="B144" s="224" t="inlineStr">
        <is>
          <t>Tier 12</t>
        </is>
      </c>
      <c r="C144" s="224" t="inlineStr">
        <is>
          <t>Escama de O Dragão da Peste Escarlate</t>
        </is>
      </c>
      <c r="D144" s="224" t="inlineStr">
        <is>
          <t>Troféu de Monstro</t>
        </is>
      </c>
      <c r="E144" s="224" t="inlineStr">
        <is>
          <t>Loot de O Dragão da Peste Escarlate (Boss)</t>
        </is>
      </c>
      <c r="F144" s="225" t="n"/>
      <c r="G144" s="225" t="n"/>
      <c r="H144" s="225" t="n"/>
      <c r="I144" s="224" t="inlineStr">
        <is>
          <t>Armaduras, refinamento</t>
        </is>
      </c>
      <c r="J144" s="224" t="n">
        <v>1000</v>
      </c>
      <c r="K144" s="224" t="inlineStr">
        <is>
          <t>Parte física de O Dragão da Peste Escarlate, guardada por quem sabe seu valor.</t>
        </is>
      </c>
      <c r="L144" s="224" t="inlineStr">
        <is>
          <t>Elemental / Defensivo</t>
        </is>
      </c>
      <c r="M144" s="225" t="inlineStr">
        <is>
          <t>🐾</t>
        </is>
      </c>
    </row>
    <row r="145" ht="15" customHeight="1" s="116">
      <c r="A145" s="224" t="n">
        <v>143</v>
      </c>
      <c r="B145" s="224" t="inlineStr">
        <is>
          <t>Tier 12</t>
        </is>
      </c>
      <c r="C145" s="224" t="inlineStr">
        <is>
          <t>Essência de O Dragão da Peste Escarlate</t>
        </is>
      </c>
      <c r="D145" s="224" t="inlineStr">
        <is>
          <t>Troféu de Monstro</t>
        </is>
      </c>
      <c r="E145" s="224" t="inlineStr">
        <is>
          <t>Loot raro de O Dragão da Peste Escarlate (Boss)</t>
        </is>
      </c>
      <c r="F145" s="225" t="n"/>
      <c r="G145" s="225" t="n"/>
      <c r="H145" s="225" t="n"/>
      <c r="I145" s="224" t="inlineStr">
        <is>
          <t>Refinamento Nível 2/3, efeitos especiais</t>
        </is>
      </c>
      <c r="J145" s="224" t="n">
        <v>1500</v>
      </c>
      <c r="K145" s="224" t="inlineStr">
        <is>
          <t>O que resta da força vital de O Dragão da Peste Escarlate — raro, e cobiçado por artesãos mestres.</t>
        </is>
      </c>
      <c r="L145" s="224" t="inlineStr">
        <is>
          <t>Arcano / Elemental</t>
        </is>
      </c>
      <c r="M145" s="225" t="inlineStr">
        <is>
          <t>🐾</t>
        </is>
      </c>
    </row>
    <row r="146" ht="15" customHeight="1" s="116">
      <c r="A146" s="226" t="n">
        <v>144</v>
      </c>
      <c r="B146" s="226" t="inlineStr">
        <is>
          <t>Tier 13</t>
        </is>
      </c>
      <c r="C146" s="226" t="inlineStr">
        <is>
          <t>Relicário de Sacerdote do Pacto</t>
        </is>
      </c>
      <c r="D146" s="226" t="inlineStr">
        <is>
          <t>Troféu de Monstro</t>
        </is>
      </c>
      <c r="E146" s="226" t="inlineStr">
        <is>
          <t>Loot de Sacerdote do Pacto (Elite)</t>
        </is>
      </c>
      <c r="F146" s="227" t="n"/>
      <c r="G146" s="227" t="n"/>
      <c r="H146" s="227" t="n"/>
      <c r="I146" s="226" t="inlineStr">
        <is>
          <t>Rituais, alquimia</t>
        </is>
      </c>
      <c r="J146" s="226" t="n">
        <v>650</v>
      </c>
      <c r="K146" s="226" t="inlineStr">
        <is>
          <t>Parte física de Sacerdote do Pacto, guardada por quem sabe seu valor.</t>
        </is>
      </c>
      <c r="L146" s="226" t="inlineStr">
        <is>
          <t>Arcano / Alquímico</t>
        </is>
      </c>
      <c r="M146" s="227" t="inlineStr">
        <is>
          <t>🐾</t>
        </is>
      </c>
    </row>
    <row r="147" ht="15" customHeight="1" s="116">
      <c r="A147" s="226" t="n">
        <v>145</v>
      </c>
      <c r="B147" s="226" t="inlineStr">
        <is>
          <t>Tier 13</t>
        </is>
      </c>
      <c r="C147" s="226" t="inlineStr">
        <is>
          <t>Relicário de Sacerdote do Sangue Final</t>
        </is>
      </c>
      <c r="D147" s="226" t="inlineStr">
        <is>
          <t>Troféu de Monstro</t>
        </is>
      </c>
      <c r="E147" s="226" t="inlineStr">
        <is>
          <t>Loot de Sacerdote do Sangue Final (Elite)</t>
        </is>
      </c>
      <c r="F147" s="227" t="n"/>
      <c r="G147" s="227" t="n"/>
      <c r="H147" s="227" t="n"/>
      <c r="I147" s="226" t="inlineStr">
        <is>
          <t>Rituais, alquimia</t>
        </is>
      </c>
      <c r="J147" s="226" t="n">
        <v>650</v>
      </c>
      <c r="K147" s="226" t="inlineStr">
        <is>
          <t>Parte física de Sacerdote do Sangue Final, guardada por quem sabe seu valor.</t>
        </is>
      </c>
      <c r="L147" s="226" t="inlineStr">
        <is>
          <t>Arcano / Alquímico</t>
        </is>
      </c>
      <c r="M147" s="227" t="inlineStr">
        <is>
          <t>🐾</t>
        </is>
      </c>
    </row>
    <row r="148" ht="15" customHeight="1" s="116">
      <c r="A148" s="226" t="n">
        <v>146</v>
      </c>
      <c r="B148" s="226" t="inlineStr">
        <is>
          <t>Tier 13</t>
        </is>
      </c>
      <c r="C148" s="226" t="inlineStr">
        <is>
          <t>Núcleo de Guardiã dos Altares de Sangue</t>
        </is>
      </c>
      <c r="D148" s="226" t="inlineStr">
        <is>
          <t>Troféu de Monstro</t>
        </is>
      </c>
      <c r="E148" s="226" t="inlineStr">
        <is>
          <t>Loot de Guardiã dos Altares de Sangue (Elite)</t>
        </is>
      </c>
      <c r="F148" s="227" t="n"/>
      <c r="G148" s="227" t="n"/>
      <c r="H148" s="227" t="n"/>
      <c r="I148" s="226" t="inlineStr">
        <is>
          <t>Refinamento, equipamentos mágicos</t>
        </is>
      </c>
      <c r="J148" s="226" t="n">
        <v>650</v>
      </c>
      <c r="K148" s="226" t="inlineStr">
        <is>
          <t>Parte física de Guardiã dos Altares de Sangue, guardada por quem sabe seu valor.</t>
        </is>
      </c>
      <c r="L148" s="226" t="inlineStr">
        <is>
          <t>Arcano / Estrutural</t>
        </is>
      </c>
      <c r="M148" s="227" t="inlineStr">
        <is>
          <t>🐾</t>
        </is>
      </c>
    </row>
    <row r="149" ht="15" customHeight="1" s="116">
      <c r="A149" s="226" t="n">
        <v>147</v>
      </c>
      <c r="B149" s="226" t="inlineStr">
        <is>
          <t>Tier 13</t>
        </is>
      </c>
      <c r="C149" s="226" t="inlineStr">
        <is>
          <t>Relicário de Arauto Daedrico</t>
        </is>
      </c>
      <c r="D149" s="226" t="inlineStr">
        <is>
          <t>Troféu de Monstro</t>
        </is>
      </c>
      <c r="E149" s="226" t="inlineStr">
        <is>
          <t>Loot de Arauto Daedrico (Boss)</t>
        </is>
      </c>
      <c r="F149" s="227" t="n"/>
      <c r="G149" s="227" t="n"/>
      <c r="H149" s="227" t="n"/>
      <c r="I149" s="226" t="inlineStr">
        <is>
          <t>Rituais, alquimia</t>
        </is>
      </c>
      <c r="J149" s="226" t="n">
        <v>1300</v>
      </c>
      <c r="K149" s="226" t="inlineStr">
        <is>
          <t>Parte física de Arauto Daedrico, guardada por quem sabe seu valor.</t>
        </is>
      </c>
      <c r="L149" s="226" t="inlineStr">
        <is>
          <t>Arcano / Alquímico</t>
        </is>
      </c>
      <c r="M149" s="227" t="inlineStr">
        <is>
          <t>🐾</t>
        </is>
      </c>
    </row>
    <row r="150" ht="15" customHeight="1" s="116">
      <c r="A150" s="226" t="n">
        <v>148</v>
      </c>
      <c r="B150" s="226" t="inlineStr">
        <is>
          <t>Tier 13</t>
        </is>
      </c>
      <c r="C150" s="226" t="inlineStr">
        <is>
          <t>Essência de Arauto Daedrico</t>
        </is>
      </c>
      <c r="D150" s="226" t="inlineStr">
        <is>
          <t>Troféu de Monstro</t>
        </is>
      </c>
      <c r="E150" s="226" t="inlineStr">
        <is>
          <t>Loot raro de Arauto Daedrico (Boss)</t>
        </is>
      </c>
      <c r="F150" s="227" t="n"/>
      <c r="G150" s="227" t="n"/>
      <c r="H150" s="227" t="n"/>
      <c r="I150" s="226" t="inlineStr">
        <is>
          <t>Refinamento Nível 2/3, efeitos especiais</t>
        </is>
      </c>
      <c r="J150" s="226" t="n">
        <v>1950</v>
      </c>
      <c r="K150" s="226" t="inlineStr">
        <is>
          <t>O que resta da força vital de Arauto Daedrico — raro, e cobiçado por artesãos mestres.</t>
        </is>
      </c>
      <c r="L150" s="226" t="inlineStr">
        <is>
          <t>Arcano / Elemental</t>
        </is>
      </c>
      <c r="M150" s="227" t="inlineStr">
        <is>
          <t>🐾</t>
        </is>
      </c>
    </row>
    <row r="151" ht="15" customHeight="1" s="116">
      <c r="A151" s="226" t="n">
        <v>149</v>
      </c>
      <c r="B151" s="226" t="inlineStr">
        <is>
          <t>Tier 13</t>
        </is>
      </c>
      <c r="C151" s="226" t="inlineStr">
        <is>
          <t>Fragmento de O Arquivista Traidor</t>
        </is>
      </c>
      <c r="D151" s="226" t="inlineStr">
        <is>
          <t>Troféu de Monstro</t>
        </is>
      </c>
      <c r="E151" s="226" t="inlineStr">
        <is>
          <t>Loot de O Arquivista Traidor (Boss)</t>
        </is>
      </c>
      <c r="F151" s="227" t="n"/>
      <c r="G151" s="227" t="n"/>
      <c r="H151" s="227" t="n"/>
      <c r="I151" s="226" t="inlineStr">
        <is>
          <t>Crafting geral</t>
        </is>
      </c>
      <c r="J151" s="226" t="n">
        <v>1300</v>
      </c>
      <c r="K151" s="226" t="inlineStr">
        <is>
          <t>Parte física de O Arquivista Traidor, guardada por quem sabe seu valor.</t>
        </is>
      </c>
      <c r="L151" s="226" t="inlineStr">
        <is>
          <t>Ofensivo / Defensivo</t>
        </is>
      </c>
      <c r="M151" s="227" t="inlineStr">
        <is>
          <t>🐾</t>
        </is>
      </c>
    </row>
    <row r="152" ht="15" customHeight="1" s="116">
      <c r="A152" s="226" t="n">
        <v>150</v>
      </c>
      <c r="B152" s="226" t="inlineStr">
        <is>
          <t>Tier 13</t>
        </is>
      </c>
      <c r="C152" s="226" t="inlineStr">
        <is>
          <t>Essência de O Arquivista Traidor</t>
        </is>
      </c>
      <c r="D152" s="226" t="inlineStr">
        <is>
          <t>Troféu de Monstro</t>
        </is>
      </c>
      <c r="E152" s="226" t="inlineStr">
        <is>
          <t>Loot raro de O Arquivista Traidor (Boss)</t>
        </is>
      </c>
      <c r="F152" s="227" t="n"/>
      <c r="G152" s="227" t="n"/>
      <c r="H152" s="227" t="n"/>
      <c r="I152" s="226" t="inlineStr">
        <is>
          <t>Refinamento Nível 2/3, efeitos especiais</t>
        </is>
      </c>
      <c r="J152" s="226" t="n">
        <v>1950</v>
      </c>
      <c r="K152" s="226" t="inlineStr">
        <is>
          <t>O que resta da força vital de O Arquivista Traidor — raro, e cobiçado por artesãos mestres.</t>
        </is>
      </c>
      <c r="L152" s="226" t="inlineStr">
        <is>
          <t>Arcano / Elemental</t>
        </is>
      </c>
      <c r="M152" s="227" t="inlineStr">
        <is>
          <t>🐾</t>
        </is>
      </c>
    </row>
    <row r="153" ht="15" customHeight="1" s="116">
      <c r="A153" s="228" t="n">
        <v>151</v>
      </c>
      <c r="B153" s="228" t="inlineStr">
        <is>
          <t>Tier 14</t>
        </is>
      </c>
      <c r="C153" s="228" t="inlineStr">
        <is>
          <t>Relicário de Arauto do Aspecto</t>
        </is>
      </c>
      <c r="D153" s="228" t="inlineStr">
        <is>
          <t>Troféu de Monstro</t>
        </is>
      </c>
      <c r="E153" s="228" t="inlineStr">
        <is>
          <t>Loot de Arauto do Aspecto (Elite)</t>
        </is>
      </c>
      <c r="F153" s="229" t="n"/>
      <c r="G153" s="229" t="n"/>
      <c r="H153" s="229" t="n"/>
      <c r="I153" s="228" t="inlineStr">
        <is>
          <t>Rituais, alquimia</t>
        </is>
      </c>
      <c r="J153" s="228" t="n">
        <v>850</v>
      </c>
      <c r="K153" s="228" t="inlineStr">
        <is>
          <t>Parte física de Arauto do Aspecto, guardada por quem sabe seu valor.</t>
        </is>
      </c>
      <c r="L153" s="228" t="inlineStr">
        <is>
          <t>Arcano / Alquímico</t>
        </is>
      </c>
      <c r="M153" s="229" t="inlineStr">
        <is>
          <t>🐾</t>
        </is>
      </c>
    </row>
    <row r="154" ht="15" customHeight="1" s="116">
      <c r="A154" s="228" t="n">
        <v>152</v>
      </c>
      <c r="B154" s="228" t="inlineStr">
        <is>
          <t>Tier 14</t>
        </is>
      </c>
      <c r="C154" s="228" t="inlineStr">
        <is>
          <t>Fragmento de Vanguarda do Vazio Astral</t>
        </is>
      </c>
      <c r="D154" s="228" t="inlineStr">
        <is>
          <t>Troféu de Monstro</t>
        </is>
      </c>
      <c r="E154" s="228" t="inlineStr">
        <is>
          <t>Loot de Vanguarda do Vazio Astral (Elite)</t>
        </is>
      </c>
      <c r="F154" s="229" t="n"/>
      <c r="G154" s="229" t="n"/>
      <c r="H154" s="229" t="n"/>
      <c r="I154" s="228" t="inlineStr">
        <is>
          <t>Crafting geral</t>
        </is>
      </c>
      <c r="J154" s="228" t="n">
        <v>850</v>
      </c>
      <c r="K154" s="228" t="inlineStr">
        <is>
          <t>Parte física de Vanguarda do Vazio Astral, guardada por quem sabe seu valor.</t>
        </is>
      </c>
      <c r="L154" s="228" t="inlineStr">
        <is>
          <t>Ofensivo / Defensivo</t>
        </is>
      </c>
      <c r="M154" s="229" t="inlineStr">
        <is>
          <t>🐾</t>
        </is>
      </c>
    </row>
    <row r="155" ht="15" customHeight="1" s="116">
      <c r="A155" s="228" t="n">
        <v>153</v>
      </c>
      <c r="B155" s="228" t="inlineStr">
        <is>
          <t>Tier 14</t>
        </is>
      </c>
      <c r="C155" s="228" t="inlineStr">
        <is>
          <t>Relicário de Zelote Final do Culto</t>
        </is>
      </c>
      <c r="D155" s="228" t="inlineStr">
        <is>
          <t>Troféu de Monstro</t>
        </is>
      </c>
      <c r="E155" s="228" t="inlineStr">
        <is>
          <t>Loot de Zelote Final do Culto (Elite)</t>
        </is>
      </c>
      <c r="F155" s="229" t="n"/>
      <c r="G155" s="229" t="n"/>
      <c r="H155" s="229" t="n"/>
      <c r="I155" s="228" t="inlineStr">
        <is>
          <t>Rituais, alquimia</t>
        </is>
      </c>
      <c r="J155" s="228" t="n">
        <v>850</v>
      </c>
      <c r="K155" s="228" t="inlineStr">
        <is>
          <t>Parte física de Zelote Final do Culto, guardada por quem sabe seu valor.</t>
        </is>
      </c>
      <c r="L155" s="228" t="inlineStr">
        <is>
          <t>Arcano / Alquímico</t>
        </is>
      </c>
      <c r="M155" s="229" t="inlineStr">
        <is>
          <t>🐾</t>
        </is>
      </c>
    </row>
    <row r="156" ht="15" customHeight="1" s="116">
      <c r="A156" s="228" t="n">
        <v>154</v>
      </c>
      <c r="B156" s="228" t="inlineStr">
        <is>
          <t>Tier 14</t>
        </is>
      </c>
      <c r="C156" s="228" t="inlineStr">
        <is>
          <t>Núcleo de O Guardião do Portal Estelar</t>
        </is>
      </c>
      <c r="D156" s="228" t="inlineStr">
        <is>
          <t>Troféu de Monstro</t>
        </is>
      </c>
      <c r="E156" s="228" t="inlineStr">
        <is>
          <t>Loot de O Guardião do Portal Estelar (Boss)</t>
        </is>
      </c>
      <c r="F156" s="229" t="n"/>
      <c r="G156" s="229" t="n"/>
      <c r="H156" s="229" t="n"/>
      <c r="I156" s="228" t="inlineStr">
        <is>
          <t>Refinamento, equipamentos mágicos</t>
        </is>
      </c>
      <c r="J156" s="228" t="n">
        <v>1700</v>
      </c>
      <c r="K156" s="228" t="inlineStr">
        <is>
          <t>Parte física de O Guardião do Portal Estelar, guardada por quem sabe seu valor.</t>
        </is>
      </c>
      <c r="L156" s="228" t="inlineStr">
        <is>
          <t>Arcano / Estrutural</t>
        </is>
      </c>
      <c r="M156" s="229" t="inlineStr">
        <is>
          <t>🐾</t>
        </is>
      </c>
    </row>
    <row r="157" ht="15" customHeight="1" s="116">
      <c r="A157" s="228" t="n">
        <v>155</v>
      </c>
      <c r="B157" s="228" t="inlineStr">
        <is>
          <t>Tier 14</t>
        </is>
      </c>
      <c r="C157" s="228" t="inlineStr">
        <is>
          <t>Essência de O Guardião do Portal Estelar</t>
        </is>
      </c>
      <c r="D157" s="228" t="inlineStr">
        <is>
          <t>Troféu de Monstro</t>
        </is>
      </c>
      <c r="E157" s="228" t="inlineStr">
        <is>
          <t>Loot raro de O Guardião do Portal Estelar (Boss)</t>
        </is>
      </c>
      <c r="F157" s="229" t="n"/>
      <c r="G157" s="229" t="n"/>
      <c r="H157" s="229" t="n"/>
      <c r="I157" s="228" t="inlineStr">
        <is>
          <t>Refinamento Nível 2/3, efeitos especiais</t>
        </is>
      </c>
      <c r="J157" s="228" t="n">
        <v>2550</v>
      </c>
      <c r="K157" s="228" t="inlineStr">
        <is>
          <t>O que resta da força vital de O Guardião do Portal Estelar — raro, e cobiçado por artesãos mestres.</t>
        </is>
      </c>
      <c r="L157" s="228" t="inlineStr">
        <is>
          <t>Arcano / Elemental</t>
        </is>
      </c>
      <c r="M157" s="229" t="inlineStr">
        <is>
          <t>🐾</t>
        </is>
      </c>
    </row>
    <row r="158" ht="15" customHeight="1" s="116">
      <c r="A158" s="228" t="n">
        <v>156</v>
      </c>
      <c r="B158" s="228" t="inlineStr">
        <is>
          <t>Tier 14</t>
        </is>
      </c>
      <c r="C158" s="228" t="inlineStr">
        <is>
          <t>Fragmento de O Aspecto da Infeccao</t>
        </is>
      </c>
      <c r="D158" s="228" t="inlineStr">
        <is>
          <t>Troféu de Monstro</t>
        </is>
      </c>
      <c r="E158" s="228" t="inlineStr">
        <is>
          <t>Loot de O Aspecto da Infeccao (Cosmico)</t>
        </is>
      </c>
      <c r="F158" s="229" t="n"/>
      <c r="G158" s="229" t="n"/>
      <c r="H158" s="229" t="n"/>
      <c r="I158" s="228" t="inlineStr">
        <is>
          <t>Crafting geral</t>
        </is>
      </c>
      <c r="J158" s="228" t="n">
        <v>1700</v>
      </c>
      <c r="K158" s="228" t="inlineStr">
        <is>
          <t>Parte física de O Aspecto da Infeccao, guardada por quem sabe seu valor.</t>
        </is>
      </c>
      <c r="L158" s="228" t="inlineStr">
        <is>
          <t>Ofensivo / Defensivo</t>
        </is>
      </c>
      <c r="M158" s="229" t="inlineStr">
        <is>
          <t>🐾</t>
        </is>
      </c>
    </row>
    <row r="159" ht="15" customHeight="1" s="116">
      <c r="A159" s="228" t="n">
        <v>157</v>
      </c>
      <c r="B159" s="228" t="inlineStr">
        <is>
          <t>Tier 14</t>
        </is>
      </c>
      <c r="C159" s="228" t="inlineStr">
        <is>
          <t>Essência de O Aspecto da Infeccao</t>
        </is>
      </c>
      <c r="D159" s="228" t="inlineStr">
        <is>
          <t>Troféu de Monstro</t>
        </is>
      </c>
      <c r="E159" s="228" t="inlineStr">
        <is>
          <t>Loot raro de O Aspecto da Infeccao (Boss)</t>
        </is>
      </c>
      <c r="F159" s="229" t="n"/>
      <c r="G159" s="229" t="n"/>
      <c r="H159" s="229" t="n"/>
      <c r="I159" s="228" t="inlineStr">
        <is>
          <t>Refinamento Nível 2/3, efeitos especiais</t>
        </is>
      </c>
      <c r="J159" s="228" t="n">
        <v>2550</v>
      </c>
      <c r="K159" s="228" t="inlineStr">
        <is>
          <t>O que resta da força vital de O Aspecto da Infeccao — raro, e cobiçado por artesãos mestres.</t>
        </is>
      </c>
      <c r="L159" s="228" t="inlineStr">
        <is>
          <t>Arcano / Elemental</t>
        </is>
      </c>
      <c r="M159" s="229" t="inlineStr">
        <is>
          <t>🐾</t>
        </is>
      </c>
    </row>
    <row r="160">
      <c r="A160" s="161" t="n">
        <v>158</v>
      </c>
      <c r="B160" s="161" t="inlineStr">
        <is>
          <t>Tier 1</t>
        </is>
      </c>
      <c r="C160" s="161" t="inlineStr">
        <is>
          <t>Canino Enferrujado</t>
        </is>
      </c>
      <c r="D160" s="161" t="inlineStr">
        <is>
          <t>Orgânico</t>
        </is>
      </c>
      <c r="E160" s="161" t="inlineStr">
        <is>
          <t>Sucata Enferrujada — dropado por monstro específico</t>
        </is>
      </c>
      <c r="F160" s="161" t="inlineStr">
        <is>
          <t>Loot de monstro (não coletável no mundo)</t>
        </is>
      </c>
      <c r="G160" s="161" t="inlineStr">
        <is>
          <t>—</t>
        </is>
      </c>
      <c r="H160" s="161" t="inlineStr">
        <is>
          <t>Comum (Alto rendimento)</t>
        </is>
      </c>
      <c r="I160" s="161" t="inlineStr">
        <is>
          <t>Venda (item de baixo valor, sem receita)</t>
        </is>
      </c>
    </row>
    <row r="161">
      <c r="A161" s="161" t="n">
        <v>159</v>
      </c>
      <c r="B161" s="161" t="inlineStr">
        <is>
          <t>Tier 1</t>
        </is>
      </c>
      <c r="C161" s="161" t="inlineStr">
        <is>
          <t>Faca Cega de Recruta</t>
        </is>
      </c>
      <c r="D161" s="161" t="inlineStr">
        <is>
          <t>Orgânico / Material</t>
        </is>
      </c>
      <c r="E161" s="161" t="inlineStr">
        <is>
          <t>Sucata Enferrujada — dropado por monstro específico</t>
        </is>
      </c>
      <c r="F161" s="161" t="inlineStr">
        <is>
          <t>Loot de monstro (não coletável no mundo)</t>
        </is>
      </c>
      <c r="G161" s="161" t="inlineStr">
        <is>
          <t>—</t>
        </is>
      </c>
      <c r="H161" s="161" t="inlineStr">
        <is>
          <t>Comum (Alto rendimento)</t>
        </is>
      </c>
      <c r="I161" s="161" t="inlineStr">
        <is>
          <t>Venda (item sucateado, sem receita)</t>
        </is>
      </c>
    </row>
    <row r="162">
      <c r="A162" s="161" t="n">
        <v>160</v>
      </c>
      <c r="B162" s="161" t="inlineStr">
        <is>
          <t>Tier 1</t>
        </is>
      </c>
      <c r="C162" s="161" t="inlineStr">
        <is>
          <t>Pano Ensanguentado</t>
        </is>
      </c>
      <c r="D162" s="161" t="inlineStr">
        <is>
          <t>Orgânico</t>
        </is>
      </c>
      <c r="E162" s="161" t="inlineStr">
        <is>
          <t>Sucata Enferrujada — dropado por monstro específico</t>
        </is>
      </c>
      <c r="F162" s="161" t="inlineStr">
        <is>
          <t>Loot de monstro (não coletável no mundo)</t>
        </is>
      </c>
      <c r="G162" s="161" t="inlineStr">
        <is>
          <t>—</t>
        </is>
      </c>
      <c r="H162" s="161" t="inlineStr">
        <is>
          <t>Incomum (Médio rendimento)</t>
        </is>
      </c>
      <c r="I162" s="161" t="inlineStr">
        <is>
          <t>Venda (sem receita conectada)</t>
        </is>
      </c>
    </row>
    <row r="163">
      <c r="A163" s="161" t="n">
        <v>161</v>
      </c>
      <c r="B163" s="161" t="inlineStr">
        <is>
          <t>Tier 1</t>
        </is>
      </c>
      <c r="C163" s="161" t="inlineStr">
        <is>
          <t>Boneco de Pano Remendado</t>
        </is>
      </c>
      <c r="D163" s="161" t="inlineStr">
        <is>
          <t>Orgânico</t>
        </is>
      </c>
      <c r="E163" s="161" t="inlineStr">
        <is>
          <t>Sucata Enferrujada — dropado por monstro específico</t>
        </is>
      </c>
      <c r="F163" s="161" t="inlineStr">
        <is>
          <t>Loot de monstro (não coletável no mundo)</t>
        </is>
      </c>
      <c r="G163" s="161" t="inlineStr">
        <is>
          <t>—</t>
        </is>
      </c>
      <c r="H163" s="161" t="inlineStr">
        <is>
          <t>Incomum (Baixo rendimento)</t>
        </is>
      </c>
      <c r="I163" s="161" t="inlineStr">
        <is>
          <t>Venda (item colecionável, sem receita)</t>
        </is>
      </c>
    </row>
    <row r="164">
      <c r="A164" s="161" t="n">
        <v>162</v>
      </c>
      <c r="B164" s="161" t="inlineStr">
        <is>
          <t>Tier 1</t>
        </is>
      </c>
      <c r="C164" s="161" t="inlineStr">
        <is>
          <t>Fragmento de Tinta Ritual</t>
        </is>
      </c>
      <c r="D164" s="161" t="inlineStr">
        <is>
          <t>Orgânico / Material</t>
        </is>
      </c>
      <c r="E164" s="161" t="inlineStr">
        <is>
          <t>Sucata Enferrujada — dropado por monstro específico</t>
        </is>
      </c>
      <c r="F164" s="161" t="inlineStr">
        <is>
          <t>Loot de monstro (não coletável no mundo)</t>
        </is>
      </c>
      <c r="G164" s="161" t="inlineStr">
        <is>
          <t>—</t>
        </is>
      </c>
      <c r="H164" s="161" t="inlineStr">
        <is>
          <t>Comum (Médio rendimento)</t>
        </is>
      </c>
      <c r="I164" s="161" t="inlineStr">
        <is>
          <t>Ingrediente de Pingente da Marca (Acessório Tier 1)</t>
        </is>
      </c>
    </row>
    <row r="165">
      <c r="A165" s="161" t="n">
        <v>163</v>
      </c>
      <c r="B165" s="161" t="inlineStr">
        <is>
          <t>Tier 1</t>
        </is>
      </c>
      <c r="C165" s="161" t="inlineStr">
        <is>
          <t>Pano do Culto Rasgado</t>
        </is>
      </c>
      <c r="D165" s="161" t="inlineStr">
        <is>
          <t>Orgânico</t>
        </is>
      </c>
      <c r="E165" s="161" t="inlineStr">
        <is>
          <t>Sucata Enferrujada — dropado por monstro específico</t>
        </is>
      </c>
      <c r="F165" s="161" t="inlineStr">
        <is>
          <t>Loot de monstro (não coletável no mundo)</t>
        </is>
      </c>
      <c r="G165" s="161" t="inlineStr">
        <is>
          <t>—</t>
        </is>
      </c>
      <c r="H165" s="161" t="inlineStr">
        <is>
          <t>Comum (Alto rendimento)</t>
        </is>
      </c>
      <c r="I165" s="161" t="inlineStr">
        <is>
          <t>Ingrediente de Pingente da Marca (Acessório Tier 1)</t>
        </is>
      </c>
    </row>
    <row r="166">
      <c r="A166" s="161" t="n">
        <v>164</v>
      </c>
      <c r="B166" s="161" t="inlineStr">
        <is>
          <t>Tier 1</t>
        </is>
      </c>
      <c r="C166" s="161" t="inlineStr">
        <is>
          <t>Presa de Leitão</t>
        </is>
      </c>
      <c r="D166" s="161" t="inlineStr">
        <is>
          <t>Orgânico</t>
        </is>
      </c>
      <c r="E166" s="161" t="inlineStr">
        <is>
          <t>Sucata Enferrujada — dropado por monstro específico</t>
        </is>
      </c>
      <c r="F166" s="161" t="inlineStr">
        <is>
          <t>Loot de monstro (não coletável no mundo)</t>
        </is>
      </c>
      <c r="G166" s="161" t="inlineStr">
        <is>
          <t>—</t>
        </is>
      </c>
      <c r="H166" s="161" t="inlineStr">
        <is>
          <t>Comum (Alto rendimento)</t>
        </is>
      </c>
      <c r="I166" s="161" t="inlineStr">
        <is>
          <t>Venda (sem receita conectada)</t>
        </is>
      </c>
    </row>
    <row r="167">
      <c r="A167" s="161" t="n">
        <v>165</v>
      </c>
      <c r="B167" s="161" t="inlineStr">
        <is>
          <t>Tier 1</t>
        </is>
      </c>
      <c r="C167" s="161" t="inlineStr">
        <is>
          <t>Couro Marcado de Leitão</t>
        </is>
      </c>
      <c r="D167" s="161" t="inlineStr">
        <is>
          <t>Orgânico</t>
        </is>
      </c>
      <c r="E167" s="161" t="inlineStr">
        <is>
          <t>Sucata Enferrujada — dropado por monstro específico</t>
        </is>
      </c>
      <c r="F167" s="161" t="inlineStr">
        <is>
          <t>Loot de monstro (não coletável no mundo)</t>
        </is>
      </c>
      <c r="G167" s="161" t="inlineStr">
        <is>
          <t>—</t>
        </is>
      </c>
      <c r="H167" s="161" t="inlineStr">
        <is>
          <t>Comum (Médio rendimento)</t>
        </is>
      </c>
      <c r="I167" s="161" t="inlineStr">
        <is>
          <t>Venda (sem receita)</t>
        </is>
      </c>
    </row>
    <row r="168">
      <c r="A168" s="161" t="n">
        <v>166</v>
      </c>
      <c r="B168" s="161" t="inlineStr">
        <is>
          <t>Tier 1</t>
        </is>
      </c>
      <c r="C168" s="161" t="inlineStr">
        <is>
          <t>Glândula de Carrapato</t>
        </is>
      </c>
      <c r="D168" s="161" t="inlineStr">
        <is>
          <t>Orgânico</t>
        </is>
      </c>
      <c r="E168" s="161" t="inlineStr">
        <is>
          <t>Sucata Enferrujada — dropado por monstro específico</t>
        </is>
      </c>
      <c r="F168" s="161" t="inlineStr">
        <is>
          <t>Loot de monstro (não coletável no mundo)</t>
        </is>
      </c>
      <c r="G168" s="161" t="inlineStr">
        <is>
          <t>—</t>
        </is>
      </c>
      <c r="H168" s="161" t="inlineStr">
        <is>
          <t>Incomum (Baixo rendimento)</t>
        </is>
      </c>
      <c r="I168" s="161" t="inlineStr">
        <is>
          <t>Ingrediente de Vial da Glândula (Acessório Tier 1)</t>
        </is>
      </c>
    </row>
    <row r="169">
      <c r="A169" s="161" t="n">
        <v>167</v>
      </c>
      <c r="B169" s="161" t="inlineStr">
        <is>
          <t>Tier 1</t>
        </is>
      </c>
      <c r="C169" s="161" t="inlineStr">
        <is>
          <t>Casulo de Verme Pálido</t>
        </is>
      </c>
      <c r="D169" s="161" t="inlineStr">
        <is>
          <t>Orgânico</t>
        </is>
      </c>
      <c r="E169" s="161" t="inlineStr">
        <is>
          <t>Sucata Enferrujada — dropado por monstro específico</t>
        </is>
      </c>
      <c r="F169" s="161" t="inlineStr">
        <is>
          <t>Loot de monstro (não coletável no mundo)</t>
        </is>
      </c>
      <c r="G169" s="161" t="inlineStr">
        <is>
          <t>—</t>
        </is>
      </c>
      <c r="H169" s="161" t="inlineStr">
        <is>
          <t>Comum (Alto rendimento)</t>
        </is>
      </c>
      <c r="I169" s="161" t="inlineStr">
        <is>
          <t>Venda (sem receita)</t>
        </is>
      </c>
    </row>
    <row r="170">
      <c r="A170" s="161" t="n">
        <v>168</v>
      </c>
      <c r="B170" s="161" t="inlineStr">
        <is>
          <t>Tier 1</t>
        </is>
      </c>
      <c r="C170" s="161" t="inlineStr">
        <is>
          <t>Baba Corrosiva</t>
        </is>
      </c>
      <c r="D170" s="161" t="inlineStr">
        <is>
          <t>Orgânico</t>
        </is>
      </c>
      <c r="E170" s="161" t="inlineStr">
        <is>
          <t>Sucata Enferrujada — dropado por monstro específico</t>
        </is>
      </c>
      <c r="F170" s="161" t="inlineStr">
        <is>
          <t>Loot de monstro (não coletável no mundo)</t>
        </is>
      </c>
      <c r="G170" s="161" t="inlineStr">
        <is>
          <t>—</t>
        </is>
      </c>
      <c r="H170" s="161" t="inlineStr">
        <is>
          <t>Incomum (Médio rendimento)</t>
        </is>
      </c>
      <c r="I170" s="161" t="inlineStr">
        <is>
          <t>Venda (sem receita conectada)</t>
        </is>
      </c>
    </row>
    <row r="171">
      <c r="A171" s="161" t="n">
        <v>169</v>
      </c>
      <c r="B171" s="161" t="inlineStr">
        <is>
          <t>Tier 1</t>
        </is>
      </c>
      <c r="C171" s="161" t="inlineStr">
        <is>
          <t>Membrana Pulsante</t>
        </is>
      </c>
      <c r="D171" s="161" t="inlineStr">
        <is>
          <t>Orgânico / Material</t>
        </is>
      </c>
      <c r="E171" s="161" t="inlineStr">
        <is>
          <t>Sucata Enferrujada — dropado por monstro específico</t>
        </is>
      </c>
      <c r="F171" s="161" t="inlineStr">
        <is>
          <t>Loot de monstro (não coletável no mundo)</t>
        </is>
      </c>
      <c r="G171" s="161" t="inlineStr">
        <is>
          <t>—</t>
        </is>
      </c>
      <c r="H171" s="161" t="inlineStr">
        <is>
          <t>Incomum (Baixo rendimento)</t>
        </is>
      </c>
      <c r="I171" s="161" t="inlineStr">
        <is>
          <t>Venda (item raro, sem receita conectada ainda)</t>
        </is>
      </c>
    </row>
    <row r="172">
      <c r="A172" s="161" t="n">
        <v>170</v>
      </c>
      <c r="B172" s="161" t="inlineStr">
        <is>
          <t>Tier 1</t>
        </is>
      </c>
      <c r="C172" s="161" t="inlineStr">
        <is>
          <t>Dedo Enrijecido</t>
        </is>
      </c>
      <c r="D172" s="161" t="inlineStr">
        <is>
          <t>Orgânico</t>
        </is>
      </c>
      <c r="E172" s="161" t="inlineStr">
        <is>
          <t>Sucata Enferrujada — dropado por monstro específico</t>
        </is>
      </c>
      <c r="F172" s="161" t="inlineStr">
        <is>
          <t>Loot de monstro (não coletável no mundo)</t>
        </is>
      </c>
      <c r="G172" s="161" t="inlineStr">
        <is>
          <t>—</t>
        </is>
      </c>
      <c r="H172" s="161" t="inlineStr">
        <is>
          <t>Comum (Médio rendimento)</t>
        </is>
      </c>
      <c r="I172" s="161" t="inlineStr">
        <is>
          <t>Venda (curiosidade macabra, sem receita)</t>
        </is>
      </c>
    </row>
    <row r="173">
      <c r="A173" s="161" t="n">
        <v>171</v>
      </c>
      <c r="B173" s="161" t="inlineStr">
        <is>
          <t>Tier 1</t>
        </is>
      </c>
      <c r="C173" s="161" t="inlineStr">
        <is>
          <t>Anel Perdido</t>
        </is>
      </c>
      <c r="D173" s="161" t="inlineStr">
        <is>
          <t>Orgânico / Material</t>
        </is>
      </c>
      <c r="E173" s="161" t="inlineStr">
        <is>
          <t>Sucata Enferrujada — dropado por monstro específico</t>
        </is>
      </c>
      <c r="F173" s="161" t="inlineStr">
        <is>
          <t>Loot de monstro (não coletável no mundo)</t>
        </is>
      </c>
      <c r="G173" s="161" t="inlineStr">
        <is>
          <t>—</t>
        </is>
      </c>
      <c r="H173" s="161" t="inlineStr">
        <is>
          <t>Raro (Baixo rendimento)</t>
        </is>
      </c>
      <c r="I173" s="161" t="inlineStr">
        <is>
          <t>Venda (item de alto valor, raro)</t>
        </is>
      </c>
    </row>
    <row r="174">
      <c r="A174" s="161" t="n">
        <v>172</v>
      </c>
      <c r="B174" s="161" t="inlineStr">
        <is>
          <t>Tier 1</t>
        </is>
      </c>
      <c r="C174" s="161" t="inlineStr">
        <is>
          <t>Pena Necrófaga</t>
        </is>
      </c>
      <c r="D174" s="161" t="inlineStr">
        <is>
          <t>Orgânico</t>
        </is>
      </c>
      <c r="E174" s="161" t="inlineStr">
        <is>
          <t>Sucata Enferrujada — dropado por monstro específico</t>
        </is>
      </c>
      <c r="F174" s="161" t="inlineStr">
        <is>
          <t>Loot de monstro (não coletável no mundo)</t>
        </is>
      </c>
      <c r="G174" s="161" t="inlineStr">
        <is>
          <t>—</t>
        </is>
      </c>
      <c r="H174" s="161" t="inlineStr">
        <is>
          <t>Comum (Alto rendimento)</t>
        </is>
      </c>
      <c r="I174" s="161" t="inlineStr">
        <is>
          <t>Ingrediente de Pena do Necrófago (Acessório Tier 1)</t>
        </is>
      </c>
    </row>
    <row r="175">
      <c r="A175" s="161" t="n">
        <v>173</v>
      </c>
      <c r="B175" s="161" t="inlineStr">
        <is>
          <t>Tier 1</t>
        </is>
      </c>
      <c r="C175" s="161" t="inlineStr">
        <is>
          <t>Bico de Corvo</t>
        </is>
      </c>
      <c r="D175" s="161" t="inlineStr">
        <is>
          <t>Orgânico</t>
        </is>
      </c>
      <c r="E175" s="161" t="inlineStr">
        <is>
          <t>Sucata Enferrujada — dropado por monstro específico</t>
        </is>
      </c>
      <c r="F175" s="161" t="inlineStr">
        <is>
          <t>Loot de monstro (não coletável no mundo)</t>
        </is>
      </c>
      <c r="G175" s="161" t="inlineStr">
        <is>
          <t>—</t>
        </is>
      </c>
      <c r="H175" s="161" t="inlineStr">
        <is>
          <t>Incomum (Médio rendimento)</t>
        </is>
      </c>
      <c r="I175" s="161" t="inlineStr">
        <is>
          <t>Ingrediente de Pena do Necrófago (Acessório Tier 1)</t>
        </is>
      </c>
    </row>
    <row r="176">
      <c r="A176" s="161" t="n">
        <v>174</v>
      </c>
      <c r="B176" s="161" t="inlineStr">
        <is>
          <t>Tier 1</t>
        </is>
      </c>
      <c r="C176" s="161" t="inlineStr">
        <is>
          <t>Faca de Corte Rápido Quebrada</t>
        </is>
      </c>
      <c r="D176" s="161" t="inlineStr">
        <is>
          <t>Orgânico / Material</t>
        </is>
      </c>
      <c r="E176" s="161" t="inlineStr">
        <is>
          <t>Sucata Enferrujada — dropado por monstro específico</t>
        </is>
      </c>
      <c r="F176" s="161" t="inlineStr">
        <is>
          <t>Loot de monstro (não coletável no mundo)</t>
        </is>
      </c>
      <c r="G176" s="161" t="inlineStr">
        <is>
          <t>—</t>
        </is>
      </c>
      <c r="H176" s="161" t="inlineStr">
        <is>
          <t>Comum (Alto rendimento)</t>
        </is>
      </c>
      <c r="I176" s="161" t="inlineStr">
        <is>
          <t>Venda (sem receita)</t>
        </is>
      </c>
    </row>
    <row r="177">
      <c r="A177" s="161" t="n">
        <v>175</v>
      </c>
      <c r="B177" s="161" t="inlineStr">
        <is>
          <t>Tier 1</t>
        </is>
      </c>
      <c r="C177" s="161" t="inlineStr">
        <is>
          <t>Bolsa de Moedas Roubadas</t>
        </is>
      </c>
      <c r="D177" s="161" t="inlineStr">
        <is>
          <t>Orgânico / Material</t>
        </is>
      </c>
      <c r="E177" s="161" t="inlineStr">
        <is>
          <t>Sucata Enferrujada — dropado por monstro específico</t>
        </is>
      </c>
      <c r="F177" s="161" t="inlineStr">
        <is>
          <t>Loot de monstro (não coletável no mundo)</t>
        </is>
      </c>
      <c r="G177" s="161" t="inlineStr">
        <is>
          <t>—</t>
        </is>
      </c>
      <c r="H177" s="161" t="inlineStr">
        <is>
          <t>Comum (Alto rendimento)</t>
        </is>
      </c>
      <c r="I177" s="161" t="inlineStr">
        <is>
          <t>Ingrediente de Bolsa de Saque Reforçada (Acessório Tier 1)</t>
        </is>
      </c>
    </row>
    <row r="178">
      <c r="A178" s="161" t="n">
        <v>176</v>
      </c>
      <c r="B178" s="161" t="inlineStr">
        <is>
          <t>Tier 1</t>
        </is>
      </c>
      <c r="C178" s="161" t="inlineStr">
        <is>
          <t>Corda de Saque</t>
        </is>
      </c>
      <c r="D178" s="161" t="inlineStr">
        <is>
          <t>Orgânico</t>
        </is>
      </c>
      <c r="E178" s="161" t="inlineStr">
        <is>
          <t>Sucata Enferrujada — dropado por monstro específico</t>
        </is>
      </c>
      <c r="F178" s="161" t="inlineStr">
        <is>
          <t>Loot de monstro (não coletável no mundo)</t>
        </is>
      </c>
      <c r="G178" s="161" t="inlineStr">
        <is>
          <t>—</t>
        </is>
      </c>
      <c r="H178" s="161" t="inlineStr">
        <is>
          <t>Comum (Médio rendimento)</t>
        </is>
      </c>
      <c r="I178" s="161" t="inlineStr">
        <is>
          <t>Ingrediente de Bolsa de Saque Reforçada (Acessório Tier 1)</t>
        </is>
      </c>
    </row>
    <row r="179">
      <c r="A179" s="161" t="n">
        <v>177</v>
      </c>
      <c r="B179" s="161" t="inlineStr">
        <is>
          <t>Tier 1</t>
        </is>
      </c>
      <c r="C179" s="161" t="inlineStr">
        <is>
          <t>Farrapo de Peregrino</t>
        </is>
      </c>
      <c r="D179" s="161" t="inlineStr">
        <is>
          <t>Orgânico</t>
        </is>
      </c>
      <c r="E179" s="161" t="inlineStr">
        <is>
          <t>Sucata Enferrujada — dropado por monstro específico</t>
        </is>
      </c>
      <c r="F179" s="161" t="inlineStr">
        <is>
          <t>Loot de monstro (não coletável no mundo)</t>
        </is>
      </c>
      <c r="G179" s="161" t="inlineStr">
        <is>
          <t>—</t>
        </is>
      </c>
      <c r="H179" s="161" t="inlineStr">
        <is>
          <t>Comum (Alto rendimento)</t>
        </is>
      </c>
      <c r="I179" s="161" t="inlineStr">
        <is>
          <t>Venda (sem receita)</t>
        </is>
      </c>
    </row>
    <row r="180">
      <c r="A180" s="161" t="n">
        <v>178</v>
      </c>
      <c r="B180" s="161" t="inlineStr">
        <is>
          <t>Tier 1</t>
        </is>
      </c>
      <c r="C180" s="161" t="inlineStr">
        <is>
          <t>Fragmento de Grito Preso</t>
        </is>
      </c>
      <c r="D180" s="161" t="inlineStr">
        <is>
          <t>Orgânico / Material</t>
        </is>
      </c>
      <c r="E180" s="161" t="inlineStr">
        <is>
          <t>Sucata Enferrujada — dropado por monstro específico</t>
        </is>
      </c>
      <c r="F180" s="161" t="inlineStr">
        <is>
          <t>Loot de monstro (não coletável no mundo)</t>
        </is>
      </c>
      <c r="G180" s="161" t="inlineStr">
        <is>
          <t>—</t>
        </is>
      </c>
      <c r="H180" s="161" t="inlineStr">
        <is>
          <t>Raro (Baixo rendimento)</t>
        </is>
      </c>
      <c r="I180" s="161" t="inlineStr">
        <is>
          <t>Venda (item raro, sem receita conectada ainda)</t>
        </is>
      </c>
    </row>
    <row r="181">
      <c r="A181" s="161" t="n">
        <v>179</v>
      </c>
      <c r="B181" s="161" t="inlineStr">
        <is>
          <t>Tier 1</t>
        </is>
      </c>
      <c r="C181" s="161" t="inlineStr">
        <is>
          <t>Estilhaço da Marca Original</t>
        </is>
      </c>
      <c r="D181" s="161" t="inlineStr">
        <is>
          <t>Orgânico / Material</t>
        </is>
      </c>
      <c r="E181" s="161" t="inlineStr">
        <is>
          <t>Sucata Enferrujada — dropado por monstro específico</t>
        </is>
      </c>
      <c r="F181" s="161" t="inlineStr">
        <is>
          <t>Loot de monstro (não coletável no mundo)</t>
        </is>
      </c>
      <c r="G181" s="161" t="inlineStr">
        <is>
          <t>—</t>
        </is>
      </c>
      <c r="H181" s="161" t="inlineStr">
        <is>
          <t>Raro (Baixo rendimento)</t>
        </is>
      </c>
      <c r="I181" s="161" t="inlineStr">
        <is>
          <t>Ingrediente de Anel do Fragmento (Acessório raro Tier 1)</t>
        </is>
      </c>
    </row>
    <row r="182">
      <c r="A182" s="161" t="n">
        <v>180</v>
      </c>
      <c r="B182" s="161" t="inlineStr">
        <is>
          <t>Tier 1</t>
        </is>
      </c>
      <c r="C182" s="161" t="inlineStr">
        <is>
          <t>Cicatriz de Couro Curtido</t>
        </is>
      </c>
      <c r="D182" s="161" t="inlineStr">
        <is>
          <t>Orgânico</t>
        </is>
      </c>
      <c r="E182" s="161" t="inlineStr">
        <is>
          <t>Sucata Enferrujada — dropado por monstro específico</t>
        </is>
      </c>
      <c r="F182" s="161" t="inlineStr">
        <is>
          <t>Loot de monstro (não coletável no mundo)</t>
        </is>
      </c>
      <c r="G182" s="161" t="inlineStr">
        <is>
          <t>—</t>
        </is>
      </c>
      <c r="H182" s="161" t="inlineStr">
        <is>
          <t>Comum (Médio rendimento)</t>
        </is>
      </c>
      <c r="I182" s="161" t="inlineStr">
        <is>
          <t>Venda (sem receita conectada ainda)</t>
        </is>
      </c>
    </row>
    <row r="183">
      <c r="A183" s="161" t="n">
        <v>181</v>
      </c>
      <c r="B183" s="161" t="inlineStr">
        <is>
          <t>Tier 1</t>
        </is>
      </c>
      <c r="C183" s="161" t="inlineStr">
        <is>
          <t>Machadinha Gasta</t>
        </is>
      </c>
      <c r="D183" s="161" t="inlineStr">
        <is>
          <t>Orgânico / Material</t>
        </is>
      </c>
      <c r="E183" s="161" t="inlineStr">
        <is>
          <t>Sucata Enferrujada — dropado por monstro específico</t>
        </is>
      </c>
      <c r="F183" s="161" t="inlineStr">
        <is>
          <t>Loot de monstro (não coletável no mundo)</t>
        </is>
      </c>
      <c r="G183" s="161" t="inlineStr">
        <is>
          <t>—</t>
        </is>
      </c>
      <c r="H183" s="161" t="inlineStr">
        <is>
          <t>Incomum (Médio rendimento)</t>
        </is>
      </c>
      <c r="I183" s="161" t="inlineStr">
        <is>
          <t>Venda (arma usada, valor médio)</t>
        </is>
      </c>
    </row>
    <row r="184">
      <c r="A184" s="161" t="n">
        <v>182</v>
      </c>
      <c r="B184" s="161" t="inlineStr">
        <is>
          <t>Tier 1</t>
        </is>
      </c>
      <c r="C184" s="161" t="inlineStr">
        <is>
          <t>Presa Sanguínea</t>
        </is>
      </c>
      <c r="D184" s="161" t="inlineStr">
        <is>
          <t>Orgânico</t>
        </is>
      </c>
      <c r="E184" s="161" t="inlineStr">
        <is>
          <t>Sucata Enferrujada — dropado por monstro específico</t>
        </is>
      </c>
      <c r="F184" s="161" t="inlineStr">
        <is>
          <t>Loot de monstro (não coletável no mundo)</t>
        </is>
      </c>
      <c r="G184" s="161" t="inlineStr">
        <is>
          <t>—</t>
        </is>
      </c>
      <c r="H184" s="161" t="inlineStr">
        <is>
          <t>Comum (Médio rendimento)</t>
        </is>
      </c>
      <c r="I184" s="161" t="inlineStr">
        <is>
          <t>Ingrediente de Amuleto do Uivo (Acessório Tier 1)</t>
        </is>
      </c>
    </row>
    <row r="185">
      <c r="A185" s="161" t="n">
        <v>183</v>
      </c>
      <c r="B185" s="161" t="inlineStr">
        <is>
          <t>Tier 1</t>
        </is>
      </c>
      <c r="C185" s="161" t="inlineStr">
        <is>
          <t>Asa de Mosca-Sangue</t>
        </is>
      </c>
      <c r="D185" s="161" t="inlineStr">
        <is>
          <t>Orgânico</t>
        </is>
      </c>
      <c r="E185" s="161" t="inlineStr">
        <is>
          <t>Sucata Enferrujada — dropado por monstro específico</t>
        </is>
      </c>
      <c r="F185" s="161" t="inlineStr">
        <is>
          <t>Loot de monstro (não coletável no mundo)</t>
        </is>
      </c>
      <c r="G185" s="161" t="inlineStr">
        <is>
          <t>—</t>
        </is>
      </c>
      <c r="H185" s="161" t="inlineStr">
        <is>
          <t>Comum (Alto rendimento)</t>
        </is>
      </c>
      <c r="I185" s="161" t="inlineStr">
        <is>
          <t>Venda (sem receita)</t>
        </is>
      </c>
    </row>
    <row r="186">
      <c r="A186" s="161" t="n">
        <v>184</v>
      </c>
      <c r="B186" s="161" t="inlineStr">
        <is>
          <t>Tier 1</t>
        </is>
      </c>
      <c r="C186" s="161" t="inlineStr">
        <is>
          <t>Faca Enferrujada de Bandido</t>
        </is>
      </c>
      <c r="D186" s="161" t="inlineStr">
        <is>
          <t>Orgânico / Material</t>
        </is>
      </c>
      <c r="E186" s="161" t="inlineStr">
        <is>
          <t>Sucata Enferrujada — dropado por monstro específico</t>
        </is>
      </c>
      <c r="F186" s="161" t="inlineStr">
        <is>
          <t>Loot de monstro (não coletável no mundo)</t>
        </is>
      </c>
      <c r="G186" s="161" t="inlineStr">
        <is>
          <t>—</t>
        </is>
      </c>
      <c r="H186" s="161" t="inlineStr">
        <is>
          <t>Comum (Médio rendimento)</t>
        </is>
      </c>
      <c r="I186" s="161" t="inlineStr">
        <is>
          <t>Venda (arma sucateada)</t>
        </is>
      </c>
    </row>
    <row r="187">
      <c r="A187" s="161" t="n">
        <v>185</v>
      </c>
      <c r="B187" s="161" t="inlineStr">
        <is>
          <t>Tier 1</t>
        </is>
      </c>
      <c r="C187" s="161" t="inlineStr">
        <is>
          <t>Manto Rasgado de Peregrino</t>
        </is>
      </c>
      <c r="D187" s="161" t="inlineStr">
        <is>
          <t>Orgânico</t>
        </is>
      </c>
      <c r="E187" s="161" t="inlineStr">
        <is>
          <t>Sucata Enferrujada — dropado por monstro específico</t>
        </is>
      </c>
      <c r="F187" s="161" t="inlineStr">
        <is>
          <t>Loot de monstro (não coletável no mundo)</t>
        </is>
      </c>
      <c r="G187" s="161" t="inlineStr">
        <is>
          <t>—</t>
        </is>
      </c>
      <c r="H187" s="161" t="inlineStr">
        <is>
          <t>Comum (Médio rendimento)</t>
        </is>
      </c>
      <c r="I187" s="161" t="inlineStr">
        <is>
          <t>Venda (sem receita conectada ainda)</t>
        </is>
      </c>
    </row>
    <row r="188">
      <c r="A188" s="161" t="n">
        <v>186</v>
      </c>
      <c r="B188" s="161" t="inlineStr">
        <is>
          <t>Tier 1</t>
        </is>
      </c>
      <c r="C188" s="161" t="inlineStr">
        <is>
          <t>Voz Presa em Pano</t>
        </is>
      </c>
      <c r="D188" s="161" t="inlineStr">
        <is>
          <t>Orgânico / Material</t>
        </is>
      </c>
      <c r="E188" s="161" t="inlineStr">
        <is>
          <t>Sucata Enferrujada — dropado por monstro específico</t>
        </is>
      </c>
      <c r="F188" s="161" t="inlineStr">
        <is>
          <t>Loot de monstro (não coletável no mundo)</t>
        </is>
      </c>
      <c r="G188" s="161" t="inlineStr">
        <is>
          <t>—</t>
        </is>
      </c>
      <c r="H188" s="161" t="inlineStr">
        <is>
          <t>Raro (Baixo rendimento)</t>
        </is>
      </c>
      <c r="I188" s="161" t="inlineStr">
        <is>
          <t>Ingrediente de Colar do Sussurro (Acessório de Elite Tier 1)</t>
        </is>
      </c>
    </row>
    <row r="189">
      <c r="A189" s="161" t="n">
        <v>187</v>
      </c>
      <c r="B189" s="161" t="inlineStr">
        <is>
          <t>Tier 1</t>
        </is>
      </c>
      <c r="C189" s="161" t="inlineStr">
        <is>
          <t>Manto do Sussurrador</t>
        </is>
      </c>
      <c r="D189" s="161" t="inlineStr">
        <is>
          <t>Orgânico</t>
        </is>
      </c>
      <c r="E189" s="161" t="inlineStr">
        <is>
          <t>Sucata Enferrujada — dropado por monstro específico</t>
        </is>
      </c>
      <c r="F189" s="161" t="inlineStr">
        <is>
          <t>Loot de monstro (não coletável no mundo)</t>
        </is>
      </c>
      <c r="G189" s="161" t="inlineStr">
        <is>
          <t>—</t>
        </is>
      </c>
      <c r="H189" s="161" t="inlineStr">
        <is>
          <t>Incomum (Médio rendimento)</t>
        </is>
      </c>
      <c r="I189" s="161" t="inlineStr">
        <is>
          <t>Venda (item de culto, valor médio)</t>
        </is>
      </c>
    </row>
    <row r="190">
      <c r="A190" s="161" t="n">
        <v>188</v>
      </c>
      <c r="B190" s="161" t="inlineStr">
        <is>
          <t>Tier 1</t>
        </is>
      </c>
      <c r="C190" s="161" t="inlineStr">
        <is>
          <t>Tinta Ritual Concentrada</t>
        </is>
      </c>
      <c r="D190" s="161" t="inlineStr">
        <is>
          <t>Orgânico / Material</t>
        </is>
      </c>
      <c r="E190" s="161" t="inlineStr">
        <is>
          <t>Sucata Enferrujada — dropado por monstro específico</t>
        </is>
      </c>
      <c r="F190" s="161" t="inlineStr">
        <is>
          <t>Loot de monstro (não coletável no mundo)</t>
        </is>
      </c>
      <c r="G190" s="161" t="inlineStr">
        <is>
          <t>—</t>
        </is>
      </c>
      <c r="H190" s="161" t="inlineStr">
        <is>
          <t>Raro (Baixo rendimento)</t>
        </is>
      </c>
      <c r="I190" s="161" t="inlineStr">
        <is>
          <t>Venda (item raro de culto, sem receita conectada ainda)</t>
        </is>
      </c>
    </row>
    <row r="191">
      <c r="A191" s="161" t="n">
        <v>189</v>
      </c>
      <c r="B191" s="161" t="inlineStr">
        <is>
          <t>Tier 1</t>
        </is>
      </c>
      <c r="C191" s="161" t="inlineStr">
        <is>
          <t>Pincel de Ossos</t>
        </is>
      </c>
      <c r="D191" s="161" t="inlineStr">
        <is>
          <t>Orgânico</t>
        </is>
      </c>
      <c r="E191" s="161" t="inlineStr">
        <is>
          <t>Sucata Enferrujada — dropado por monstro específico</t>
        </is>
      </c>
      <c r="F191" s="161" t="inlineStr">
        <is>
          <t>Loot de monstro (não coletável no mundo)</t>
        </is>
      </c>
      <c r="G191" s="161" t="inlineStr">
        <is>
          <t>—</t>
        </is>
      </c>
      <c r="H191" s="161" t="inlineStr">
        <is>
          <t>Incomum (Médio rendimento)</t>
        </is>
      </c>
      <c r="I191" s="161" t="inlineStr">
        <is>
          <t>Venda (curiosidade de culto)</t>
        </is>
      </c>
    </row>
    <row r="192">
      <c r="A192" s="161" t="n">
        <v>190</v>
      </c>
      <c r="B192" s="161" t="inlineStr">
        <is>
          <t>Tier 1</t>
        </is>
      </c>
      <c r="C192" s="161" t="inlineStr">
        <is>
          <t>Gota de Chuva Cristalizada</t>
        </is>
      </c>
      <c r="D192" s="161" t="inlineStr">
        <is>
          <t>Orgânico / Material</t>
        </is>
      </c>
      <c r="E192" s="161" t="inlineStr">
        <is>
          <t>Sucata Enferrujada — dropado por monstro específico</t>
        </is>
      </c>
      <c r="F192" s="161" t="inlineStr">
        <is>
          <t>Loot de monstro (não coletável no mundo)</t>
        </is>
      </c>
      <c r="G192" s="161" t="inlineStr">
        <is>
          <t>—</t>
        </is>
      </c>
      <c r="H192" s="161" t="inlineStr">
        <is>
          <t>Raro (Baixo rendimento)</t>
        </is>
      </c>
      <c r="I192" s="161" t="inlineStr">
        <is>
          <t>Ingrediente de Talismã da Chuva Ferrosa (Acessório de Elite Tier 1)</t>
        </is>
      </c>
    </row>
    <row r="193">
      <c r="A193" s="161" t="n">
        <v>191</v>
      </c>
      <c r="B193" s="161" t="inlineStr">
        <is>
          <t>Tier 1</t>
        </is>
      </c>
      <c r="C193" s="161" t="inlineStr">
        <is>
          <t>Resíduo Espectral Ferroso</t>
        </is>
      </c>
      <c r="D193" s="161" t="inlineStr">
        <is>
          <t>Orgânico / Material</t>
        </is>
      </c>
      <c r="E193" s="161" t="inlineStr">
        <is>
          <t>Sucata Enferrujada — dropado por monstro específico</t>
        </is>
      </c>
      <c r="F193" s="161" t="inlineStr">
        <is>
          <t>Loot de monstro (não coletável no mundo)</t>
        </is>
      </c>
      <c r="G193" s="161" t="inlineStr">
        <is>
          <t>—</t>
        </is>
      </c>
      <c r="H193" s="161" t="inlineStr">
        <is>
          <t>Incomum (Médio rendimento)</t>
        </is>
      </c>
      <c r="I193" s="161" t="inlineStr">
        <is>
          <t>Ingrediente de Talismã da Chuva Ferrosa (Acessório de Elite Tier 1)</t>
        </is>
      </c>
    </row>
    <row r="194">
      <c r="A194" s="161" t="n">
        <v>192</v>
      </c>
      <c r="B194" s="161" t="inlineStr">
        <is>
          <t>Tier 1</t>
        </is>
      </c>
      <c r="C194" s="161" t="inlineStr">
        <is>
          <t>Fragmento da Lâmina do Arrependido</t>
        </is>
      </c>
      <c r="D194" s="161" t="inlineStr">
        <is>
          <t>Orgânico / Material</t>
        </is>
      </c>
      <c r="E194" s="161" t="inlineStr">
        <is>
          <t>Sucata Enferrujada — dropado por monstro específico</t>
        </is>
      </c>
      <c r="F194" s="161" t="inlineStr">
        <is>
          <t>Loot de monstro (não coletável no mundo)</t>
        </is>
      </c>
      <c r="G194" s="161" t="inlineStr">
        <is>
          <t>—</t>
        </is>
      </c>
      <c r="H194" s="161" t="inlineStr">
        <is>
          <t>Raro (Baixo rendimento - Elite Nomeado)</t>
        </is>
      </c>
      <c r="I194" s="161" t="inlineStr">
        <is>
          <t>Componente exclusivo — só usado se Garr'th for derrotado</t>
        </is>
      </c>
    </row>
    <row r="195">
      <c r="A195" s="115" t="n">
        <v>193</v>
      </c>
      <c r="B195" s="115" t="inlineStr">
        <is>
          <t>Tier 2</t>
        </is>
      </c>
      <c r="C195" s="115" t="inlineStr">
        <is>
          <t>Pelo Embotado de Cão de Mina Cego</t>
        </is>
      </c>
      <c r="D195" s="115" t="inlineStr">
        <is>
          <t>Orgânico</t>
        </is>
      </c>
      <c r="E195" s="115" t="inlineStr">
        <is>
          <t>Mina de Bronze — dropado por monstro específico</t>
        </is>
      </c>
      <c r="F195" s="115" t="inlineStr">
        <is>
          <t>Loot de monstro (não coletável no mundo)</t>
        </is>
      </c>
      <c r="G195" s="115" t="inlineStr">
        <is>
          <t>—</t>
        </is>
      </c>
      <c r="H195" s="115" t="inlineStr">
        <is>
          <t>Comum (Alto rendimento)</t>
        </is>
      </c>
      <c r="I195" s="115" t="inlineStr">
        <is>
          <t>Ingrediente de Focinho do Cão Cego (Acessório Tier 2)</t>
        </is>
      </c>
      <c r="K195" s="115" t="inlineStr">
        <is>
          <t>Pelo curto e sujo de fuligem, arrancado do Cão de Mina Cego — ele nem sente mais dor.</t>
        </is>
      </c>
    </row>
    <row r="196">
      <c r="A196" s="115" t="n">
        <v>194</v>
      </c>
      <c r="B196" s="115" t="inlineStr">
        <is>
          <t>Tier 2</t>
        </is>
      </c>
      <c r="C196" s="115" t="inlineStr">
        <is>
          <t>Faro Apurado de Cão de Mina Cego</t>
        </is>
      </c>
      <c r="D196" s="115" t="inlineStr">
        <is>
          <t>Orgânico / Material</t>
        </is>
      </c>
      <c r="E196" s="115" t="inlineStr">
        <is>
          <t>Mina de Bronze — dropado por monstro específico</t>
        </is>
      </c>
      <c r="F196" s="115" t="inlineStr">
        <is>
          <t>Loot de monstro (não coletável no mundo)</t>
        </is>
      </c>
      <c r="G196" s="115" t="inlineStr">
        <is>
          <t>—</t>
        </is>
      </c>
      <c r="H196" s="115" t="inlineStr">
        <is>
          <t>Incomum (Baixo rendimento)</t>
        </is>
      </c>
      <c r="I196" s="115" t="inlineStr">
        <is>
          <t>Ingrediente de Focinho do Cão Cego (Acessório Tier 2)</t>
        </is>
      </c>
      <c r="K196" s="115" t="inlineStr">
        <is>
          <t>Parte do focinho do cão cego, ainda sensível a cheiros mesmo sem os olhos.</t>
        </is>
      </c>
    </row>
    <row r="197">
      <c r="A197" s="115" t="n">
        <v>195</v>
      </c>
      <c r="B197" s="115" t="inlineStr">
        <is>
          <t>Tier 2</t>
        </is>
      </c>
      <c r="C197" s="115" t="inlineStr">
        <is>
          <t>Saco de Minério Roubado</t>
        </is>
      </c>
      <c r="D197" s="115" t="inlineStr">
        <is>
          <t>Orgânico / Material</t>
        </is>
      </c>
      <c r="E197" s="115" t="inlineStr">
        <is>
          <t>Mina de Bronze — dropado por monstro específico</t>
        </is>
      </c>
      <c r="F197" s="115" t="inlineStr">
        <is>
          <t>Loot de monstro (não coletável no mundo)</t>
        </is>
      </c>
      <c r="G197" s="115" t="inlineStr">
        <is>
          <t>—</t>
        </is>
      </c>
      <c r="H197" s="115" t="inlineStr">
        <is>
          <t>Comum (Médio rendimento)</t>
        </is>
      </c>
      <c r="I197" s="115" t="inlineStr">
        <is>
          <t>Ingrediente de Bolsa do Coletor Enferrujado (Acessório Tier 2)</t>
        </is>
      </c>
      <c r="K197" s="115" t="inlineStr">
        <is>
          <t>Saco remendado cheio de minério que o Coletor Enferrujado juntou pra vender à Mão sem saber o preço real.</t>
        </is>
      </c>
    </row>
    <row r="198">
      <c r="A198" s="115" t="n">
        <v>196</v>
      </c>
      <c r="B198" s="115" t="inlineStr">
        <is>
          <t>Tier 2</t>
        </is>
      </c>
      <c r="C198" s="115" t="inlineStr">
        <is>
          <t>Picareta Cega do Coletor</t>
        </is>
      </c>
      <c r="D198" s="115" t="inlineStr">
        <is>
          <t>Orgânico / Material</t>
        </is>
      </c>
      <c r="E198" s="115" t="inlineStr">
        <is>
          <t>Mina de Bronze — dropado por monstro específico</t>
        </is>
      </c>
      <c r="F198" s="115" t="inlineStr">
        <is>
          <t>Loot de monstro (não coletável no mundo)</t>
        </is>
      </c>
      <c r="G198" s="115" t="inlineStr">
        <is>
          <t>—</t>
        </is>
      </c>
      <c r="H198" s="115" t="inlineStr">
        <is>
          <t>Comum (Médio rendimento)</t>
        </is>
      </c>
      <c r="I198" s="115" t="inlineStr">
        <is>
          <t>Ingrediente de Bolsa do Coletor Enferrujado (Acessório Tier 2)</t>
        </is>
      </c>
      <c r="K198" s="115" t="inlineStr">
        <is>
          <t>Picareta cega de tanto uso, ainda carrega o ritmo mecânico de quem a empunhava.</t>
        </is>
      </c>
    </row>
    <row r="199">
      <c r="A199" s="115" t="n">
        <v>197</v>
      </c>
      <c r="B199" s="115" t="inlineStr">
        <is>
          <t>Tier 2</t>
        </is>
      </c>
      <c r="C199" s="115" t="inlineStr">
        <is>
          <t>Lanterna Encardida de Mineiro Exausto</t>
        </is>
      </c>
      <c r="D199" s="115" t="inlineStr">
        <is>
          <t>Orgânico / Material</t>
        </is>
      </c>
      <c r="E199" s="115" t="inlineStr">
        <is>
          <t>Mina de Bronze — dropado por monstro específico</t>
        </is>
      </c>
      <c r="F199" s="115" t="inlineStr">
        <is>
          <t>Loot de monstro (não coletável no mundo)</t>
        </is>
      </c>
      <c r="G199" s="115" t="inlineStr">
        <is>
          <t>—</t>
        </is>
      </c>
      <c r="H199" s="115" t="inlineStr">
        <is>
          <t>Comum (Alto rendimento)</t>
        </is>
      </c>
      <c r="I199" s="115" t="inlineStr">
        <is>
          <t>Ingrediente de Amuleto do Mineiro Exausto (Acessório Tier 2)</t>
        </is>
      </c>
      <c r="K199" s="115" t="inlineStr">
        <is>
          <t>Lanterna quase sem óleo, carregada por quem trabalha na mina desde antes da marca aparecer.</t>
        </is>
      </c>
    </row>
    <row r="200">
      <c r="A200" s="115" t="n">
        <v>198</v>
      </c>
      <c r="B200" s="115" t="inlineStr">
        <is>
          <t>Tier 2</t>
        </is>
      </c>
      <c r="C200" s="115" t="inlineStr">
        <is>
          <t>Luva Rasgada de Mineiro Exausto</t>
        </is>
      </c>
      <c r="D200" s="115" t="inlineStr">
        <is>
          <t>Orgânico</t>
        </is>
      </c>
      <c r="E200" s="115" t="inlineStr">
        <is>
          <t>Mina de Bronze — dropado por monstro específico</t>
        </is>
      </c>
      <c r="F200" s="115" t="inlineStr">
        <is>
          <t>Loot de monstro (não coletável no mundo)</t>
        </is>
      </c>
      <c r="G200" s="115" t="inlineStr">
        <is>
          <t>—</t>
        </is>
      </c>
      <c r="H200" s="115" t="inlineStr">
        <is>
          <t>Comum (Alto rendimento)</t>
        </is>
      </c>
      <c r="I200" s="115" t="inlineStr">
        <is>
          <t>Ingrediente de Amuleto do Mineiro Exausto (Acessório Tier 2)</t>
        </is>
      </c>
      <c r="K200" s="115" t="inlineStr">
        <is>
          <t>Luva gasta nas pontas dos dedos, de tanto escavar sem parar.</t>
        </is>
      </c>
    </row>
    <row r="201">
      <c r="A201" s="115" t="n">
        <v>199</v>
      </c>
      <c r="B201" s="115" t="inlineStr">
        <is>
          <t>Tier 2</t>
        </is>
      </c>
      <c r="C201" s="115" t="inlineStr">
        <is>
          <t>Fio de Teia Fresca</t>
        </is>
      </c>
      <c r="D201" s="115" t="inlineStr">
        <is>
          <t>Orgânico</t>
        </is>
      </c>
      <c r="E201" s="115" t="inlineStr">
        <is>
          <t>Mina de Bronze — dropado por monstro específico</t>
        </is>
      </c>
      <c r="F201" s="115" t="inlineStr">
        <is>
          <t>Loot de monstro (não coletável no mundo)</t>
        </is>
      </c>
      <c r="G201" s="115" t="inlineStr">
        <is>
          <t>—</t>
        </is>
      </c>
      <c r="H201" s="115" t="inlineStr">
        <is>
          <t>Comum (Alto rendimento)</t>
        </is>
      </c>
      <c r="I201" s="115" t="inlineStr">
        <is>
          <t>Ingrediente de Amuleto da Teia Fresca (Acessório Tier 2)</t>
        </is>
      </c>
      <c r="K201" s="115" t="inlineStr">
        <is>
          <t>Fio de teia ainda úmido, tecido pelas ninhadas recém-nascidas da Matriarca.</t>
        </is>
      </c>
    </row>
    <row r="202">
      <c r="A202" s="115" t="n">
        <v>200</v>
      </c>
      <c r="B202" s="115" t="inlineStr">
        <is>
          <t>Tier 2</t>
        </is>
      </c>
      <c r="C202" s="115" t="inlineStr">
        <is>
          <t>Fio de Teia Fina</t>
        </is>
      </c>
      <c r="D202" s="115" t="inlineStr">
        <is>
          <t>Orgânico</t>
        </is>
      </c>
      <c r="E202" s="115" t="inlineStr">
        <is>
          <t>Mina de Bronze — dropado por monstro específico</t>
        </is>
      </c>
      <c r="F202" s="115" t="inlineStr">
        <is>
          <t>Loot de monstro (não coletável no mundo)</t>
        </is>
      </c>
      <c r="G202" s="115" t="inlineStr">
        <is>
          <t>—</t>
        </is>
      </c>
      <c r="H202" s="115" t="inlineStr">
        <is>
          <t>Comum (Médio rendimento)</t>
        </is>
      </c>
      <c r="I202" s="115" t="inlineStr">
        <is>
          <t>Ingrediente de Amuleto da Teia Fresca (Acessório Tier 2)</t>
        </is>
      </c>
      <c r="K202" s="115" t="inlineStr">
        <is>
          <t>Teia fina e frágil das aranhas mais jovens da colônia, ainda aprendendo a tecer.</t>
        </is>
      </c>
    </row>
    <row r="203">
      <c r="A203" s="115" t="n">
        <v>201</v>
      </c>
      <c r="B203" s="115" t="inlineStr">
        <is>
          <t>Tier 2</t>
        </is>
      </c>
      <c r="C203" s="115" t="inlineStr">
        <is>
          <t>Fio de Teia Grossa</t>
        </is>
      </c>
      <c r="D203" s="115" t="inlineStr">
        <is>
          <t>Orgânico</t>
        </is>
      </c>
      <c r="E203" s="115" t="inlineStr">
        <is>
          <t>Mina de Bronze — dropado por monstro específico</t>
        </is>
      </c>
      <c r="F203" s="115" t="inlineStr">
        <is>
          <t>Loot de monstro (não coletável no mundo)</t>
        </is>
      </c>
      <c r="G203" s="115" t="inlineStr">
        <is>
          <t>—</t>
        </is>
      </c>
      <c r="H203" s="115" t="inlineStr">
        <is>
          <t>Incomum (Médio rendimento)</t>
        </is>
      </c>
      <c r="I203" s="115" t="inlineStr">
        <is>
          <t>Ingrediente de Colar de Seda da Operária (Acessório Tier 2)</t>
        </is>
      </c>
      <c r="K203" s="115" t="inlineStr">
        <is>
          <t>Teia grossa e resistente, tecida pela Aranha Operária pra prender quem tenta fugir das galerias.</t>
        </is>
      </c>
    </row>
    <row r="204">
      <c r="A204" s="115" t="n">
        <v>202</v>
      </c>
      <c r="B204" s="115" t="inlineStr">
        <is>
          <t>Tier 2</t>
        </is>
      </c>
      <c r="C204" s="115" t="inlineStr">
        <is>
          <t>Glândula de Seda da Operária</t>
        </is>
      </c>
      <c r="D204" s="115" t="inlineStr">
        <is>
          <t>Orgânico / Material</t>
        </is>
      </c>
      <c r="E204" s="115" t="inlineStr">
        <is>
          <t>Mina de Bronze — dropado por monstro específico</t>
        </is>
      </c>
      <c r="F204" s="115" t="inlineStr">
        <is>
          <t>Loot de monstro (não coletável no mundo)</t>
        </is>
      </c>
      <c r="G204" s="115" t="inlineStr">
        <is>
          <t>—</t>
        </is>
      </c>
      <c r="H204" s="115" t="inlineStr">
        <is>
          <t>Incomum (Baixo rendimento)</t>
        </is>
      </c>
      <c r="I204" s="115" t="inlineStr">
        <is>
          <t>Ingrediente de Colar de Seda da Operária (Acessório Tier 2)</t>
        </is>
      </c>
      <c r="K204" s="115" t="inlineStr">
        <is>
          <t>Glândula produtora de seda, ainda pulsando fracamente quando extraída fresca.</t>
        </is>
      </c>
    </row>
    <row r="205">
      <c r="A205" s="115" t="n">
        <v>203</v>
      </c>
      <c r="B205" s="115" t="inlineStr">
        <is>
          <t>Tier 2</t>
        </is>
      </c>
      <c r="C205" s="115" t="inlineStr">
        <is>
          <t>Frasco de Gás Sulfuroso Condensado</t>
        </is>
      </c>
      <c r="D205" s="115" t="inlineStr">
        <is>
          <t>Orgânico / Material</t>
        </is>
      </c>
      <c r="E205" s="115" t="inlineStr">
        <is>
          <t>Mina de Bronze — dropado por monstro específico</t>
        </is>
      </c>
      <c r="F205" s="115" t="inlineStr">
        <is>
          <t>Loot de monstro (não coletável no mundo)</t>
        </is>
      </c>
      <c r="G205" s="115" t="inlineStr">
        <is>
          <t>—</t>
        </is>
      </c>
      <c r="H205" s="115" t="inlineStr">
        <is>
          <t>Incomum (Médio rendimento)</t>
        </is>
      </c>
      <c r="I205" s="115" t="inlineStr">
        <is>
          <t>Ingrediente de Máscara de Gás Improvisada (Acessório Tier 2)</t>
        </is>
      </c>
      <c r="K205" s="115" t="inlineStr">
        <is>
          <t>Gás amarelado engarrafado às pressas, ainda queima os olhos de quem chega perto.</t>
        </is>
      </c>
    </row>
    <row r="206">
      <c r="A206" s="115" t="n">
        <v>204</v>
      </c>
      <c r="B206" s="115" t="inlineStr">
        <is>
          <t>Tier 2</t>
        </is>
      </c>
      <c r="C206" s="115" t="inlineStr">
        <is>
          <t>Resíduo Amarelado da Nuvem</t>
        </is>
      </c>
      <c r="D206" s="115" t="inlineStr">
        <is>
          <t>Orgânico</t>
        </is>
      </c>
      <c r="E206" s="115" t="inlineStr">
        <is>
          <t>Mina de Bronze — dropado por monstro específico</t>
        </is>
      </c>
      <c r="F206" s="115" t="inlineStr">
        <is>
          <t>Loot de monstro (não coletável no mundo)</t>
        </is>
      </c>
      <c r="G206" s="115" t="inlineStr">
        <is>
          <t>—</t>
        </is>
      </c>
      <c r="H206" s="115" t="inlineStr">
        <is>
          <t>Comum (Médio rendimento)</t>
        </is>
      </c>
      <c r="I206" s="115" t="inlineStr">
        <is>
          <t>Ingrediente de Máscara de Gás Improvisada (Acessório Tier 2)</t>
        </is>
      </c>
      <c r="K206" s="115" t="inlineStr">
        <is>
          <t>Resíduo pegajoso deixado pela Nuvem de Gás Sulfuroso nas paredes do túnel fechado.</t>
        </is>
      </c>
    </row>
    <row r="207">
      <c r="A207" s="115" t="n">
        <v>205</v>
      </c>
      <c r="B207" s="115" t="inlineStr">
        <is>
          <t>Tier 2</t>
        </is>
      </c>
      <c r="C207" s="115" t="inlineStr">
        <is>
          <t>Mandíbula do Verme Perfurador</t>
        </is>
      </c>
      <c r="D207" s="115" t="inlineStr">
        <is>
          <t>Orgânico</t>
        </is>
      </c>
      <c r="E207" s="115" t="inlineStr">
        <is>
          <t>Mina de Bronze — dropado por monstro específico</t>
        </is>
      </c>
      <c r="F207" s="115" t="inlineStr">
        <is>
          <t>Loot de monstro (não coletável no mundo)</t>
        </is>
      </c>
      <c r="G207" s="115" t="inlineStr">
        <is>
          <t>—</t>
        </is>
      </c>
      <c r="H207" s="115" t="inlineStr">
        <is>
          <t>Comum (Médio rendimento)</t>
        </is>
      </c>
      <c r="I207" s="115" t="inlineStr">
        <is>
          <t>Ingrediente de Talismã do Verme Perfurador (Acessório Tier 2)</t>
        </is>
      </c>
      <c r="K207" s="115" t="inlineStr">
        <is>
          <t>Mandíbula rígida o bastante pra furar rocha mole sem quebrar.</t>
        </is>
      </c>
    </row>
    <row r="208">
      <c r="A208" s="115" t="n">
        <v>206</v>
      </c>
      <c r="B208" s="115" t="inlineStr">
        <is>
          <t>Tier 2</t>
        </is>
      </c>
      <c r="C208" s="115" t="inlineStr">
        <is>
          <t>Segmento Escamoso de Verme</t>
        </is>
      </c>
      <c r="D208" s="115" t="inlineStr">
        <is>
          <t>Orgânico</t>
        </is>
      </c>
      <c r="E208" s="115" t="inlineStr">
        <is>
          <t>Mina de Bronze — dropado por monstro específico</t>
        </is>
      </c>
      <c r="F208" s="115" t="inlineStr">
        <is>
          <t>Loot de monstro (não coletável no mundo)</t>
        </is>
      </c>
      <c r="G208" s="115" t="inlineStr">
        <is>
          <t>—</t>
        </is>
      </c>
      <c r="H208" s="115" t="inlineStr">
        <is>
          <t>Comum (Alto rendimento)</t>
        </is>
      </c>
      <c r="I208" s="115" t="inlineStr">
        <is>
          <t>Ingrediente de Talismã do Verme Perfurador (Acessório Tier 2)</t>
        </is>
      </c>
      <c r="K208" s="115" t="inlineStr">
        <is>
          <t>Pedaço do corpo segmentado do Verme Perfurador, coberto de escamas ásperas.</t>
        </is>
      </c>
    </row>
    <row r="209">
      <c r="A209" s="115" t="n">
        <v>207</v>
      </c>
      <c r="B209" s="115" t="inlineStr">
        <is>
          <t>Tier 2</t>
        </is>
      </c>
      <c r="C209" s="115" t="inlineStr">
        <is>
          <t>Corrente Enferrujada de Escravo da Rocha</t>
        </is>
      </c>
      <c r="D209" s="115" t="inlineStr">
        <is>
          <t>Orgânico / Material</t>
        </is>
      </c>
      <c r="E209" s="115" t="inlineStr">
        <is>
          <t>Mina de Bronze — dropado por monstro específico</t>
        </is>
      </c>
      <c r="F209" s="115" t="inlineStr">
        <is>
          <t>Loot de monstro (não coletável no mundo)</t>
        </is>
      </c>
      <c r="G209" s="115" t="inlineStr">
        <is>
          <t>—</t>
        </is>
      </c>
      <c r="H209" s="115" t="inlineStr">
        <is>
          <t>Comum (Médio rendimento)</t>
        </is>
      </c>
      <c r="I209" s="115" t="inlineStr">
        <is>
          <t>Ingrediente de Grilhão Partido (Acessório Tier 2)</t>
        </is>
      </c>
      <c r="K209" s="115" t="inlineStr">
        <is>
          <t>Corrente que prendia o Escravo da Rocha aos túneis mais baixos — a Guilda nunca a soltou.</t>
        </is>
      </c>
    </row>
    <row r="210">
      <c r="A210" s="115" t="n">
        <v>208</v>
      </c>
      <c r="B210" s="115" t="inlineStr">
        <is>
          <t>Tier 2</t>
        </is>
      </c>
      <c r="C210" s="115" t="inlineStr">
        <is>
          <t>Pano de Trabalho Forçado</t>
        </is>
      </c>
      <c r="D210" s="115" t="inlineStr">
        <is>
          <t>Orgânico</t>
        </is>
      </c>
      <c r="E210" s="115" t="inlineStr">
        <is>
          <t>Mina de Bronze — dropado por monstro específico</t>
        </is>
      </c>
      <c r="F210" s="115" t="inlineStr">
        <is>
          <t>Loot de monstro (não coletável no mundo)</t>
        </is>
      </c>
      <c r="G210" s="115" t="inlineStr">
        <is>
          <t>—</t>
        </is>
      </c>
      <c r="H210" s="115" t="inlineStr">
        <is>
          <t>Comum (Alto rendimento)</t>
        </is>
      </c>
      <c r="I210" s="115" t="inlineStr">
        <is>
          <t>Ingrediente de Grilhão Partido (Acessório Tier 2)</t>
        </is>
      </c>
      <c r="K210" s="115" t="inlineStr">
        <is>
          <t>Farrapo de uniforme de trabalho forçado, manchado de suor e poeira mineral.</t>
        </is>
      </c>
    </row>
    <row r="211">
      <c r="A211" s="115" t="n">
        <v>209</v>
      </c>
      <c r="B211" s="115" t="inlineStr">
        <is>
          <t>Tier 2</t>
        </is>
      </c>
      <c r="C211" s="115" t="inlineStr">
        <is>
          <t>Punhado de Poeira Viva</t>
        </is>
      </c>
      <c r="D211" s="115" t="inlineStr">
        <is>
          <t>Orgânico / Material</t>
        </is>
      </c>
      <c r="E211" s="115" t="inlineStr">
        <is>
          <t>Mina de Bronze — dropado por monstro específico</t>
        </is>
      </c>
      <c r="F211" s="115" t="inlineStr">
        <is>
          <t>Loot de monstro (não coletável no mundo)</t>
        </is>
      </c>
      <c r="G211" s="115" t="inlineStr">
        <is>
          <t>—</t>
        </is>
      </c>
      <c r="H211" s="115" t="inlineStr">
        <is>
          <t>Raro (Baixo rendimento)</t>
        </is>
      </c>
      <c r="I211" s="115" t="inlineStr">
        <is>
          <t>Ingrediente de Amuleto da Poeira Viva (Acessório Tier 2)</t>
        </is>
      </c>
      <c r="K211" s="115" t="inlineStr">
        <is>
          <t>Poeira mineral que se move sozinha, resultado de anos de mineração corrompida pelos vapores.</t>
        </is>
      </c>
    </row>
    <row r="212">
      <c r="A212" s="115" t="n">
        <v>210</v>
      </c>
      <c r="B212" s="115" t="inlineStr">
        <is>
          <t>Tier 2</t>
        </is>
      </c>
      <c r="C212" s="115" t="inlineStr">
        <is>
          <t>Cristal de Minério Consciente</t>
        </is>
      </c>
      <c r="D212" s="115" t="inlineStr">
        <is>
          <t>Orgânico / Material</t>
        </is>
      </c>
      <c r="E212" s="115" t="inlineStr">
        <is>
          <t>Mina de Bronze — dropado por monstro específico</t>
        </is>
      </c>
      <c r="F212" s="115" t="inlineStr">
        <is>
          <t>Loot de monstro (não coletável no mundo)</t>
        </is>
      </c>
      <c r="G212" s="115" t="inlineStr">
        <is>
          <t>—</t>
        </is>
      </c>
      <c r="H212" s="115" t="inlineStr">
        <is>
          <t>Raro (Baixo rendimento)</t>
        </is>
      </c>
      <c r="I212" s="115" t="inlineStr">
        <is>
          <t>Ingrediente de Amuleto da Poeira Viva (Acessório Tier 2)</t>
        </is>
      </c>
      <c r="K212" s="115" t="inlineStr">
        <is>
          <t>Fragmento cristalizado no centro da Poeira Viva de Minério — pulsa fracamente como se pensasse.</t>
        </is>
      </c>
    </row>
    <row r="213">
      <c r="A213" s="115" t="n">
        <v>211</v>
      </c>
      <c r="B213" s="115" t="inlineStr">
        <is>
          <t>Tier 2</t>
        </is>
      </c>
      <c r="C213" s="115" t="inlineStr">
        <is>
          <t>Presa de Aranha da Mina</t>
        </is>
      </c>
      <c r="D213" s="115" t="inlineStr">
        <is>
          <t>Orgânico</t>
        </is>
      </c>
      <c r="E213" s="115" t="inlineStr">
        <is>
          <t>Mina de Bronze — dropado por monstro específico</t>
        </is>
      </c>
      <c r="F213" s="115" t="inlineStr">
        <is>
          <t>Loot de monstro (não coletável no mundo)</t>
        </is>
      </c>
      <c r="G213" s="115" t="inlineStr">
        <is>
          <t>—</t>
        </is>
      </c>
      <c r="H213" s="115" t="inlineStr">
        <is>
          <t>Comum (Médio rendimento)</t>
        </is>
      </c>
      <c r="I213" s="115" t="inlineStr">
        <is>
          <t>Ingrediente de Presa Cravejada da Mina (Acessório Tier 2)</t>
        </is>
      </c>
      <c r="K213" s="115" t="inlineStr">
        <is>
          <t>Presa endurecida pelos vapores de minério de bronze contaminado que baixam pelos túneis.</t>
        </is>
      </c>
    </row>
    <row r="214">
      <c r="A214" s="115" t="n">
        <v>212</v>
      </c>
      <c r="B214" s="115" t="inlineStr">
        <is>
          <t>Tier 2</t>
        </is>
      </c>
      <c r="C214" s="115" t="inlineStr">
        <is>
          <t>Veneno Coagulado de Aranha Pútrida</t>
        </is>
      </c>
      <c r="D214" s="115" t="inlineStr">
        <is>
          <t>Orgânico / Material</t>
        </is>
      </c>
      <c r="E214" s="115" t="inlineStr">
        <is>
          <t>Mina de Bronze — dropado por monstro específico</t>
        </is>
      </c>
      <c r="F214" s="115" t="inlineStr">
        <is>
          <t>Loot de monstro (não coletável no mundo)</t>
        </is>
      </c>
      <c r="G214" s="115" t="inlineStr">
        <is>
          <t>—</t>
        </is>
      </c>
      <c r="H214" s="115" t="inlineStr">
        <is>
          <t>Incomum (Baixo rendimento)</t>
        </is>
      </c>
      <c r="I214" s="115" t="inlineStr">
        <is>
          <t>Ingrediente de Presa Cravejada da Mina (Acessório Tier 2)</t>
        </is>
      </c>
      <c r="K214" s="115" t="inlineStr">
        <is>
          <t>Veneno espesso que a Aranha Pútrida carrega — comeu carne infectada demais até o próprio corpo virar isso.</t>
        </is>
      </c>
    </row>
    <row r="215">
      <c r="A215" s="115" t="n">
        <v>213</v>
      </c>
      <c r="B215" s="115" t="inlineStr">
        <is>
          <t>Tier 2</t>
        </is>
      </c>
      <c r="C215" s="115" t="inlineStr">
        <is>
          <t>Baba Sulfurosa de Verme</t>
        </is>
      </c>
      <c r="D215" s="115" t="inlineStr">
        <is>
          <t>Orgânico</t>
        </is>
      </c>
      <c r="E215" s="115" t="inlineStr">
        <is>
          <t>Mina de Bronze — dropado por monstro específico</t>
        </is>
      </c>
      <c r="F215" s="115" t="inlineStr">
        <is>
          <t>Loot de monstro (não coletável no mundo)</t>
        </is>
      </c>
      <c r="G215" s="115" t="inlineStr">
        <is>
          <t>—</t>
        </is>
      </c>
      <c r="H215" s="115" t="inlineStr">
        <is>
          <t>Comum (Médio rendimento)</t>
        </is>
      </c>
      <c r="I215" s="115" t="inlineStr">
        <is>
          <t>Ingrediente de Vial da Baba Sulfurosa (Acessório Tier 2)</t>
        </is>
      </c>
      <c r="K215" s="115" t="inlineStr">
        <is>
          <t>Baba corrosiva do Verme Sulfuroso, a mesma que corrói os suportes de madeira da mina.</t>
        </is>
      </c>
    </row>
    <row r="216">
      <c r="A216" s="115" t="n">
        <v>214</v>
      </c>
      <c r="B216" s="115" t="inlineStr">
        <is>
          <t>Tier 2</t>
        </is>
      </c>
      <c r="C216" s="115" t="inlineStr">
        <is>
          <t>Presa Necrófaga de Verme Carniceiro</t>
        </is>
      </c>
      <c r="D216" s="115" t="inlineStr">
        <is>
          <t>Orgânico</t>
        </is>
      </c>
      <c r="E216" s="115" t="inlineStr">
        <is>
          <t>Mina de Bronze — dropado por monstro específico</t>
        </is>
      </c>
      <c r="F216" s="115" t="inlineStr">
        <is>
          <t>Loot de monstro (não coletável no mundo)</t>
        </is>
      </c>
      <c r="G216" s="115" t="inlineStr">
        <is>
          <t>—</t>
        </is>
      </c>
      <c r="H216" s="115" t="inlineStr">
        <is>
          <t>Comum (Alto rendimento)</t>
        </is>
      </c>
      <c r="I216" s="115" t="inlineStr">
        <is>
          <t>Ingrediente de Vial da Baba Sulfurosa (Acessório Tier 2)</t>
        </is>
      </c>
      <c r="K216" s="115" t="inlineStr">
        <is>
          <t>Presa do Verme Carniceiro, que só aparece onde alguém já não sobreviveu à mina.</t>
        </is>
      </c>
    </row>
    <row r="217">
      <c r="A217" s="115" t="n">
        <v>215</v>
      </c>
      <c r="B217" s="115" t="inlineStr">
        <is>
          <t>Tier 2</t>
        </is>
      </c>
      <c r="C217" s="115" t="inlineStr">
        <is>
          <t>Chicote Encardido do Carrasco da Cota</t>
        </is>
      </c>
      <c r="D217" s="115" t="inlineStr">
        <is>
          <t>Orgânico / Material</t>
        </is>
      </c>
      <c r="E217" s="115" t="inlineStr">
        <is>
          <t>Mina de Bronze — dropado por monstro específico</t>
        </is>
      </c>
      <c r="F217" s="115" t="inlineStr">
        <is>
          <t>Loot de monstro (não coletável no mundo)</t>
        </is>
      </c>
      <c r="G217" s="115" t="inlineStr">
        <is>
          <t>—</t>
        </is>
      </c>
      <c r="H217" s="115" t="inlineStr">
        <is>
          <t>Comum (Médio rendimento)</t>
        </is>
      </c>
      <c r="I217" s="115" t="inlineStr">
        <is>
          <t>Ingrediente de Chicote Requisitado (Acessório Tier 2)</t>
        </is>
      </c>
      <c r="K217" s="115" t="inlineStr">
        <is>
          <t>Chicote usado pelo Carrasco da Cota pra punir quem não rende o suficiente no dia.</t>
        </is>
      </c>
    </row>
    <row r="218">
      <c r="A218" s="115" t="n">
        <v>216</v>
      </c>
      <c r="B218" s="115" t="inlineStr">
        <is>
          <t>Tier 2</t>
        </is>
      </c>
      <c r="C218" s="115" t="inlineStr">
        <is>
          <t>Insígnia da Cota</t>
        </is>
      </c>
      <c r="D218" s="115" t="inlineStr">
        <is>
          <t>Orgânico / Material</t>
        </is>
      </c>
      <c r="E218" s="115" t="inlineStr">
        <is>
          <t>Mina de Bronze — dropado por monstro específico</t>
        </is>
      </c>
      <c r="F218" s="115" t="inlineStr">
        <is>
          <t>Loot de monstro (não coletável no mundo)</t>
        </is>
      </c>
      <c r="G218" s="115" t="inlineStr">
        <is>
          <t>—</t>
        </is>
      </c>
      <c r="H218" s="115" t="inlineStr">
        <is>
          <t>Incomum (Baixo rendimento)</t>
        </is>
      </c>
      <c r="I218" s="115" t="inlineStr">
        <is>
          <t>Ingrediente de Chicote Requisitado (Acessório Tier 2)</t>
        </is>
      </c>
      <c r="K218" s="115" t="inlineStr">
        <is>
          <t>Distintivo de bronze que marca a autoridade (pequena) do Carrasco da Cota sobre os mineiros.</t>
        </is>
      </c>
    </row>
    <row r="219">
      <c r="A219" s="115" t="n">
        <v>217</v>
      </c>
      <c r="B219" s="115" t="inlineStr">
        <is>
          <t>Tier 2</t>
        </is>
      </c>
      <c r="C219" s="115" t="inlineStr">
        <is>
          <t>Cabo Animado de Picareta Selvagem</t>
        </is>
      </c>
      <c r="D219" s="115" t="inlineStr">
        <is>
          <t>Orgânico / Material</t>
        </is>
      </c>
      <c r="E219" s="115" t="inlineStr">
        <is>
          <t>Mina de Bronze — dropado por monstro específico</t>
        </is>
      </c>
      <c r="F219" s="115" t="inlineStr">
        <is>
          <t>Loot de monstro (não coletável no mundo)</t>
        </is>
      </c>
      <c r="G219" s="115" t="inlineStr">
        <is>
          <t>—</t>
        </is>
      </c>
      <c r="H219" s="115" t="inlineStr">
        <is>
          <t>Comum (Médio rendimento)</t>
        </is>
      </c>
      <c r="I219" s="115" t="inlineStr">
        <is>
          <t>Ingrediente de Amuleto da Picareta Selvagem (Acessório Tier 2)</t>
        </is>
      </c>
      <c r="K219" s="115" t="inlineStr">
        <is>
          <t>Cabo de madeira que continua se movendo mesmo separado da lâmina — a Infecção não larga o objeto.</t>
        </is>
      </c>
    </row>
    <row r="220">
      <c r="A220" s="115" t="n">
        <v>218</v>
      </c>
      <c r="B220" s="115" t="inlineStr">
        <is>
          <t>Tier 2</t>
        </is>
      </c>
      <c r="C220" s="115" t="inlineStr">
        <is>
          <t>Lâmina Corroída de Picareta Selvagem</t>
        </is>
      </c>
      <c r="D220" s="115" t="inlineStr">
        <is>
          <t>Orgânico / Material</t>
        </is>
      </c>
      <c r="E220" s="115" t="inlineStr">
        <is>
          <t>Mina de Bronze — dropado por monstro específico</t>
        </is>
      </c>
      <c r="F220" s="115" t="inlineStr">
        <is>
          <t>Loot de monstro (não coletável no mundo)</t>
        </is>
      </c>
      <c r="G220" s="115" t="inlineStr">
        <is>
          <t>—</t>
        </is>
      </c>
      <c r="H220" s="115" t="inlineStr">
        <is>
          <t>Comum (Médio rendimento)</t>
        </is>
      </c>
      <c r="I220" s="115" t="inlineStr">
        <is>
          <t>Ingrediente de Amuleto da Picareta Selvagem (Acessório Tier 2)</t>
        </is>
      </c>
      <c r="K220" s="115" t="inlineStr">
        <is>
          <t>Lâmina de picareta abandonada, corroída pelos vapores da mina até ganhar vontade própria.</t>
        </is>
      </c>
    </row>
    <row r="221">
      <c r="A221" s="115" t="n">
        <v>219</v>
      </c>
      <c r="B221" s="115" t="inlineStr">
        <is>
          <t>Tier 2</t>
        </is>
      </c>
      <c r="C221" s="115" t="inlineStr">
        <is>
          <t>Bolsa de Imposto da Guilda</t>
        </is>
      </c>
      <c r="D221" s="115" t="inlineStr">
        <is>
          <t>Orgânico / Material</t>
        </is>
      </c>
      <c r="E221" s="115" t="inlineStr">
        <is>
          <t>Mina de Bronze — dropado por monstro específico</t>
        </is>
      </c>
      <c r="F221" s="115" t="inlineStr">
        <is>
          <t>Loot de monstro (não coletável no mundo)</t>
        </is>
      </c>
      <c r="G221" s="115" t="inlineStr">
        <is>
          <t>—</t>
        </is>
      </c>
      <c r="H221" s="115" t="inlineStr">
        <is>
          <t>Comum (Alto rendimento)</t>
        </is>
      </c>
      <c r="I221" s="115" t="inlineStr">
        <is>
          <t>Ingrediente de Bolsa de Imposto Recuperada (Acessório Tier 2)</t>
        </is>
      </c>
      <c r="K221" s="115" t="inlineStr">
        <is>
          <t>Bolsa cheia de moedas cobradas à força pelo Guilda-Batedor, mesmo de quem não devia nada.</t>
        </is>
      </c>
    </row>
    <row r="222">
      <c r="A222" s="115" t="n">
        <v>220</v>
      </c>
      <c r="B222" s="115" t="inlineStr">
        <is>
          <t>Tier 2</t>
        </is>
      </c>
      <c r="C222" s="115" t="inlineStr">
        <is>
          <t>Adaga Curta de Cobrador</t>
        </is>
      </c>
      <c r="D222" s="115" t="inlineStr">
        <is>
          <t>Orgânico / Material</t>
        </is>
      </c>
      <c r="E222" s="115" t="inlineStr">
        <is>
          <t>Mina de Bronze — dropado por monstro específico</t>
        </is>
      </c>
      <c r="F222" s="115" t="inlineStr">
        <is>
          <t>Loot de monstro (não coletável no mundo)</t>
        </is>
      </c>
      <c r="G222" s="115" t="inlineStr">
        <is>
          <t>—</t>
        </is>
      </c>
      <c r="H222" s="115" t="inlineStr">
        <is>
          <t>Comum (Médio rendimento)</t>
        </is>
      </c>
      <c r="I222" s="115" t="inlineStr">
        <is>
          <t>Ingrediente de Bolsa de Imposto Recuperada (Acessório Tier 2)</t>
        </is>
      </c>
      <c r="K222" s="115" t="inlineStr">
        <is>
          <t>Adaga curta usada pelos cobradores da Guilda dos Picaretas Negros pra 'convencer' devedores.</t>
        </is>
      </c>
    </row>
    <row r="223">
      <c r="A223" s="115" t="n">
        <v>221</v>
      </c>
      <c r="B223" s="115" t="inlineStr">
        <is>
          <t>Tier 2</t>
        </is>
      </c>
      <c r="C223" s="115" t="inlineStr">
        <is>
          <t>Coleira da Guilda dos Picaretas Negros</t>
        </is>
      </c>
      <c r="D223" s="115" t="inlineStr">
        <is>
          <t>Orgânico / Material</t>
        </is>
      </c>
      <c r="E223" s="115" t="inlineStr">
        <is>
          <t>Mina de Bronze — dropado por monstro específico</t>
        </is>
      </c>
      <c r="F223" s="115" t="inlineStr">
        <is>
          <t>Loot de monstro (não coletável no mundo)</t>
        </is>
      </c>
      <c r="G223" s="115" t="inlineStr">
        <is>
          <t>—</t>
        </is>
      </c>
      <c r="H223" s="115" t="inlineStr">
        <is>
          <t>Comum (Médio rendimento)</t>
        </is>
      </c>
      <c r="I223" s="115" t="inlineStr">
        <is>
          <t>Ingrediente de Coleira Quebrada da Guilda (Acessório Tier 2)</t>
        </is>
      </c>
      <c r="K223" s="115" t="inlineStr">
        <is>
          <t>Coleira de couro com o selo da Guilda, usada pra treinar os cães de guarda dos veios mais ricos.</t>
        </is>
      </c>
    </row>
    <row r="224">
      <c r="A224" s="115" t="n">
        <v>222</v>
      </c>
      <c r="B224" s="115" t="inlineStr">
        <is>
          <t>Tier 2</t>
        </is>
      </c>
      <c r="C224" s="115" t="inlineStr">
        <is>
          <t>Presa de Cão de Guarda da Guilda</t>
        </is>
      </c>
      <c r="D224" s="115" t="inlineStr">
        <is>
          <t>Orgânico</t>
        </is>
      </c>
      <c r="E224" s="115" t="inlineStr">
        <is>
          <t>Mina de Bronze — dropado por monstro específico</t>
        </is>
      </c>
      <c r="F224" s="115" t="inlineStr">
        <is>
          <t>Loot de monstro (não coletável no mundo)</t>
        </is>
      </c>
      <c r="G224" s="115" t="inlineStr">
        <is>
          <t>—</t>
        </is>
      </c>
      <c r="H224" s="115" t="inlineStr">
        <is>
          <t>Comum (Alto rendimento)</t>
        </is>
      </c>
      <c r="I224" s="115" t="inlineStr">
        <is>
          <t>Ingrediente de Coleira Quebrada da Guilda (Acessório Tier 2)</t>
        </is>
      </c>
      <c r="K224" s="115" t="inlineStr">
        <is>
          <t>Presa do cão de guarda oficial da Guilda, treinado pra vigiar o que interessa ao Barão.</t>
        </is>
      </c>
    </row>
    <row r="225">
      <c r="A225" s="115" t="n">
        <v>223</v>
      </c>
      <c r="B225" s="115" t="inlineStr">
        <is>
          <t>Tier 2</t>
        </is>
      </c>
      <c r="C225" s="115" t="inlineStr">
        <is>
          <t>Garra Silenciosa de Aranha Caçadora</t>
        </is>
      </c>
      <c r="D225" s="115" t="inlineStr">
        <is>
          <t>Orgânico</t>
        </is>
      </c>
      <c r="E225" s="115" t="inlineStr">
        <is>
          <t>Mina de Bronze — dropado por monstro específico</t>
        </is>
      </c>
      <c r="F225" s="115" t="inlineStr">
        <is>
          <t>Loot de monstro (não coletável no mundo)</t>
        </is>
      </c>
      <c r="G225" s="115" t="inlineStr">
        <is>
          <t>—</t>
        </is>
      </c>
      <c r="H225" s="115" t="inlineStr">
        <is>
          <t>Incomum (Médio rendimento)</t>
        </is>
      </c>
      <c r="I225" s="115" t="inlineStr">
        <is>
          <t>Ingrediente de Garra Silenciosa (Acessório Tier 2)</t>
        </is>
      </c>
      <c r="K225" s="115" t="inlineStr">
        <is>
          <t>Garra da Aranha Caçadora, que espreita nas mesmas galerias onde a Operária tece — perfeita pra emboscadas.</t>
        </is>
      </c>
    </row>
    <row r="226">
      <c r="A226" s="115" t="n">
        <v>224</v>
      </c>
      <c r="B226" s="115" t="inlineStr">
        <is>
          <t>Tier 2</t>
        </is>
      </c>
      <c r="C226" s="115" t="inlineStr">
        <is>
          <t>Distintivo Endividado de Mineiro Grimm</t>
        </is>
      </c>
      <c r="D226" s="115" t="inlineStr">
        <is>
          <t>Orgânico / Material</t>
        </is>
      </c>
      <c r="E226" s="115" t="inlineStr">
        <is>
          <t>Mina de Bronze — dropado por monstro específico</t>
        </is>
      </c>
      <c r="F226" s="115" t="inlineStr">
        <is>
          <t>Loot de monstro (não coletável no mundo)</t>
        </is>
      </c>
      <c r="G226" s="115" t="inlineStr">
        <is>
          <t>—</t>
        </is>
      </c>
      <c r="H226" s="115" t="inlineStr">
        <is>
          <t>Incomum (Médio rendimento)</t>
        </is>
      </c>
      <c r="I226" s="115" t="inlineStr">
        <is>
          <t>Ingrediente de Garra Silenciosa (Acessório Tier 2)</t>
        </is>
      </c>
      <c r="K226" s="115" t="inlineStr">
        <is>
          <t>Distintivo de dívida do Mineiro Grimm — trabalhador endividado, forçado a defender a cota. Vítima armada, não vilão.</t>
        </is>
      </c>
    </row>
    <row r="227">
      <c r="A227" s="115" t="n">
        <v>225</v>
      </c>
      <c r="B227" s="115" t="inlineStr">
        <is>
          <t>Tier 2</t>
        </is>
      </c>
      <c r="C227" s="115" t="inlineStr">
        <is>
          <t>Fragmento de Fechadura da Armadilha da Guilda</t>
        </is>
      </c>
      <c r="D227" s="115" t="inlineStr">
        <is>
          <t>Troféu de Monstro</t>
        </is>
      </c>
      <c r="E227" s="115" t="inlineStr">
        <is>
          <t>Loot de Veio de Minério Falso (Elite)</t>
        </is>
      </c>
      <c r="F227" s="115" t="inlineStr">
        <is>
          <t>Loot de monstro (não coletável no mundo)</t>
        </is>
      </c>
      <c r="G227" s="115" t="inlineStr">
        <is>
          <t>—</t>
        </is>
      </c>
      <c r="H227" s="115" t="inlineStr">
        <is>
          <t>Incomum (Baixo rendimento)</t>
        </is>
      </c>
      <c r="I227" s="115" t="inlineStr">
        <is>
          <t>Ingrediente de Fechadura Falsa Reaproveitada (Acessório Tier 2)</t>
        </is>
      </c>
      <c r="J227" s="115" t="n">
        <v>15</v>
      </c>
      <c r="K227" s="115" t="inlineStr">
        <is>
          <t>Mecanismo da armadilha que a Guilda plantou no veio mais rico da mina, pra pegar quem rouba sem pagar imposto.</t>
        </is>
      </c>
      <c r="M227" s="115" t="inlineStr">
        <is>
          <t>🐾</t>
        </is>
      </c>
    </row>
    <row r="228">
      <c r="A228" s="115" t="n">
        <v>226</v>
      </c>
      <c r="B228" s="115" t="inlineStr">
        <is>
          <t>Tier 2</t>
        </is>
      </c>
      <c r="C228" s="115" t="inlineStr">
        <is>
          <t>Pelagem Dourada de Rato-Dourado</t>
        </is>
      </c>
      <c r="D228" s="115" t="inlineStr">
        <is>
          <t>Troféu de Monstro</t>
        </is>
      </c>
      <c r="E228" s="115" t="inlineStr">
        <is>
          <t>Loot de Rato-Dourado da Mina (Elite)</t>
        </is>
      </c>
      <c r="F228" s="115" t="inlineStr">
        <is>
          <t>Loot de monstro (não coletável no mundo)</t>
        </is>
      </c>
      <c r="G228" s="115" t="inlineStr">
        <is>
          <t>—</t>
        </is>
      </c>
      <c r="H228" s="115" t="inlineStr">
        <is>
          <t>Incomum (Baixo rendimento)</t>
        </is>
      </c>
      <c r="I228" s="115" t="inlineStr">
        <is>
          <t>Ingrediente de Amuleto do Rato-Dourado (Acessório Tier 2)</t>
        </is>
      </c>
      <c r="J228" s="115" t="n">
        <v>15</v>
      </c>
      <c r="K228" s="115" t="inlineStr">
        <is>
          <t>Pelagem que brilha por dentro — o Rato-Dourado come poeira de minério há gerações.</t>
        </is>
      </c>
      <c r="M228" s="115" t="inlineStr">
        <is>
          <t>🐾</t>
        </is>
      </c>
    </row>
    <row r="229">
      <c r="A229" s="115" t="n">
        <v>227</v>
      </c>
      <c r="B229" s="115" t="inlineStr">
        <is>
          <t>Tier 2</t>
        </is>
      </c>
      <c r="C229" s="115" t="inlineStr">
        <is>
          <t>Bolsa de Poeira Reluzente</t>
        </is>
      </c>
      <c r="D229" s="115" t="inlineStr">
        <is>
          <t>Troféu de Monstro</t>
        </is>
      </c>
      <c r="E229" s="115" t="inlineStr">
        <is>
          <t>Loot de Rato-Dourado da Mina (Elite)</t>
        </is>
      </c>
      <c r="F229" s="115" t="inlineStr">
        <is>
          <t>Loot de monstro (não coletável no mundo)</t>
        </is>
      </c>
      <c r="G229" s="115" t="inlineStr">
        <is>
          <t>—</t>
        </is>
      </c>
      <c r="H229" s="115" t="inlineStr">
        <is>
          <t>Raro (Baixo rendimento)</t>
        </is>
      </c>
      <c r="I229" s="115" t="inlineStr">
        <is>
          <t>Ingrediente de Amuleto do Rato-Dourado (Acessório Tier 2)</t>
        </is>
      </c>
      <c r="J229" s="115" t="n">
        <v>15</v>
      </c>
      <c r="K229" s="115" t="inlineStr">
        <is>
          <t>Bolsa cheia da poeira reluzente que o Rato-Dourado carrega escondida na toca.</t>
        </is>
      </c>
      <c r="M229" s="115" t="inlineStr">
        <is>
          <t>🐾</t>
        </is>
      </c>
    </row>
    <row r="230">
      <c r="A230" s="115" t="n">
        <v>228</v>
      </c>
      <c r="B230" s="115" t="inlineStr">
        <is>
          <t>Tier 2</t>
        </is>
      </c>
      <c r="C230" s="115" t="inlineStr">
        <is>
          <t>Fragmento de Contramestre Enlouquecido</t>
        </is>
      </c>
      <c r="D230" s="115" t="inlineStr">
        <is>
          <t>Troféu de Monstro</t>
        </is>
      </c>
      <c r="E230" s="115" t="inlineStr">
        <is>
          <t>Loot de Contramestre Enlouquecido (Elite)</t>
        </is>
      </c>
      <c r="F230" s="115" t="inlineStr">
        <is>
          <t>Loot de monstro (não coletável no mundo)</t>
        </is>
      </c>
      <c r="G230" s="115" t="inlineStr">
        <is>
          <t>—</t>
        </is>
      </c>
      <c r="H230" s="115" t="inlineStr">
        <is>
          <t>Incomum (Baixo rendimento)</t>
        </is>
      </c>
      <c r="I230" s="115" t="inlineStr">
        <is>
          <t>Ingrediente de Amuleto do Contramestre (Acessório Tier 2)</t>
        </is>
      </c>
      <c r="J230" s="115" t="n">
        <v>15</v>
      </c>
      <c r="K230" s="115" t="inlineStr">
        <is>
          <t>Parte física do Contramestre Enlouquecido, guardada por quem sabe seu valor.</t>
        </is>
      </c>
      <c r="M230" s="115" t="inlineStr">
        <is>
          <t>🐾</t>
        </is>
      </c>
    </row>
    <row r="231">
      <c r="A231" s="115" t="n">
        <v>229</v>
      </c>
      <c r="B231" s="115" t="inlineStr">
        <is>
          <t>Tier 2</t>
        </is>
      </c>
      <c r="C231" s="115" t="inlineStr">
        <is>
          <t>Corda Arrebentada da Enforca</t>
        </is>
      </c>
      <c r="D231" s="115" t="inlineStr">
        <is>
          <t>Troféu de Monstro</t>
        </is>
      </c>
      <c r="E231" s="115" t="inlineStr">
        <is>
          <t>Loot de Contramestre Enlouquecido (Elite)</t>
        </is>
      </c>
      <c r="F231" s="115" t="inlineStr">
        <is>
          <t>Loot de monstro (não coletável no mundo)</t>
        </is>
      </c>
      <c r="G231" s="115" t="inlineStr">
        <is>
          <t>—</t>
        </is>
      </c>
      <c r="H231" s="115" t="inlineStr">
        <is>
          <t>Comum (Médio rendimento)</t>
        </is>
      </c>
      <c r="I231" s="115" t="inlineStr">
        <is>
          <t>Ingrediente de Amuleto do Contramestre (Acessório Tier 2)</t>
        </is>
      </c>
      <c r="J231" s="115" t="n">
        <v>15</v>
      </c>
      <c r="K231" s="115" t="inlineStr">
        <is>
          <t>Corda usada por Capataz Enforcado que o Contramestre guarda como lembrete macabro da própria cota.</t>
        </is>
      </c>
      <c r="M231" s="115" t="inlineStr">
        <is>
          <t>🐾</t>
        </is>
      </c>
    </row>
    <row r="232">
      <c r="A232" s="115" t="n">
        <v>230</v>
      </c>
      <c r="B232" s="115" t="inlineStr">
        <is>
          <t>Tier 2</t>
        </is>
      </c>
      <c r="C232" s="115" t="inlineStr">
        <is>
          <t>Fragmento de Supervisor Ferido</t>
        </is>
      </c>
      <c r="D232" s="115" t="inlineStr">
        <is>
          <t>Troféu de Monstro</t>
        </is>
      </c>
      <c r="E232" s="115" t="inlineStr">
        <is>
          <t>Loot de Supervisor Ferido (Elite)</t>
        </is>
      </c>
      <c r="F232" s="115" t="inlineStr">
        <is>
          <t>Loot de monstro (não coletável no mundo)</t>
        </is>
      </c>
      <c r="G232" s="115" t="inlineStr">
        <is>
          <t>—</t>
        </is>
      </c>
      <c r="H232" s="115" t="inlineStr">
        <is>
          <t>Incomum (Baixo rendimento)</t>
        </is>
      </c>
      <c r="I232" s="115" t="inlineStr">
        <is>
          <t>Ingrediente de Bandagem do Supervisor (Acessório Tier 2)</t>
        </is>
      </c>
      <c r="J232" s="115" t="n">
        <v>15</v>
      </c>
      <c r="K232" s="115" t="inlineStr">
        <is>
          <t>Parte física do Supervisor Ferido, guardada por quem sabe seu valor.</t>
        </is>
      </c>
      <c r="M232" s="115" t="inlineStr">
        <is>
          <t>🐾</t>
        </is>
      </c>
    </row>
    <row r="233">
      <c r="A233" s="115" t="n">
        <v>231</v>
      </c>
      <c r="B233" s="115" t="inlineStr">
        <is>
          <t>Tier 2</t>
        </is>
      </c>
      <c r="C233" s="115" t="inlineStr">
        <is>
          <t>Bandagem Suja do Supervisor</t>
        </is>
      </c>
      <c r="D233" s="115" t="inlineStr">
        <is>
          <t>Troféu de Monstro</t>
        </is>
      </c>
      <c r="E233" s="115" t="inlineStr">
        <is>
          <t>Loot de Supervisor Ferido (Elite)</t>
        </is>
      </c>
      <c r="F233" s="115" t="inlineStr">
        <is>
          <t>Loot de monstro (não coletável no mundo)</t>
        </is>
      </c>
      <c r="G233" s="115" t="inlineStr">
        <is>
          <t>—</t>
        </is>
      </c>
      <c r="H233" s="115" t="inlineStr">
        <is>
          <t>Comum (Médio rendimento)</t>
        </is>
      </c>
      <c r="I233" s="115" t="inlineStr">
        <is>
          <t>Ingrediente de Bandagem do Supervisor (Acessório Tier 2)</t>
        </is>
      </c>
      <c r="J233" s="115" t="n">
        <v>15</v>
      </c>
      <c r="K233" s="115" t="inlineStr">
        <is>
          <t>Bandagem do capataz que sobreviveu ao desabamento de Kessa — ficou pior depois, nunca tirou o curativo.</t>
        </is>
      </c>
      <c r="M233" s="115" t="inlineStr">
        <is>
          <t>🐾</t>
        </is>
      </c>
    </row>
    <row r="234">
      <c r="A234" s="115" t="n">
        <v>232</v>
      </c>
      <c r="B234" s="115" t="inlineStr">
        <is>
          <t>Tier 2</t>
        </is>
      </c>
      <c r="C234" s="115" t="inlineStr">
        <is>
          <t>Glândula de Névoa de Aranha da Névoa</t>
        </is>
      </c>
      <c r="D234" s="115" t="inlineStr">
        <is>
          <t>Troféu de Monstro</t>
        </is>
      </c>
      <c r="E234" s="115" t="inlineStr">
        <is>
          <t>Loot de Aranha da Névoa (Elite)</t>
        </is>
      </c>
      <c r="F234" s="115" t="inlineStr">
        <is>
          <t>Loot de monstro (não coletável no mundo)</t>
        </is>
      </c>
      <c r="G234" s="115" t="inlineStr">
        <is>
          <t>—</t>
        </is>
      </c>
      <c r="H234" s="115" t="inlineStr">
        <is>
          <t>Incomum (Baixo rendimento)</t>
        </is>
      </c>
      <c r="I234" s="115" t="inlineStr">
        <is>
          <t>Ingrediente de Véu da Névoa (Acessório Tier 2)</t>
        </is>
      </c>
      <c r="J234" s="115" t="n">
        <v>15</v>
      </c>
      <c r="K234" s="115" t="inlineStr">
        <is>
          <t>Glândula que solta a névoa das bolsas de gás dos túneis baixos — a névoa é parte dela.</t>
        </is>
      </c>
      <c r="M234" s="115" t="inlineStr">
        <is>
          <t>🐾</t>
        </is>
      </c>
    </row>
    <row r="235">
      <c r="A235" s="115" t="n">
        <v>233</v>
      </c>
      <c r="B235" s="115" t="inlineStr">
        <is>
          <t>Tier 2</t>
        </is>
      </c>
      <c r="C235" s="115" t="inlineStr">
        <is>
          <t>Fragmento da Sobrevivente do Desabamento</t>
        </is>
      </c>
      <c r="D235" s="115" t="inlineStr">
        <is>
          <t>Troféu de Monstro</t>
        </is>
      </c>
      <c r="E235" s="115" t="inlineStr">
        <is>
          <t>Loot de Kessa, a Sobrevivente do Desabamento (Nomeado) (Elite)</t>
        </is>
      </c>
      <c r="F235" s="115" t="inlineStr">
        <is>
          <t>Loot de monstro (não coletável no mundo)</t>
        </is>
      </c>
      <c r="G235" s="115" t="inlineStr">
        <is>
          <t>—</t>
        </is>
      </c>
      <c r="H235" s="115" t="inlineStr">
        <is>
          <t>Raro (Baixo rendimento - Elite Nomeado)</t>
        </is>
      </c>
      <c r="I235" s="115" t="inlineStr">
        <is>
          <t>Ingrediente de Broche da Sobrevivente (Acessório Tier 2)</t>
        </is>
      </c>
      <c r="J235" s="115" t="n">
        <v>20</v>
      </c>
      <c r="K235" s="115" t="inlineStr">
        <is>
          <t>Parte física de Kessa, guardada só se ela for derrotada em vez de poupada — ela ficou 6 dias presa sob os escombros.</t>
        </is>
      </c>
      <c r="M235" s="115" t="inlineStr">
        <is>
          <t>🐾</t>
        </is>
      </c>
    </row>
    <row r="236">
      <c r="A236" s="115" t="n">
        <v>234</v>
      </c>
      <c r="B236" s="115" t="inlineStr">
        <is>
          <t>Tier 3</t>
        </is>
      </c>
      <c r="C236" s="115" t="inlineStr">
        <is>
          <t>Armadura Fundida ao Osso</t>
        </is>
      </c>
      <c r="D236" s="115" t="inlineStr">
        <is>
          <t>Orgânico / Material</t>
        </is>
      </c>
      <c r="E236" s="115" t="inlineStr">
        <is>
          <t>Ruínas da Antiga Forja — dropado por monstro específico</t>
        </is>
      </c>
      <c r="F236" s="115" t="inlineStr">
        <is>
          <t>Loot de monstro (não coletável no mundo)</t>
        </is>
      </c>
      <c r="G236" s="115" t="inlineStr">
        <is>
          <t>—</t>
        </is>
      </c>
      <c r="H236" s="115" t="inlineStr">
        <is>
          <t>Comum (Médio rendimento)</t>
        </is>
      </c>
      <c r="I236" s="115" t="inlineStr">
        <is>
          <t>Ingrediente de Peitoral Remendado da Muralha (Acessório Tier 3)</t>
        </is>
      </c>
      <c r="K236" s="115" t="inlineStr">
        <is>
          <t>Placas de armadura que se fundiram ao osso do Esqueleto Enferrujado antes mesmo da carne apodrecer.</t>
        </is>
      </c>
    </row>
    <row r="237">
      <c r="A237" s="115" t="n">
        <v>235</v>
      </c>
      <c r="B237" s="115" t="inlineStr">
        <is>
          <t>Tier 3</t>
        </is>
      </c>
      <c r="C237" s="115" t="inlineStr">
        <is>
          <t>Pão Roubado do Acólito</t>
        </is>
      </c>
      <c r="D237" s="115" t="inlineStr">
        <is>
          <t>Orgânico</t>
        </is>
      </c>
      <c r="E237" s="115" t="inlineStr">
        <is>
          <t>Ruínas da Antiga Forja — dropado por monstro específico</t>
        </is>
      </c>
      <c r="F237" s="115" t="inlineStr">
        <is>
          <t>Loot de monstro (não coletável no mundo)</t>
        </is>
      </c>
      <c r="G237" s="115" t="inlineStr">
        <is>
          <t>—</t>
        </is>
      </c>
      <c r="H237" s="115" t="inlineStr">
        <is>
          <t>Comum (Alto rendimento)</t>
        </is>
      </c>
      <c r="I237" s="115" t="inlineStr">
        <is>
          <t>Ingrediente de Amuleto do Acólito Arrependido (Acessório Tier 3)</t>
        </is>
      </c>
      <c r="K237" s="115" t="inlineStr">
        <is>
          <t>Pedaço de pão duro que o Acólito do Ferro carregava — entrou no culto por fome, não por fé.</t>
        </is>
      </c>
    </row>
    <row r="238">
      <c r="A238" s="115" t="n">
        <v>236</v>
      </c>
      <c r="B238" s="115" t="inlineStr">
        <is>
          <t>Tier 3</t>
        </is>
      </c>
      <c r="C238" s="115" t="inlineStr">
        <is>
          <t>Casulo de Ferrugem Viva</t>
        </is>
      </c>
      <c r="D238" s="115" t="inlineStr">
        <is>
          <t>Orgânico / Material</t>
        </is>
      </c>
      <c r="E238" s="115" t="inlineStr">
        <is>
          <t>Ruínas da Antiga Forja — dropado por monstro específico</t>
        </is>
      </c>
      <c r="F238" s="115" t="inlineStr">
        <is>
          <t>Loot de monstro (não coletável no mundo)</t>
        </is>
      </c>
      <c r="G238" s="115" t="inlineStr">
        <is>
          <t>—</t>
        </is>
      </c>
      <c r="H238" s="115" t="inlineStr">
        <is>
          <t>Incomum (Médio rendimento)</t>
        </is>
      </c>
      <c r="I238" s="115" t="inlineStr">
        <is>
          <t>Ingrediente de Amuleto da Engrenagem Torta (Acessório Tier 3)</t>
        </is>
      </c>
      <c r="K238" s="115" t="inlineStr">
        <is>
          <t>Casulo de óxido que cresce nas juntas dos golens, se alimentando do próprio metal que os anima.</t>
        </is>
      </c>
    </row>
    <row r="239">
      <c r="A239" s="115" t="n">
        <v>237</v>
      </c>
      <c r="B239" s="115" t="inlineStr">
        <is>
          <t>Tier 3</t>
        </is>
      </c>
      <c r="C239" s="115" t="inlineStr">
        <is>
          <t>Óxido Animado</t>
        </is>
      </c>
      <c r="D239" s="115" t="inlineStr">
        <is>
          <t>Orgânico / Material</t>
        </is>
      </c>
      <c r="E239" s="115" t="inlineStr">
        <is>
          <t>Ruínas da Antiga Forja — dropado por monstro específico</t>
        </is>
      </c>
      <c r="F239" s="115" t="inlineStr">
        <is>
          <t>Loot de monstro (não coletável no mundo)</t>
        </is>
      </c>
      <c r="G239" s="115" t="inlineStr">
        <is>
          <t>—</t>
        </is>
      </c>
      <c r="H239" s="115" t="inlineStr">
        <is>
          <t>Incomum (Baixo rendimento)</t>
        </is>
      </c>
      <c r="I239" s="115" t="inlineStr">
        <is>
          <t>Ingrediente de Broche do Culto Corrompido (Acessório Tier 3)</t>
        </is>
      </c>
      <c r="K239" s="115" t="inlineStr">
        <is>
          <t>Ferrugem que se move sozinha, resíduo direto da Ferrugem Viva.</t>
        </is>
      </c>
    </row>
    <row r="240">
      <c r="A240" s="115" t="n">
        <v>238</v>
      </c>
      <c r="B240" s="115" t="inlineStr">
        <is>
          <t>Tier 3</t>
        </is>
      </c>
      <c r="C240" s="115" t="inlineStr">
        <is>
          <t>Placa Enferrujada de Guardião</t>
        </is>
      </c>
      <c r="D240" s="115" t="inlineStr">
        <is>
          <t>Orgânico / Material</t>
        </is>
      </c>
      <c r="E240" s="115" t="inlineStr">
        <is>
          <t>Ruínas da Antiga Forja — dropado por monstro específico</t>
        </is>
      </c>
      <c r="F240" s="115" t="inlineStr">
        <is>
          <t>Loot de monstro (não coletável no mundo)</t>
        </is>
      </c>
      <c r="G240" s="115" t="inlineStr">
        <is>
          <t>—</t>
        </is>
      </c>
      <c r="H240" s="115" t="inlineStr">
        <is>
          <t>Comum (Médio rendimento)</t>
        </is>
      </c>
      <c r="I240" s="115" t="inlineStr">
        <is>
          <t>Ingrediente de Peitoral Remendado da Muralha (Acessório Tier 3)</t>
        </is>
      </c>
      <c r="K240" s="115" t="inlineStr">
        <is>
          <t>Placa da estátua de guarda que a Infecção fez andar de novo, postada na muralha externa.</t>
        </is>
      </c>
    </row>
    <row r="241">
      <c r="A241" s="115" t="n">
        <v>239</v>
      </c>
      <c r="B241" s="115" t="inlineStr">
        <is>
          <t>Tier 3</t>
        </is>
      </c>
      <c r="C241" s="115" t="inlineStr">
        <is>
          <t>Elmo Fundido de Guardião</t>
        </is>
      </c>
      <c r="D241" s="115" t="inlineStr">
        <is>
          <t>Orgânico / Material</t>
        </is>
      </c>
      <c r="E241" s="115" t="inlineStr">
        <is>
          <t>Ruínas da Antiga Forja — dropado por monstro específico</t>
        </is>
      </c>
      <c r="F241" s="115" t="inlineStr">
        <is>
          <t>Loot de monstro (não coletável no mundo)</t>
        </is>
      </c>
      <c r="G241" s="115" t="inlineStr">
        <is>
          <t>—</t>
        </is>
      </c>
      <c r="H241" s="115" t="inlineStr">
        <is>
          <t>Comum (Médio rendimento)</t>
        </is>
      </c>
      <c r="I241" s="115" t="inlineStr">
        <is>
          <t>Ingrediente de Elmo dos Ossos Soltos (Acessório Tier 3)</t>
        </is>
      </c>
      <c r="K241" s="115" t="inlineStr">
        <is>
          <t>Elmo soldado à cabeça do Guardião Enferrujado, séculos de ferrugem já parte da própria estátua.</t>
        </is>
      </c>
    </row>
    <row r="242">
      <c r="A242" s="115" t="n">
        <v>240</v>
      </c>
      <c r="B242" s="115" t="inlineStr">
        <is>
          <t>Tier 3</t>
        </is>
      </c>
      <c r="C242" s="115" t="inlineStr">
        <is>
          <t>Arco de Osso Frágil</t>
        </is>
      </c>
      <c r="D242" s="115" t="inlineStr">
        <is>
          <t>Orgânico</t>
        </is>
      </c>
      <c r="E242" s="115" t="inlineStr">
        <is>
          <t>Ruínas da Antiga Forja — dropado por monstro específico</t>
        </is>
      </c>
      <c r="F242" s="115" t="inlineStr">
        <is>
          <t>Loot de monstro (não coletável no mundo)</t>
        </is>
      </c>
      <c r="G242" s="115" t="inlineStr">
        <is>
          <t>—</t>
        </is>
      </c>
      <c r="H242" s="115" t="inlineStr">
        <is>
          <t>Comum (Médio rendimento)</t>
        </is>
      </c>
      <c r="I242" s="115" t="inlineStr">
        <is>
          <t>Ingrediente de Arco de Osso Reforçado (Acessório Tier 3)</t>
        </is>
      </c>
      <c r="K242" s="115" t="inlineStr">
        <is>
          <t>Arco talhado em osso, usado pelo Esqueleto Arqueiro que ainda guarda a antiga forja após séculos.</t>
        </is>
      </c>
    </row>
    <row r="243">
      <c r="A243" s="115" t="n">
        <v>241</v>
      </c>
      <c r="B243" s="115" t="inlineStr">
        <is>
          <t>Tier 3</t>
        </is>
      </c>
      <c r="C243" s="115" t="inlineStr">
        <is>
          <t>Flecha Enferrujada de Esqueleto</t>
        </is>
      </c>
      <c r="D243" s="115" t="inlineStr">
        <is>
          <t>Orgânico / Material</t>
        </is>
      </c>
      <c r="E243" s="115" t="inlineStr">
        <is>
          <t>Ruínas da Antiga Forja — dropado por monstro específico</t>
        </is>
      </c>
      <c r="F243" s="115" t="inlineStr">
        <is>
          <t>Loot de monstro (não coletável no mundo)</t>
        </is>
      </c>
      <c r="G243" s="115" t="inlineStr">
        <is>
          <t>—</t>
        </is>
      </c>
      <c r="H243" s="115" t="inlineStr">
        <is>
          <t>Comum (Alto rendimento)</t>
        </is>
      </c>
      <c r="I243" s="115" t="inlineStr">
        <is>
          <t>Ingrediente de Arco de Osso Reforçado (Acessório Tier 3)</t>
        </is>
      </c>
      <c r="K243" s="115" t="inlineStr">
        <is>
          <t>Flecha enferrujada retirada da aljava do Esqueleto Arqueiro, ainda afiada o bastante.</t>
        </is>
      </c>
    </row>
    <row r="244">
      <c r="A244" s="115" t="n">
        <v>242</v>
      </c>
      <c r="B244" s="115" t="inlineStr">
        <is>
          <t>Tier 3</t>
        </is>
      </c>
      <c r="C244" s="115" t="inlineStr">
        <is>
          <t>Feixe de Ossos Remontados</t>
        </is>
      </c>
      <c r="D244" s="115" t="inlineStr">
        <is>
          <t>Orgânico</t>
        </is>
      </c>
      <c r="E244" s="115" t="inlineStr">
        <is>
          <t>Ruínas da Antiga Forja — dropado por monstro específico</t>
        </is>
      </c>
      <c r="F244" s="115" t="inlineStr">
        <is>
          <t>Loot de monstro (não coletável no mundo)</t>
        </is>
      </c>
      <c r="G244" s="115" t="inlineStr">
        <is>
          <t>—</t>
        </is>
      </c>
      <c r="H244" s="115" t="inlineStr">
        <is>
          <t>Comum (Alto rendimento)</t>
        </is>
      </c>
      <c r="I244" s="115" t="inlineStr">
        <is>
          <t>Ingrediente de Elmo dos Ossos Soltos (Acessório Tier 3)</t>
        </is>
      </c>
      <c r="K244" s="115" t="inlineStr">
        <is>
          <t>Fragmentos soltos de vários esqueletos, remontados errado pela Infecção nos Ossos Errantes.</t>
        </is>
      </c>
    </row>
    <row r="245">
      <c r="A245" s="115" t="n">
        <v>243</v>
      </c>
      <c r="B245" s="115" t="inlineStr">
        <is>
          <t>Tier 3</t>
        </is>
      </c>
      <c r="C245" s="115" t="inlineStr">
        <is>
          <t>Resíduo Espectral de Guarda Menor</t>
        </is>
      </c>
      <c r="D245" s="115" t="inlineStr">
        <is>
          <t>Orgânico / Material</t>
        </is>
      </c>
      <c r="E245" s="115" t="inlineStr">
        <is>
          <t>Ruínas da Antiga Forja — dropado por monstro específico</t>
        </is>
      </c>
      <c r="F245" s="115" t="inlineStr">
        <is>
          <t>Loot de monstro (não coletável no mundo)</t>
        </is>
      </c>
      <c r="G245" s="115" t="inlineStr">
        <is>
          <t>—</t>
        </is>
      </c>
      <c r="H245" s="115" t="inlineStr">
        <is>
          <t>Incomum (Médio rendimento)</t>
        </is>
      </c>
      <c r="I245" s="115" t="inlineStr">
        <is>
          <t>Ingrediente de Manto Espectral Menor (Acessório Tier 3)</t>
        </is>
      </c>
      <c r="K245" s="115" t="inlineStr">
        <is>
          <t>Resíduo da Guarda Espectral Menor, sobra de guardas que morreram no primeiro cerco à forja.</t>
        </is>
      </c>
    </row>
    <row r="246">
      <c r="A246" s="115" t="n">
        <v>244</v>
      </c>
      <c r="B246" s="115" t="inlineStr">
        <is>
          <t>Tier 3</t>
        </is>
      </c>
      <c r="C246" s="115" t="inlineStr">
        <is>
          <t>Fragmento de Armadura Espectral</t>
        </is>
      </c>
      <c r="D246" s="115" t="inlineStr">
        <is>
          <t>Orgânico / Material</t>
        </is>
      </c>
      <c r="E246" s="115" t="inlineStr">
        <is>
          <t>Ruínas da Antiga Forja — dropado por monstro específico</t>
        </is>
      </c>
      <c r="F246" s="115" t="inlineStr">
        <is>
          <t>Loot de monstro (não coletável no mundo)</t>
        </is>
      </c>
      <c r="G246" s="115" t="inlineStr">
        <is>
          <t>—</t>
        </is>
      </c>
      <c r="H246" s="115" t="inlineStr">
        <is>
          <t>Incomum (Baixo rendimento)</t>
        </is>
      </c>
      <c r="I246" s="115" t="inlineStr">
        <is>
          <t>Ingrediente de Manto Espectral Menor (Acessório Tier 3)</t>
        </is>
      </c>
      <c r="K246" s="115" t="inlineStr">
        <is>
          <t>Fragmento de armadura translúcida, parte do que sobrou da guarda que morreu no cerco.</t>
        </is>
      </c>
    </row>
    <row r="247">
      <c r="A247" s="115" t="n">
        <v>245</v>
      </c>
      <c r="B247" s="115" t="inlineStr">
        <is>
          <t>Tier 3</t>
        </is>
      </c>
      <c r="C247" s="115" t="inlineStr">
        <is>
          <t>Capuz Encardido de Batedor</t>
        </is>
      </c>
      <c r="D247" s="115" t="inlineStr">
        <is>
          <t>Orgânico</t>
        </is>
      </c>
      <c r="E247" s="115" t="inlineStr">
        <is>
          <t>Ruínas da Antiga Forja — dropado por monstro específico</t>
        </is>
      </c>
      <c r="F247" s="115" t="inlineStr">
        <is>
          <t>Loot de monstro (não coletável no mundo)</t>
        </is>
      </c>
      <c r="G247" s="115" t="inlineStr">
        <is>
          <t>—</t>
        </is>
      </c>
      <c r="H247" s="115" t="inlineStr">
        <is>
          <t>Comum (Médio rendimento)</t>
        </is>
      </c>
      <c r="I247" s="115" t="inlineStr">
        <is>
          <t>Ingrediente de Capuz do Batedor (Acessório Tier 3)</t>
        </is>
      </c>
      <c r="K247" s="115" t="inlineStr">
        <is>
          <t>Capuz do Salteador Batedor, usado pra vigiar as ruínas de longe e avisar o resto do bando.</t>
        </is>
      </c>
    </row>
    <row r="248">
      <c r="A248" s="115" t="n">
        <v>246</v>
      </c>
      <c r="B248" s="115" t="inlineStr">
        <is>
          <t>Tier 3</t>
        </is>
      </c>
      <c r="C248" s="115" t="inlineStr">
        <is>
          <t>Corda de Vigia</t>
        </is>
      </c>
      <c r="D248" s="115" t="inlineStr">
        <is>
          <t>Orgânico / Material</t>
        </is>
      </c>
      <c r="E248" s="115" t="inlineStr">
        <is>
          <t>Ruínas da Antiga Forja — dropado por monstro específico</t>
        </is>
      </c>
      <c r="F248" s="115" t="inlineStr">
        <is>
          <t>Loot de monstro (não coletável no mundo)</t>
        </is>
      </c>
      <c r="G248" s="115" t="inlineStr">
        <is>
          <t>—</t>
        </is>
      </c>
      <c r="H248" s="115" t="inlineStr">
        <is>
          <t>Comum (Médio rendimento)</t>
        </is>
      </c>
      <c r="I248" s="115" t="inlineStr">
        <is>
          <t>Ingrediente de Capuz do Batedor (Acessório Tier 3)</t>
        </is>
      </c>
      <c r="K248" s="115" t="inlineStr">
        <is>
          <t>Corda usada pelo Salteador Batedor pra escalar e vigiar de pontos altos das ruínas.</t>
        </is>
      </c>
    </row>
    <row r="249">
      <c r="A249" s="115" t="n">
        <v>247</v>
      </c>
      <c r="B249" s="115" t="inlineStr">
        <is>
          <t>Tier 3</t>
        </is>
      </c>
      <c r="C249" s="115" t="inlineStr">
        <is>
          <t>Martelo Etéreo do Ferreiro Original</t>
        </is>
      </c>
      <c r="D249" s="115" t="inlineStr">
        <is>
          <t>Orgânico / Material</t>
        </is>
      </c>
      <c r="E249" s="115" t="inlineStr">
        <is>
          <t>Ruínas da Antiga Forja — dropado por monstro específico</t>
        </is>
      </c>
      <c r="F249" s="115" t="inlineStr">
        <is>
          <t>Loot de monstro (não coletável no mundo)</t>
        </is>
      </c>
      <c r="G249" s="115" t="inlineStr">
        <is>
          <t>—</t>
        </is>
      </c>
      <c r="H249" s="115" t="inlineStr">
        <is>
          <t>Raro (Baixo rendimento)</t>
        </is>
      </c>
      <c r="I249" s="115" t="inlineStr">
        <is>
          <t>Ingrediente de Martelo do Aprendiz Abençoado (Acessório Tier 3)</t>
        </is>
      </c>
      <c r="K249" s="115" t="inlineStr">
        <is>
          <t>Martelo semi-etéreo do primeiro ferreiro da forja, morto antes mesmo da Infecção chegar.</t>
        </is>
      </c>
    </row>
    <row r="250">
      <c r="A250" s="115" t="n">
        <v>248</v>
      </c>
      <c r="B250" s="115" t="inlineStr">
        <is>
          <t>Tier 3</t>
        </is>
      </c>
      <c r="C250" s="115" t="inlineStr">
        <is>
          <t>Fagulha do Primeiro Forjador</t>
        </is>
      </c>
      <c r="D250" s="115" t="inlineStr">
        <is>
          <t>Orgânico / Material</t>
        </is>
      </c>
      <c r="E250" s="115" t="inlineStr">
        <is>
          <t>Ruínas da Antiga Forja — dropado por monstro específico</t>
        </is>
      </c>
      <c r="F250" s="115" t="inlineStr">
        <is>
          <t>Loot de monstro (não coletável no mundo)</t>
        </is>
      </c>
      <c r="G250" s="115" t="inlineStr">
        <is>
          <t>—</t>
        </is>
      </c>
      <c r="H250" s="115" t="inlineStr">
        <is>
          <t>Raro (Baixo rendimento)</t>
        </is>
      </c>
      <c r="I250" s="115" t="inlineStr">
        <is>
          <t>Ingrediente de Fagulha da Primeira Forja (Acessório Tier 3)</t>
        </is>
      </c>
      <c r="K250" s="115" t="inlineStr">
        <is>
          <t>Fagulha que ainda salta da bigorna onde o Espírito do Ferreiro Original trabalha, décadas depois de morto.</t>
        </is>
      </c>
    </row>
    <row r="251">
      <c r="A251" s="115" t="n">
        <v>249</v>
      </c>
      <c r="B251" s="115" t="inlineStr">
        <is>
          <t>Tier 3</t>
        </is>
      </c>
      <c r="C251" s="115" t="inlineStr">
        <is>
          <t>Osso Desconjuntado</t>
        </is>
      </c>
      <c r="D251" s="115" t="inlineStr">
        <is>
          <t>Orgânico</t>
        </is>
      </c>
      <c r="E251" s="115" t="inlineStr">
        <is>
          <t>Ruínas da Antiga Forja — dropado por monstro específico</t>
        </is>
      </c>
      <c r="F251" s="115" t="inlineStr">
        <is>
          <t>Loot de monstro (não coletável no mundo)</t>
        </is>
      </c>
      <c r="G251" s="115" t="inlineStr">
        <is>
          <t>—</t>
        </is>
      </c>
      <c r="H251" s="115" t="inlineStr">
        <is>
          <t>Comum (Alto rendimento)</t>
        </is>
      </c>
      <c r="I251" s="115" t="inlineStr">
        <is>
          <t>Ingrediente de Amuleto da Sombra Menor (Acessório Tier 3)</t>
        </is>
      </c>
      <c r="K251" s="115" t="inlineStr">
        <is>
          <t>Osso solto do Esqueleto Recém-Erguido, que ainda não recuperou a coordenação de quando vivo.</t>
        </is>
      </c>
    </row>
    <row r="252">
      <c r="A252" s="115" t="n">
        <v>250</v>
      </c>
      <c r="B252" s="115" t="inlineStr">
        <is>
          <t>Tier 3</t>
        </is>
      </c>
      <c r="C252" s="115" t="inlineStr">
        <is>
          <t>Resíduo Espectral de Sombra Menor</t>
        </is>
      </c>
      <c r="D252" s="115" t="inlineStr">
        <is>
          <t>Orgânico / Material</t>
        </is>
      </c>
      <c r="E252" s="115" t="inlineStr">
        <is>
          <t>Ruínas da Antiga Forja — dropado por monstro específico</t>
        </is>
      </c>
      <c r="F252" s="115" t="inlineStr">
        <is>
          <t>Loot de monstro (não coletável no mundo)</t>
        </is>
      </c>
      <c r="G252" s="115" t="inlineStr">
        <is>
          <t>—</t>
        </is>
      </c>
      <c r="H252" s="115" t="inlineStr">
        <is>
          <t>Incomum (Médio rendimento)</t>
        </is>
      </c>
      <c r="I252" s="115" t="inlineStr">
        <is>
          <t>Ingrediente de Amuleto da Sombra Menor (Acessório Tier 3)</t>
        </is>
      </c>
      <c r="K252" s="115" t="inlineStr">
        <is>
          <t>Fragmento pequeno da Guarda Espectral Menor, condensado na Sombra da Guarda Menor.</t>
        </is>
      </c>
    </row>
    <row r="253">
      <c r="A253" s="115" t="n">
        <v>251</v>
      </c>
      <c r="B253" s="115" t="inlineStr">
        <is>
          <t>Tier 3</t>
        </is>
      </c>
      <c r="C253" s="115" t="inlineStr">
        <is>
          <t>Capa Encardida de Salteador</t>
        </is>
      </c>
      <c r="D253" s="115" t="inlineStr">
        <is>
          <t>Orgânico</t>
        </is>
      </c>
      <c r="E253" s="115" t="inlineStr">
        <is>
          <t>Ruínas da Antiga Forja — dropado por monstro específico</t>
        </is>
      </c>
      <c r="F253" s="115" t="inlineStr">
        <is>
          <t>Loot de monstro (não coletável no mundo)</t>
        </is>
      </c>
      <c r="G253" s="115" t="inlineStr">
        <is>
          <t>—</t>
        </is>
      </c>
      <c r="H253" s="115" t="inlineStr">
        <is>
          <t>Comum (Médio rendimento)</t>
        </is>
      </c>
      <c r="I253" s="115" t="inlineStr">
        <is>
          <t>Ingrediente de Capa do Salteador Encapuzado (Acessório Tier 3)</t>
        </is>
      </c>
      <c r="K253" s="115" t="inlineStr">
        <is>
          <t>Capa do Salteador Encapuzado, sobrevivente que decidiu que roubar era mais seguro que confiar em qualquer autoridade.</t>
        </is>
      </c>
    </row>
    <row r="254">
      <c r="A254" s="115" t="n">
        <v>252</v>
      </c>
      <c r="B254" s="115" t="inlineStr">
        <is>
          <t>Tier 3</t>
        </is>
      </c>
      <c r="C254" s="115" t="inlineStr">
        <is>
          <t>Cinto de Cargas do Zelote Fanático</t>
        </is>
      </c>
      <c r="D254" s="115" t="inlineStr">
        <is>
          <t>Orgânico / Material</t>
        </is>
      </c>
      <c r="E254" s="115" t="inlineStr">
        <is>
          <t>Ruínas da Antiga Forja — dropado por monstro específico</t>
        </is>
      </c>
      <c r="F254" s="115" t="inlineStr">
        <is>
          <t>Loot de monstro (não coletável no mundo)</t>
        </is>
      </c>
      <c r="G254" s="115" t="inlineStr">
        <is>
          <t>—</t>
        </is>
      </c>
      <c r="H254" s="115" t="inlineStr">
        <is>
          <t>Incomum (Médio rendimento)</t>
        </is>
      </c>
      <c r="I254" s="115" t="inlineStr">
        <is>
          <t>Ingrediente de Talismã do Nascido na Forja (Acessório Tier 3)</t>
        </is>
      </c>
      <c r="K254" s="115" t="inlineStr">
        <is>
          <t>Cinto cheio de cargas explosivas do Zelote Fanático, pronto pro sacrifício em nome do Ferro.</t>
        </is>
      </c>
    </row>
    <row r="255">
      <c r="A255" s="115" t="n">
        <v>253</v>
      </c>
      <c r="B255" s="115" t="inlineStr">
        <is>
          <t>Tier 3</t>
        </is>
      </c>
      <c r="C255" s="115" t="inlineStr">
        <is>
          <t>Fragmento de Ferro Ritual</t>
        </is>
      </c>
      <c r="D255" s="115" t="inlineStr">
        <is>
          <t>Orgânico / Material</t>
        </is>
      </c>
      <c r="E255" s="115" t="inlineStr">
        <is>
          <t>Ruínas da Antiga Forja — dropado por monstro específico</t>
        </is>
      </c>
      <c r="F255" s="115" t="inlineStr">
        <is>
          <t>Loot de monstro (não coletável no mundo)</t>
        </is>
      </c>
      <c r="G255" s="115" t="inlineStr">
        <is>
          <t>—</t>
        </is>
      </c>
      <c r="H255" s="115" t="inlineStr">
        <is>
          <t>Incomum (Baixo rendimento)</t>
        </is>
      </c>
      <c r="I255" s="115" t="inlineStr">
        <is>
          <t>Ingrediente de Talismã do Nascido na Forja (Acessório Tier 3)</t>
        </is>
      </c>
      <c r="K255" s="115" t="inlineStr">
        <is>
          <t>Fragmento de ferro forjado em ritual pelo culto, retirado do Zelote Fanático.</t>
        </is>
      </c>
    </row>
    <row r="256">
      <c r="A256" s="115" t="n">
        <v>254</v>
      </c>
      <c r="B256" s="115" t="inlineStr">
        <is>
          <t>Tier 3</t>
        </is>
      </c>
      <c r="C256" s="115" t="inlineStr">
        <is>
          <t>Saco de Relíquias Menores</t>
        </is>
      </c>
      <c r="D256" s="115" t="inlineStr">
        <is>
          <t>Orgânico / Material</t>
        </is>
      </c>
      <c r="E256" s="115" t="inlineStr">
        <is>
          <t>Ruínas da Antiga Forja — dropado por monstro específico</t>
        </is>
      </c>
      <c r="F256" s="115" t="inlineStr">
        <is>
          <t>Loot de monstro (não coletável no mundo)</t>
        </is>
      </c>
      <c r="G256" s="115" t="inlineStr">
        <is>
          <t>—</t>
        </is>
      </c>
      <c r="H256" s="115" t="inlineStr">
        <is>
          <t>Comum (Médio rendimento)</t>
        </is>
      </c>
      <c r="I256" s="115" t="inlineStr">
        <is>
          <t>Ingrediente de Capa do Salteador Encapuzado (Acessório Tier 3)</t>
        </is>
      </c>
      <c r="K256" s="115" t="inlineStr">
        <is>
          <t>Saco cheio do que o Ladrão de Relíquias ainda conseguiu saquear antes da Guilda levar tudo.</t>
        </is>
      </c>
    </row>
    <row r="257">
      <c r="A257" s="115" t="n">
        <v>255</v>
      </c>
      <c r="B257" s="115" t="inlineStr">
        <is>
          <t>Tier 3</t>
        </is>
      </c>
      <c r="C257" s="115" t="inlineStr">
        <is>
          <t>Gazua Enferrujada</t>
        </is>
      </c>
      <c r="D257" s="115" t="inlineStr">
        <is>
          <t>Orgânico / Material</t>
        </is>
      </c>
      <c r="E257" s="115" t="inlineStr">
        <is>
          <t>Ruínas da Antiga Forja — dropado por monstro específico</t>
        </is>
      </c>
      <c r="F257" s="115" t="inlineStr">
        <is>
          <t>Loot de monstro (não coletável no mundo)</t>
        </is>
      </c>
      <c r="G257" s="115" t="inlineStr">
        <is>
          <t>—</t>
        </is>
      </c>
      <c r="H257" s="115" t="inlineStr">
        <is>
          <t>Comum (Médio rendimento)</t>
        </is>
      </c>
      <c r="I257" s="115" t="inlineStr">
        <is>
          <t>Ingrediente de Cinto do Ladrão de Relíquias (Acessório Tier 3)</t>
        </is>
      </c>
      <c r="K257" s="115" t="inlineStr">
        <is>
          <t>Gazua enferrujada do Ladrão de Relíquias, usada em toda porta trancada das ruínas.</t>
        </is>
      </c>
    </row>
    <row r="258">
      <c r="A258" s="115" t="n">
        <v>256</v>
      </c>
      <c r="B258" s="115" t="inlineStr">
        <is>
          <t>Tier 3</t>
        </is>
      </c>
      <c r="C258" s="115" t="inlineStr">
        <is>
          <t>Placa de Ferro do Golem Menor</t>
        </is>
      </c>
      <c r="D258" s="115" t="inlineStr">
        <is>
          <t>Orgânico / Material</t>
        </is>
      </c>
      <c r="E258" s="115" t="inlineStr">
        <is>
          <t>Ruínas da Antiga Forja — dropado por monstro específico</t>
        </is>
      </c>
      <c r="F258" s="115" t="inlineStr">
        <is>
          <t>Loot de monstro (não coletável no mundo)</t>
        </is>
      </c>
      <c r="G258" s="115" t="inlineStr">
        <is>
          <t>—</t>
        </is>
      </c>
      <c r="H258" s="115" t="inlineStr">
        <is>
          <t>Comum (Médio rendimento)</t>
        </is>
      </c>
      <c r="I258" s="115" t="inlineStr">
        <is>
          <t>Ingrediente de Fagulha da Primeira Forja (Acessório Tier 3)</t>
        </is>
      </c>
      <c r="K258" s="115" t="inlineStr">
        <is>
          <t>Placa de ferro do Golem Menor, fragmento funcional ainda ativo do golem maior da fundição.</t>
        </is>
      </c>
    </row>
    <row r="259">
      <c r="A259" s="115" t="n">
        <v>257</v>
      </c>
      <c r="B259" s="115" t="inlineStr">
        <is>
          <t>Tier 3</t>
        </is>
      </c>
      <c r="C259" s="115" t="inlineStr">
        <is>
          <t>Núcleo Instável Menor</t>
        </is>
      </c>
      <c r="D259" s="115" t="inlineStr">
        <is>
          <t>Orgânico / Material</t>
        </is>
      </c>
      <c r="E259" s="115" t="inlineStr">
        <is>
          <t>Ruínas da Antiga Forja — dropado por monstro específico</t>
        </is>
      </c>
      <c r="F259" s="115" t="inlineStr">
        <is>
          <t>Loot de monstro (não coletável no mundo)</t>
        </is>
      </c>
      <c r="G259" s="115" t="inlineStr">
        <is>
          <t>—</t>
        </is>
      </c>
      <c r="H259" s="115" t="inlineStr">
        <is>
          <t>Incomum (Baixo rendimento)</t>
        </is>
      </c>
      <c r="I259" s="115" t="inlineStr">
        <is>
          <t>Ingrediente de Amuleto do Núcleo Instável (Acessório Tier 3)</t>
        </is>
      </c>
      <c r="K259" s="115" t="inlineStr">
        <is>
          <t>Núcleo pequeno e instável retirado do Golem Menor de Ferro, ainda pulsando fracamente.</t>
        </is>
      </c>
    </row>
    <row r="260">
      <c r="A260" s="115" t="n">
        <v>258</v>
      </c>
      <c r="B260" s="115" t="inlineStr">
        <is>
          <t>Tier 3</t>
        </is>
      </c>
      <c r="C260" s="115" t="inlineStr">
        <is>
          <t>Marca de Nascença em Ferro</t>
        </is>
      </c>
      <c r="D260" s="115" t="inlineStr">
        <is>
          <t>Orgânico / Material</t>
        </is>
      </c>
      <c r="E260" s="115" t="inlineStr">
        <is>
          <t>Ruínas da Antiga Forja — dropado por monstro específico</t>
        </is>
      </c>
      <c r="F260" s="115" t="inlineStr">
        <is>
          <t>Loot de monstro (não coletável no mundo)</t>
        </is>
      </c>
      <c r="G260" s="115" t="inlineStr">
        <is>
          <t>—</t>
        </is>
      </c>
      <c r="H260" s="115" t="inlineStr">
        <is>
          <t>Raro (Baixo rendimento)</t>
        </is>
      </c>
      <c r="I260" s="115" t="inlineStr">
        <is>
          <t>Ingrediente de Talismã do Nascido na Forja (Acessório Tier 3)</t>
        </is>
      </c>
      <c r="K260" s="115" t="inlineStr">
        <is>
          <t>Marca de ferro gravada na pele do Zelote Nascido na Forja desde o primeiro choro.</t>
        </is>
      </c>
    </row>
    <row r="261">
      <c r="A261" s="115" t="n">
        <v>259</v>
      </c>
      <c r="B261" s="115" t="inlineStr">
        <is>
          <t>Tier 3</t>
        </is>
      </c>
      <c r="C261" s="115" t="inlineStr">
        <is>
          <t>Pano Chamuscado da Forja</t>
        </is>
      </c>
      <c r="D261" s="115" t="inlineStr">
        <is>
          <t>Orgânico</t>
        </is>
      </c>
      <c r="E261" s="115" t="inlineStr">
        <is>
          <t>Ruínas da Antiga Forja — dropado por monstro específico</t>
        </is>
      </c>
      <c r="F261" s="115" t="inlineStr">
        <is>
          <t>Loot de monstro (não coletável no mundo)</t>
        </is>
      </c>
      <c r="G261" s="115" t="inlineStr">
        <is>
          <t>—</t>
        </is>
      </c>
      <c r="H261" s="115" t="inlineStr">
        <is>
          <t>Comum (Alto rendimento)</t>
        </is>
      </c>
      <c r="I261" s="115" t="inlineStr">
        <is>
          <t>Ingrediente de Avental Remendado da Forja (Acessório Tier 3)</t>
        </is>
      </c>
      <c r="K261" s="115" t="inlineStr">
        <is>
          <t>Pano chamuscado do Zelote Nascido na Forja, que nunca se afasta da forja ativa das ruínas.</t>
        </is>
      </c>
    </row>
    <row r="262">
      <c r="A262" s="115" t="n">
        <v>260</v>
      </c>
      <c r="B262" s="115" t="inlineStr">
        <is>
          <t>Tier 3</t>
        </is>
      </c>
      <c r="C262" s="115" t="inlineStr">
        <is>
          <t>Martelo Improvisado de Aprendiz</t>
        </is>
      </c>
      <c r="D262" s="115" t="inlineStr">
        <is>
          <t>Orgânico / Material</t>
        </is>
      </c>
      <c r="E262" s="115" t="inlineStr">
        <is>
          <t>Ruínas da Antiga Forja — dropado por monstro específico</t>
        </is>
      </c>
      <c r="F262" s="115" t="inlineStr">
        <is>
          <t>Loot de monstro (não coletável no mundo)</t>
        </is>
      </c>
      <c r="G262" s="115" t="inlineStr">
        <is>
          <t>—</t>
        </is>
      </c>
      <c r="H262" s="115" t="inlineStr">
        <is>
          <t>Comum (Médio rendimento)</t>
        </is>
      </c>
      <c r="I262" s="115" t="inlineStr">
        <is>
          <t>Ingrediente de Martelo do Aprendiz Abençoado (Acessório Tier 3)</t>
        </is>
      </c>
      <c r="K262" s="115" t="inlineStr">
        <is>
          <t>Martelo tosco do Zelote Ferreiro Menor, aprendiz do Zelote Ferreiro principal.</t>
        </is>
      </c>
    </row>
    <row r="263">
      <c r="A263" s="115" t="n">
        <v>261</v>
      </c>
      <c r="B263" s="115" t="inlineStr">
        <is>
          <t>Tier 3</t>
        </is>
      </c>
      <c r="C263" s="115" t="inlineStr">
        <is>
          <t>Avental Chamuscado</t>
        </is>
      </c>
      <c r="D263" s="115" t="inlineStr">
        <is>
          <t>Orgânico</t>
        </is>
      </c>
      <c r="E263" s="115" t="inlineStr">
        <is>
          <t>Ruínas da Antiga Forja — dropado por monstro específico</t>
        </is>
      </c>
      <c r="F263" s="115" t="inlineStr">
        <is>
          <t>Loot de monstro (não coletável no mundo)</t>
        </is>
      </c>
      <c r="G263" s="115" t="inlineStr">
        <is>
          <t>—</t>
        </is>
      </c>
      <c r="H263" s="115" t="inlineStr">
        <is>
          <t>Comum (Alto rendimento)</t>
        </is>
      </c>
      <c r="I263" s="115" t="inlineStr">
        <is>
          <t>Ingrediente de Avental Remendado da Forja (Acessório Tier 3)</t>
        </is>
      </c>
      <c r="K263" s="115" t="inlineStr">
        <is>
          <t>Avental de couro chamuscado do aprendiz de ferreiro do culto.</t>
        </is>
      </c>
    </row>
    <row r="264">
      <c r="A264" s="115" t="n">
        <v>262</v>
      </c>
      <c r="B264" s="115" t="inlineStr">
        <is>
          <t>Tier 3</t>
        </is>
      </c>
      <c r="C264" s="115" t="inlineStr">
        <is>
          <t>Placa de Sucata Reaproveitada</t>
        </is>
      </c>
      <c r="D264" s="115" t="inlineStr">
        <is>
          <t>Orgânico / Material</t>
        </is>
      </c>
      <c r="E264" s="115" t="inlineStr">
        <is>
          <t>Ruínas da Antiga Forja — dropado por monstro específico</t>
        </is>
      </c>
      <c r="F264" s="115" t="inlineStr">
        <is>
          <t>Loot de monstro (não coletável no mundo)</t>
        </is>
      </c>
      <c r="G264" s="115" t="inlineStr">
        <is>
          <t>—</t>
        </is>
      </c>
      <c r="H264" s="115" t="inlineStr">
        <is>
          <t>Comum (Médio rendimento)</t>
        </is>
      </c>
      <c r="I264" s="115" t="inlineStr">
        <is>
          <t>Ingrediente de Amuleto do Núcleo Instável (Acessório Tier 3)</t>
        </is>
      </c>
      <c r="K264" s="115" t="inlineStr">
        <is>
          <t>Placa reaproveitada do Golem de Sucata da Forja, montado às pressas com restos da própria forja.</t>
        </is>
      </c>
    </row>
    <row r="265">
      <c r="A265" s="115" t="n">
        <v>263</v>
      </c>
      <c r="B265" s="115" t="inlineStr">
        <is>
          <t>Tier 3</t>
        </is>
      </c>
      <c r="C265" s="115" t="inlineStr">
        <is>
          <t>Engrenagem Torta da Forja</t>
        </is>
      </c>
      <c r="D265" s="115" t="inlineStr">
        <is>
          <t>Orgânico / Material</t>
        </is>
      </c>
      <c r="E265" s="115" t="inlineStr">
        <is>
          <t>Ruínas da Antiga Forja — dropado por monstro específico</t>
        </is>
      </c>
      <c r="F265" s="115" t="inlineStr">
        <is>
          <t>Loot de monstro (não coletável no mundo)</t>
        </is>
      </c>
      <c r="G265" s="115" t="inlineStr">
        <is>
          <t>—</t>
        </is>
      </c>
      <c r="H265" s="115" t="inlineStr">
        <is>
          <t>Incomum (Médio rendimento)</t>
        </is>
      </c>
      <c r="I265" s="115" t="inlineStr">
        <is>
          <t>Ingrediente de Amuleto da Engrenagem Torta (Acessório Tier 3)</t>
        </is>
      </c>
      <c r="K265" s="115" t="inlineStr">
        <is>
          <t>Engrenagem torta retirada do Golem de Sucata da Forja, improvisado com restos da fundição.</t>
        </is>
      </c>
    </row>
    <row r="266">
      <c r="A266" s="115" t="n">
        <v>264</v>
      </c>
      <c r="B266" s="115" t="inlineStr">
        <is>
          <t>Tier 3</t>
        </is>
      </c>
      <c r="C266" s="115" t="inlineStr">
        <is>
          <t>Emblema do Culto do Ferro</t>
        </is>
      </c>
      <c r="D266" s="115" t="inlineStr">
        <is>
          <t>Orgânico / Material</t>
        </is>
      </c>
      <c r="E266" s="115" t="inlineStr">
        <is>
          <t>Ruínas da Antiga Forja — dropado por monstro específico</t>
        </is>
      </c>
      <c r="F266" s="115" t="inlineStr">
        <is>
          <t>Loot de monstro (não coletável no mundo)</t>
        </is>
      </c>
      <c r="G266" s="115" t="inlineStr">
        <is>
          <t>—</t>
        </is>
      </c>
      <c r="H266" s="115" t="inlineStr">
        <is>
          <t>Incomum (Médio rendimento)</t>
        </is>
      </c>
      <c r="I266" s="115" t="inlineStr">
        <is>
          <t>Ingrediente de Broche do Culto Corrompido (Acessório Tier 3)</t>
        </is>
      </c>
      <c r="K266" s="115" t="inlineStr">
        <is>
          <t>Emblema do Zelote de Ferro — o culto está trocando sucata improvisada por ferro de verdade nesta região.</t>
        </is>
      </c>
    </row>
    <row r="267">
      <c r="A267" s="115" t="n">
        <v>265</v>
      </c>
      <c r="B267" s="115" t="inlineStr">
        <is>
          <t>Tier 3</t>
        </is>
      </c>
      <c r="C267" s="115" t="inlineStr">
        <is>
          <t>Resíduo Espectral de Guarda Caída</t>
        </is>
      </c>
      <c r="D267" s="115" t="inlineStr">
        <is>
          <t>Orgânico / Material</t>
        </is>
      </c>
      <c r="E267" s="115" t="inlineStr">
        <is>
          <t>Ruínas da Antiga Forja — dropado por monstro específico</t>
        </is>
      </c>
      <c r="F267" s="115" t="inlineStr">
        <is>
          <t>Loot de monstro (não coletável no mundo)</t>
        </is>
      </c>
      <c r="G267" s="115" t="inlineStr">
        <is>
          <t>—</t>
        </is>
      </c>
      <c r="H267" s="115" t="inlineStr">
        <is>
          <t>Incomum (Médio rendimento)</t>
        </is>
      </c>
      <c r="I267" s="115" t="inlineStr">
        <is>
          <t>Ingrediente de Amuleto do Acólito Arrependido (Acessório Tier 3)</t>
        </is>
      </c>
      <c r="K267" s="115" t="inlineStr">
        <is>
          <t>Resíduo do Fantasma da Guarda Caída, soldado raso que morreu defendendo a forja e nunca soube que a batalha acabou.</t>
        </is>
      </c>
    </row>
    <row r="268">
      <c r="A268" s="115" t="n">
        <v>266</v>
      </c>
      <c r="B268" s="115" t="inlineStr">
        <is>
          <t>Tier 3</t>
        </is>
      </c>
      <c r="C268" s="115" t="inlineStr">
        <is>
          <t>Fragmento de Esqueleto Comandante</t>
        </is>
      </c>
      <c r="D268" s="115" t="inlineStr">
        <is>
          <t>Troféu de Monstro</t>
        </is>
      </c>
      <c r="E268" s="115" t="inlineStr">
        <is>
          <t>Loot de Esqueleto Comandante (Elite)</t>
        </is>
      </c>
      <c r="F268" s="115" t="inlineStr">
        <is>
          <t>Loot de monstro (não coletável no mundo)</t>
        </is>
      </c>
      <c r="G268" s="115" t="inlineStr">
        <is>
          <t>—</t>
        </is>
      </c>
      <c r="H268" s="115" t="inlineStr">
        <is>
          <t>Incomum (Baixo rendimento)</t>
        </is>
      </c>
      <c r="I268" s="115" t="inlineStr">
        <is>
          <t>Ingrediente de Estandarte do Comandante Caído (Acessório Tier 3)</t>
        </is>
      </c>
      <c r="J268" s="115" t="n">
        <v>25</v>
      </c>
      <c r="K268" s="115" t="inlineStr">
        <is>
          <t>Parte física do Esqueleto Comandante, que ainda comanda os demais esqueletos no salão dos comandantes.</t>
        </is>
      </c>
      <c r="M268" s="115" t="inlineStr">
        <is>
          <t>🐾</t>
        </is>
      </c>
    </row>
    <row r="269">
      <c r="A269" s="115" t="n">
        <v>267</v>
      </c>
      <c r="B269" s="115" t="inlineStr">
        <is>
          <t>Tier 3</t>
        </is>
      </c>
      <c r="C269" s="115" t="inlineStr">
        <is>
          <t>Estandarte Partido de Comando</t>
        </is>
      </c>
      <c r="D269" s="115" t="inlineStr">
        <is>
          <t>Troféu de Monstro</t>
        </is>
      </c>
      <c r="E269" s="115" t="inlineStr">
        <is>
          <t>Loot de Esqueleto Comandante (Elite)</t>
        </is>
      </c>
      <c r="F269" s="115" t="inlineStr">
        <is>
          <t>Loot de monstro (não coletável no mundo)</t>
        </is>
      </c>
      <c r="G269" s="115" t="inlineStr">
        <is>
          <t>—</t>
        </is>
      </c>
      <c r="H269" s="115" t="inlineStr">
        <is>
          <t>Incomum (Baixo rendimento)</t>
        </is>
      </c>
      <c r="I269" s="115" t="inlineStr">
        <is>
          <t>Ingrediente de Estandarte do Comandante Caído (Acessório Tier 3)</t>
        </is>
      </c>
      <c r="J269" s="115" t="n">
        <v>25</v>
      </c>
      <c r="K269" s="115" t="inlineStr">
        <is>
          <t>Estandarte partido que o Esqueleto Comandante ainda carrega por hábito — comandava a guarda em vida.</t>
        </is>
      </c>
      <c r="M269" s="115" t="inlineStr">
        <is>
          <t>🐾</t>
        </is>
      </c>
    </row>
    <row r="270">
      <c r="A270" s="115" t="n">
        <v>268</v>
      </c>
      <c r="B270" s="115" t="inlineStr">
        <is>
          <t>Tier 3</t>
        </is>
      </c>
      <c r="C270" s="115" t="inlineStr">
        <is>
          <t>Fragmento de Zelote Ferreiro</t>
        </is>
      </c>
      <c r="D270" s="115" t="inlineStr">
        <is>
          <t>Troféu de Monstro</t>
        </is>
      </c>
      <c r="E270" s="115" t="inlineStr">
        <is>
          <t>Loot de Zelote Ferreiro (Elite)</t>
        </is>
      </c>
      <c r="F270" s="115" t="inlineStr">
        <is>
          <t>Loot de monstro (não coletável no mundo)</t>
        </is>
      </c>
      <c r="G270" s="115" t="inlineStr">
        <is>
          <t>—</t>
        </is>
      </c>
      <c r="H270" s="115" t="inlineStr">
        <is>
          <t>Incomum (Baixo rendimento)</t>
        </is>
      </c>
      <c r="I270" s="115" t="inlineStr">
        <is>
          <t>Ingrediente de Martelo do Zelote Ferreiro (Acessório Tier 3)</t>
        </is>
      </c>
      <c r="J270" s="115" t="n">
        <v>25</v>
      </c>
      <c r="K270" s="115" t="inlineStr">
        <is>
          <t>Parte física do Zelote Ferreiro, que forja armas 'abençoadas' pela Mão dentro da forja ainda ativa.</t>
        </is>
      </c>
      <c r="M270" s="115" t="inlineStr">
        <is>
          <t>🐾</t>
        </is>
      </c>
    </row>
    <row r="271">
      <c r="A271" s="115" t="n">
        <v>269</v>
      </c>
      <c r="B271" s="115" t="inlineStr">
        <is>
          <t>Tier 3</t>
        </is>
      </c>
      <c r="C271" s="115" t="inlineStr">
        <is>
          <t>Martelo Abençoado pela Mão</t>
        </is>
      </c>
      <c r="D271" s="115" t="inlineStr">
        <is>
          <t>Troféu de Monstro</t>
        </is>
      </c>
      <c r="E271" s="115" t="inlineStr">
        <is>
          <t>Loot de Zelote Ferreiro (Elite)</t>
        </is>
      </c>
      <c r="F271" s="115" t="inlineStr">
        <is>
          <t>Loot de monstro (não coletável no mundo)</t>
        </is>
      </c>
      <c r="G271" s="115" t="inlineStr">
        <is>
          <t>—</t>
        </is>
      </c>
      <c r="H271" s="115" t="inlineStr">
        <is>
          <t>Raro (Baixo rendimento)</t>
        </is>
      </c>
      <c r="I271" s="115" t="inlineStr">
        <is>
          <t>Ingrediente de Martelo do Zelote Ferreiro (Acessório Tier 3)</t>
        </is>
      </c>
      <c r="J271" s="115" t="n">
        <v>25</v>
      </c>
      <c r="K271" s="115" t="inlineStr">
        <is>
          <t>Martelo usado pelo Zelote Ferreiro pra forjar armas do Culto do Ferro.</t>
        </is>
      </c>
      <c r="M271" s="115" t="inlineStr">
        <is>
          <t>🐾</t>
        </is>
      </c>
    </row>
    <row r="272">
      <c r="A272" s="115" t="n">
        <v>270</v>
      </c>
      <c r="B272" s="115" t="inlineStr">
        <is>
          <t>Tier 3</t>
        </is>
      </c>
      <c r="C272" s="115" t="inlineStr">
        <is>
          <t>Fragmento de Bigorna Armadilhada</t>
        </is>
      </c>
      <c r="D272" s="115" t="inlineStr">
        <is>
          <t>Troféu de Monstro</t>
        </is>
      </c>
      <c r="E272" s="115" t="inlineStr">
        <is>
          <t>Loot de Bigorna Viva (Elite)</t>
        </is>
      </c>
      <c r="F272" s="115" t="inlineStr">
        <is>
          <t>Loot de monstro (não coletável no mundo)</t>
        </is>
      </c>
      <c r="G272" s="115" t="inlineStr">
        <is>
          <t>—</t>
        </is>
      </c>
      <c r="H272" s="115" t="inlineStr">
        <is>
          <t>Incomum (Baixo rendimento)</t>
        </is>
      </c>
      <c r="I272" s="115" t="inlineStr">
        <is>
          <t>Ingrediente de Fechadura da Bigorna Armadilhada (Acessório Tier 3)</t>
        </is>
      </c>
      <c r="J272" s="115" t="n">
        <v>25</v>
      </c>
      <c r="K272" s="115" t="inlineStr">
        <is>
          <t>Mecanismo da bigorna-armadilha que os cultistas armam pros que saqueiam a forja sem permissão.</t>
        </is>
      </c>
      <c r="M272" s="115" t="inlineStr">
        <is>
          <t>🐾</t>
        </is>
      </c>
    </row>
    <row r="273">
      <c r="A273" s="115" t="n">
        <v>271</v>
      </c>
      <c r="B273" s="115" t="inlineStr">
        <is>
          <t>Tier 3</t>
        </is>
      </c>
      <c r="C273" s="115" t="inlineStr">
        <is>
          <t>Resíduo Etéreo do Espírito Fugidio</t>
        </is>
      </c>
      <c r="D273" s="115" t="inlineStr">
        <is>
          <t>Troféu de Monstro</t>
        </is>
      </c>
      <c r="E273" s="115" t="inlineStr">
        <is>
          <t>Loot de Espírito Fugidio do Minério (Elite)</t>
        </is>
      </c>
      <c r="F273" s="115" t="inlineStr">
        <is>
          <t>Loot de monstro (não coletável no mundo)</t>
        </is>
      </c>
      <c r="G273" s="115" t="inlineStr">
        <is>
          <t>—</t>
        </is>
      </c>
      <c r="H273" s="115" t="inlineStr">
        <is>
          <t>Raro (Baixo rendimento)</t>
        </is>
      </c>
      <c r="I273" s="115" t="inlineStr">
        <is>
          <t>Ingrediente de Amuleto do Espírito Fugidio (Acessório Tier 3)</t>
        </is>
      </c>
      <c r="J273" s="115" t="n">
        <v>25</v>
      </c>
      <c r="K273" s="115" t="inlineStr">
        <is>
          <t>Resíduo etéreo de uma alma presa num veio raro, que tenta escapar de quem a encontra.</t>
        </is>
      </c>
      <c r="M273" s="115" t="inlineStr">
        <is>
          <t>🐾</t>
        </is>
      </c>
    </row>
    <row r="274">
      <c r="A274" s="115" t="n">
        <v>272</v>
      </c>
      <c r="B274" s="115" t="inlineStr">
        <is>
          <t>Tier 3</t>
        </is>
      </c>
      <c r="C274" s="115" t="inlineStr">
        <is>
          <t>Fragmento do Capitão Que Não Se Rendeu</t>
        </is>
      </c>
      <c r="D274" s="115" t="inlineStr">
        <is>
          <t>Troféu de Monstro</t>
        </is>
      </c>
      <c r="E274" s="115" t="inlineStr">
        <is>
          <t>Loot de Capitão Vessel, o Que Não Se Rendeu (Nomeado) (Elite)</t>
        </is>
      </c>
      <c r="F274" s="115" t="inlineStr">
        <is>
          <t>Loot de monstro (não coletável no mundo)</t>
        </is>
      </c>
      <c r="G274" s="115" t="inlineStr">
        <is>
          <t>—</t>
        </is>
      </c>
      <c r="H274" s="115" t="inlineStr">
        <is>
          <t>Raro (Baixo rendimento - Elite Nomeado)</t>
        </is>
      </c>
      <c r="I274" s="115" t="inlineStr">
        <is>
          <t>Ingrediente de Insígnia Menor do Capitão Vessel (Acessório Tier 3)</t>
        </is>
      </c>
      <c r="J274" s="115" t="n">
        <v>30</v>
      </c>
      <c r="K274" s="115" t="inlineStr">
        <is>
          <t>Parte física de Capitão Vessel, guardada só se ele for derrotado em vez de poupado — ainda acha que está defendendo algo.</t>
        </is>
      </c>
      <c r="M274" s="115" t="inlineStr">
        <is>
          <t>🐾</t>
        </is>
      </c>
    </row>
    <row r="275">
      <c r="A275" s="115" t="n">
        <v>273</v>
      </c>
      <c r="B275" s="115" t="inlineStr">
        <is>
          <t>Tier 3</t>
        </is>
      </c>
      <c r="C275" s="115" t="inlineStr">
        <is>
          <t>Fragmento de Golem Fragmentado</t>
        </is>
      </c>
      <c r="D275" s="115" t="inlineStr">
        <is>
          <t>Troféu de Monstro</t>
        </is>
      </c>
      <c r="E275" s="115" t="inlineStr">
        <is>
          <t>Loot de Golem Fragmentado (Elite)</t>
        </is>
      </c>
      <c r="F275" s="115" t="inlineStr">
        <is>
          <t>Loot de monstro (não coletável no mundo)</t>
        </is>
      </c>
      <c r="G275" s="115" t="inlineStr">
        <is>
          <t>—</t>
        </is>
      </c>
      <c r="H275" s="115" t="inlineStr">
        <is>
          <t>Incomum (Baixo rendimento)</t>
        </is>
      </c>
      <c r="I275" s="115" t="inlineStr">
        <is>
          <t>Ingrediente de Núcleo Instável do Golem Fragmentado (Acessório Tier 3)</t>
        </is>
      </c>
      <c r="J275" s="115" t="n">
        <v>25</v>
      </c>
      <c r="K275" s="115" t="inlineStr">
        <is>
          <t>Fragmento de um golem grande demais pra Infecção controlar direito — racha, não morre limpo.</t>
        </is>
      </c>
      <c r="M275" s="115" t="inlineStr">
        <is>
          <t>🐾</t>
        </is>
      </c>
    </row>
    <row r="276">
      <c r="A276" s="115" t="n">
        <v>274</v>
      </c>
      <c r="B276" s="115" t="inlineStr">
        <is>
          <t>Tier 3</t>
        </is>
      </c>
      <c r="C276" s="115" t="inlineStr">
        <is>
          <t>Núcleo Rachado</t>
        </is>
      </c>
      <c r="D276" s="115" t="inlineStr">
        <is>
          <t>Troféu de Monstro</t>
        </is>
      </c>
      <c r="E276" s="115" t="inlineStr">
        <is>
          <t>Loot de Golem Fragmentado (Elite)</t>
        </is>
      </c>
      <c r="F276" s="115" t="inlineStr">
        <is>
          <t>Loot de monstro (não coletável no mundo)</t>
        </is>
      </c>
      <c r="G276" s="115" t="inlineStr">
        <is>
          <t>—</t>
        </is>
      </c>
      <c r="H276" s="115" t="inlineStr">
        <is>
          <t>Raro (Baixo rendimento)</t>
        </is>
      </c>
      <c r="I276" s="115" t="inlineStr">
        <is>
          <t>Ingrediente de Núcleo Instável do Golem Fragmentado (Acessório Tier 3)</t>
        </is>
      </c>
      <c r="J276" s="115" t="n">
        <v>25</v>
      </c>
      <c r="K276" s="115" t="inlineStr">
        <is>
          <t>Núcleo rachado do Golem Fragmentado, ainda pulsando de forma instável e perigosa.</t>
        </is>
      </c>
      <c r="M276" s="115" t="inlineStr">
        <is>
          <t>🐾</t>
        </is>
      </c>
    </row>
    <row r="277">
      <c r="A277" s="115" t="n">
        <v>275</v>
      </c>
      <c r="B277" s="115" t="inlineStr">
        <is>
          <t>Tier 4</t>
        </is>
      </c>
      <c r="C277" s="115" t="inlineStr">
        <is>
          <t>Mortalha Fresca de Zumbi</t>
        </is>
      </c>
      <c r="D277" s="115" t="inlineStr">
        <is>
          <t>Orgânico</t>
        </is>
      </c>
      <c r="E277" s="115" t="inlineStr">
        <is>
          <t>Criptas de Prata — dropado por monstro específico</t>
        </is>
      </c>
      <c r="F277" s="115" t="inlineStr">
        <is>
          <t>Loot de monstro (não coletável no mundo)</t>
        </is>
      </c>
      <c r="G277" s="115" t="inlineStr">
        <is>
          <t>—</t>
        </is>
      </c>
      <c r="H277" s="115" t="inlineStr">
        <is>
          <t>Comum (Alto rendimento)</t>
        </is>
      </c>
      <c r="I277" s="115" t="inlineStr">
        <is>
          <t>Ingrediente de Mortalha Preservada (Acessório Tier 4)</t>
        </is>
      </c>
      <c r="K277" s="115" t="inlineStr">
        <is>
          <t>Mortalha ainda úmida do Zumbi Recém-Enterrado, que morreu há poucos dias.</t>
        </is>
      </c>
    </row>
    <row r="278">
      <c r="A278" s="115" t="n">
        <v>276</v>
      </c>
      <c r="B278" s="115" t="inlineStr">
        <is>
          <t>Tier 4</t>
        </is>
      </c>
      <c r="C278" s="115" t="inlineStr">
        <is>
          <t>Terço Quebrado da Freira Perdida</t>
        </is>
      </c>
      <c r="D278" s="115" t="inlineStr">
        <is>
          <t>Orgânico / Material</t>
        </is>
      </c>
      <c r="E278" s="115" t="inlineStr">
        <is>
          <t>Criptas de Prata — dropado por monstro específico</t>
        </is>
      </c>
      <c r="F278" s="115" t="inlineStr">
        <is>
          <t>Loot de monstro (não coletável no mundo)</t>
        </is>
      </c>
      <c r="G278" s="115" t="inlineStr">
        <is>
          <t>—</t>
        </is>
      </c>
      <c r="H278" s="115" t="inlineStr">
        <is>
          <t>Incomum (Médio rendimento)</t>
        </is>
      </c>
      <c r="I278" s="115" t="inlineStr">
        <is>
          <t>Ingrediente de Terço da Freira Perdida (Acessório Tier 4)</t>
        </is>
      </c>
      <c r="K278" s="115" t="inlineStr">
        <is>
          <t>Terço quebrado que a Freira Perdida ainda aperta, rezando baixinho pelos corredores dos ecos.</t>
        </is>
      </c>
    </row>
    <row r="279">
      <c r="A279" s="115" t="n">
        <v>277</v>
      </c>
      <c r="B279" s="115" t="inlineStr">
        <is>
          <t>Tier 4</t>
        </is>
      </c>
      <c r="C279" s="115" t="inlineStr">
        <is>
          <t>Carne Preservada da Câmara Interna</t>
        </is>
      </c>
      <c r="D279" s="115" t="inlineStr">
        <is>
          <t>Orgânico</t>
        </is>
      </c>
      <c r="E279" s="115" t="inlineStr">
        <is>
          <t>Criptas de Prata — dropado por monstro específico</t>
        </is>
      </c>
      <c r="F279" s="115" t="inlineStr">
        <is>
          <t>Loot de monstro (não coletável no mundo)</t>
        </is>
      </c>
      <c r="G279" s="115" t="inlineStr">
        <is>
          <t>—</t>
        </is>
      </c>
      <c r="H279" s="115" t="inlineStr">
        <is>
          <t>Comum (Médio rendimento)</t>
        </is>
      </c>
      <c r="I279" s="115" t="inlineStr">
        <is>
          <t>Ingrediente de Mortalha Preservada (Acessório Tier 4)</t>
        </is>
      </c>
      <c r="K279" s="115" t="inlineStr">
        <is>
          <t>Carne estranhamente preservada do Zumbi da Câmara Interna, enterrado mais fundo que os outros.</t>
        </is>
      </c>
    </row>
    <row r="280">
      <c r="A280" s="115" t="n">
        <v>278</v>
      </c>
      <c r="B280" s="115" t="inlineStr">
        <is>
          <t>Tier 4</t>
        </is>
      </c>
      <c r="C280" s="115" t="inlineStr">
        <is>
          <t>Placa Rachada de Cavaleiro Ferido</t>
        </is>
      </c>
      <c r="D280" s="115" t="inlineStr">
        <is>
          <t>Orgânico / Material</t>
        </is>
      </c>
      <c r="E280" s="115" t="inlineStr">
        <is>
          <t>Criptas de Prata — dropado por monstro específico</t>
        </is>
      </c>
      <c r="F280" s="115" t="inlineStr">
        <is>
          <t>Loot de monstro (não coletável no mundo)</t>
        </is>
      </c>
      <c r="G280" s="115" t="inlineStr">
        <is>
          <t>—</t>
        </is>
      </c>
      <c r="H280" s="115" t="inlineStr">
        <is>
          <t>Comum (Médio rendimento)</t>
        </is>
      </c>
      <c r="I280" s="115" t="inlineStr">
        <is>
          <t>Ingrediente de Placa Remendada do Cavaleiro (Acessório Tier 4)</t>
        </is>
      </c>
      <c r="K280" s="115" t="inlineStr">
        <is>
          <t>Placa rachada do Cavaleiro Sem Nome Ferido, em pior estado que os demais cavaleiros esquecidos.</t>
        </is>
      </c>
    </row>
    <row r="281">
      <c r="A281" s="115" t="n">
        <v>279</v>
      </c>
      <c r="B281" s="115" t="inlineStr">
        <is>
          <t>Tier 4</t>
        </is>
      </c>
      <c r="C281" s="115" t="inlineStr">
        <is>
          <t>Elmo Amassado de Cavaleiro</t>
        </is>
      </c>
      <c r="D281" s="115" t="inlineStr">
        <is>
          <t>Orgânico / Material</t>
        </is>
      </c>
      <c r="E281" s="115" t="inlineStr">
        <is>
          <t>Criptas de Prata — dropado por monstro específico</t>
        </is>
      </c>
      <c r="F281" s="115" t="inlineStr">
        <is>
          <t>Loot de monstro (não coletável no mundo)</t>
        </is>
      </c>
      <c r="G281" s="115" t="inlineStr">
        <is>
          <t>—</t>
        </is>
      </c>
      <c r="H281" s="115" t="inlineStr">
        <is>
          <t>Comum (Médio rendimento)</t>
        </is>
      </c>
      <c r="I281" s="115" t="inlineStr">
        <is>
          <t>Ingrediente de Placa Remendada do Cavaleiro (Acessório Tier 4)</t>
        </is>
      </c>
      <c r="K281" s="115" t="inlineStr">
        <is>
          <t>Elmo amassado retirado de um dos cavaleiros esquecidos no salão das criptas.</t>
        </is>
      </c>
    </row>
    <row r="282">
      <c r="A282" s="115" t="n">
        <v>280</v>
      </c>
      <c r="B282" s="115" t="inlineStr">
        <is>
          <t>Tier 4</t>
        </is>
      </c>
      <c r="C282" s="115" t="inlineStr">
        <is>
          <t>Escudo Rachado de Escudeiro Amaldiçoado</t>
        </is>
      </c>
      <c r="D282" s="115" t="inlineStr">
        <is>
          <t>Orgânico / Material</t>
        </is>
      </c>
      <c r="E282" s="115" t="inlineStr">
        <is>
          <t>Criptas de Prata — dropado por monstro específico</t>
        </is>
      </c>
      <c r="F282" s="115" t="inlineStr">
        <is>
          <t>Loot de monstro (não coletável no mundo)</t>
        </is>
      </c>
      <c r="G282" s="115" t="inlineStr">
        <is>
          <t>—</t>
        </is>
      </c>
      <c r="H282" s="115" t="inlineStr">
        <is>
          <t>Comum (Médio rendimento)</t>
        </is>
      </c>
      <c r="I282" s="115" t="inlineStr">
        <is>
          <t>Ingrediente de Escudo do Escudeiro Fiel (Acessório Tier 4)</t>
        </is>
      </c>
      <c r="K282" s="115" t="inlineStr">
        <is>
          <t>Escudo rachado do Escudeiro Recém-Amaldiçoado, caído há pouco tempo na maldição.</t>
        </is>
      </c>
    </row>
    <row r="283">
      <c r="A283" s="115" t="n">
        <v>281</v>
      </c>
      <c r="B283" s="115" t="inlineStr">
        <is>
          <t>Tier 4</t>
        </is>
      </c>
      <c r="C283" s="115" t="inlineStr">
        <is>
          <t>Farrapo de Peregrino Silenciado</t>
        </is>
      </c>
      <c r="D283" s="115" t="inlineStr">
        <is>
          <t>Orgânico</t>
        </is>
      </c>
      <c r="E283" s="115" t="inlineStr">
        <is>
          <t>Criptas de Prata — dropado por monstro específico</t>
        </is>
      </c>
      <c r="F283" s="115" t="inlineStr">
        <is>
          <t>Loot de monstro (não coletável no mundo)</t>
        </is>
      </c>
      <c r="G283" s="115" t="inlineStr">
        <is>
          <t>—</t>
        </is>
      </c>
      <c r="H283" s="115" t="inlineStr">
        <is>
          <t>Comum (Alto rendimento)</t>
        </is>
      </c>
      <c r="I283" s="115" t="inlineStr">
        <is>
          <t>Ingrediente de Farrapo do Peregrino Silenciado (Acessório Tier 4)</t>
        </is>
      </c>
      <c r="K283" s="115" t="inlineStr">
        <is>
          <t>Farrapo do Zumbi da Cripta — peregrino que morreu tentando fugir da vila antes do surto, a voz sumiu com o resto dele.</t>
        </is>
      </c>
    </row>
    <row r="284">
      <c r="A284" s="115" t="n">
        <v>282</v>
      </c>
      <c r="B284" s="115" t="inlineStr">
        <is>
          <t>Tier 4</t>
        </is>
      </c>
      <c r="C284" s="115" t="inlineStr">
        <is>
          <t>Sussurro Preso em Névoa</t>
        </is>
      </c>
      <c r="D284" s="115" t="inlineStr">
        <is>
          <t>Orgânico / Material</t>
        </is>
      </c>
      <c r="E284" s="115" t="inlineStr">
        <is>
          <t>Criptas de Prata — dropado por monstro específico</t>
        </is>
      </c>
      <c r="F284" s="115" t="inlineStr">
        <is>
          <t>Loot de monstro (não coletável no mundo)</t>
        </is>
      </c>
      <c r="G284" s="115" t="inlineStr">
        <is>
          <t>—</t>
        </is>
      </c>
      <c r="H284" s="115" t="inlineStr">
        <is>
          <t>Incomum (Baixo rendimento)</t>
        </is>
      </c>
      <c r="I284" s="115" t="inlineStr">
        <is>
          <t>Ingrediente de Amuleto do Sussurro Preso (Acessório Tier 4)</t>
        </is>
      </c>
      <c r="K284" s="115" t="inlineStr">
        <is>
          <t>Névoa condensada que carrega o sussurro baixo demais pra entender do Espectro Sussurrante — só o medo que causa é real.</t>
        </is>
      </c>
    </row>
    <row r="285">
      <c r="A285" s="115" t="n">
        <v>283</v>
      </c>
      <c r="B285" s="115" t="inlineStr">
        <is>
          <t>Tier 4</t>
        </is>
      </c>
      <c r="C285" s="115" t="inlineStr">
        <is>
          <t>Colar de Dívida do Devoto</t>
        </is>
      </c>
      <c r="D285" s="115" t="inlineStr">
        <is>
          <t>Orgânico / Material</t>
        </is>
      </c>
      <c r="E285" s="115" t="inlineStr">
        <is>
          <t>Criptas de Prata — dropado por monstro específico</t>
        </is>
      </c>
      <c r="F285" s="115" t="inlineStr">
        <is>
          <t>Loot de monstro (não coletável no mundo)</t>
        </is>
      </c>
      <c r="G285" s="115" t="inlineStr">
        <is>
          <t>—</t>
        </is>
      </c>
      <c r="H285" s="115" t="inlineStr">
        <is>
          <t>Comum (Médio rendimento)</t>
        </is>
      </c>
      <c r="I285" s="115" t="inlineStr">
        <is>
          <t>Ingrediente de Terço da Freira Perdida (Acessório Tier 4)</t>
        </is>
      </c>
      <c r="K285" s="115" t="inlineStr">
        <is>
          <t>Colar de penhor do Devoto Recém-Convertido, que entrou pra Fraternidade fugindo de uma dívida, não por fé.</t>
        </is>
      </c>
    </row>
    <row r="286">
      <c r="A286" s="115" t="n">
        <v>284</v>
      </c>
      <c r="B286" s="115" t="inlineStr">
        <is>
          <t>Tier 4</t>
        </is>
      </c>
      <c r="C286" s="115" t="inlineStr">
        <is>
          <t>Placa Esquecida de Cavaleiro</t>
        </is>
      </c>
      <c r="D286" s="115" t="inlineStr">
        <is>
          <t>Orgânico / Material</t>
        </is>
      </c>
      <c r="E286" s="115" t="inlineStr">
        <is>
          <t>Criptas de Prata — dropado por monstro específico</t>
        </is>
      </c>
      <c r="F286" s="115" t="inlineStr">
        <is>
          <t>Loot de monstro (não coletável no mundo)</t>
        </is>
      </c>
      <c r="G286" s="115" t="inlineStr">
        <is>
          <t>—</t>
        </is>
      </c>
      <c r="H286" s="115" t="inlineStr">
        <is>
          <t>Comum (Médio rendimento)</t>
        </is>
      </c>
      <c r="I286" s="115" t="inlineStr">
        <is>
          <t>Ingrediente de Juramento do Cavaleiro Esquecido (Acessório Tier 4)</t>
        </is>
      </c>
      <c r="K286" s="115" t="inlineStr">
        <is>
          <t>Placa de um dos muitos Cavaleiros Sem Nome que juraram lealdade e foram esquecidos junto com o juramento.</t>
        </is>
      </c>
    </row>
    <row r="287">
      <c r="A287" s="115" t="n">
        <v>285</v>
      </c>
      <c r="B287" s="115" t="inlineStr">
        <is>
          <t>Tier 4</t>
        </is>
      </c>
      <c r="C287" s="115" t="inlineStr">
        <is>
          <t>Juramento Partido em Metal</t>
        </is>
      </c>
      <c r="D287" s="115" t="inlineStr">
        <is>
          <t>Orgânico / Material</t>
        </is>
      </c>
      <c r="E287" s="115" t="inlineStr">
        <is>
          <t>Criptas de Prata — dropado por monstro específico</t>
        </is>
      </c>
      <c r="F287" s="115" t="inlineStr">
        <is>
          <t>Loot de monstro (não coletável no mundo)</t>
        </is>
      </c>
      <c r="G287" s="115" t="inlineStr">
        <is>
          <t>—</t>
        </is>
      </c>
      <c r="H287" s="115" t="inlineStr">
        <is>
          <t>Incomum (Baixo rendimento)</t>
        </is>
      </c>
      <c r="I287" s="115" t="inlineStr">
        <is>
          <t>Ingrediente de Juramento do Cavaleiro Esquecido (Acessório Tier 4)</t>
        </is>
      </c>
      <c r="K287" s="115" t="inlineStr">
        <is>
          <t>Placa metálica gravada com um juramento partido, retirada de um Cavaleiro Sem Nome.</t>
        </is>
      </c>
    </row>
    <row r="288">
      <c r="A288" s="115" t="n">
        <v>286</v>
      </c>
      <c r="B288" s="115" t="inlineStr">
        <is>
          <t>Tier 4</t>
        </is>
      </c>
      <c r="C288" s="115" t="inlineStr">
        <is>
          <t>Fio de Sudário Roído</t>
        </is>
      </c>
      <c r="D288" s="115" t="inlineStr">
        <is>
          <t>Orgânico</t>
        </is>
      </c>
      <c r="E288" s="115" t="inlineStr">
        <is>
          <t>Criptas de Prata — dropado por monstro específico</t>
        </is>
      </c>
      <c r="F288" s="115" t="inlineStr">
        <is>
          <t>Loot de monstro (não coletável no mundo)</t>
        </is>
      </c>
      <c r="G288" s="115" t="inlineStr">
        <is>
          <t>—</t>
        </is>
      </c>
      <c r="H288" s="115" t="inlineStr">
        <is>
          <t>Comum (Alto rendimento)</t>
        </is>
      </c>
      <c r="I288" s="115" t="inlineStr">
        <is>
          <t>Ingrediente de Farrapo do Peregrino Silenciado (Acessório Tier 4)</t>
        </is>
      </c>
      <c r="K288" s="115" t="inlineStr">
        <is>
          <t>Fio de sudário roído pelo Verme do Sudário, que vive junto às Aparições da câmara externa.</t>
        </is>
      </c>
    </row>
    <row r="289">
      <c r="A289" s="115" t="n">
        <v>287</v>
      </c>
      <c r="B289" s="115" t="inlineStr">
        <is>
          <t>Tier 4</t>
        </is>
      </c>
      <c r="C289" s="115" t="inlineStr">
        <is>
          <t>Resíduo Espectral de Aparição Menor</t>
        </is>
      </c>
      <c r="D289" s="115" t="inlineStr">
        <is>
          <t>Orgânico / Material</t>
        </is>
      </c>
      <c r="E289" s="115" t="inlineStr">
        <is>
          <t>Criptas de Prata — dropado por monstro específico</t>
        </is>
      </c>
      <c r="F289" s="115" t="inlineStr">
        <is>
          <t>Loot de monstro (não coletável no mundo)</t>
        </is>
      </c>
      <c r="G289" s="115" t="inlineStr">
        <is>
          <t>—</t>
        </is>
      </c>
      <c r="H289" s="115" t="inlineStr">
        <is>
          <t>Incomum (Médio rendimento)</t>
        </is>
      </c>
      <c r="I289" s="115" t="inlineStr">
        <is>
          <t>Ingrediente de Capuz da Aparição Menor (Acessório Tier 4)</t>
        </is>
      </c>
      <c r="K289" s="115" t="inlineStr">
        <is>
          <t>Resíduo fraco da Aparição Menor, fragmento que se formou sozinho nos corredores dos ecos.</t>
        </is>
      </c>
    </row>
    <row r="290">
      <c r="A290" s="115" t="n">
        <v>288</v>
      </c>
      <c r="B290" s="115" t="inlineStr">
        <is>
          <t>Tier 4</t>
        </is>
      </c>
      <c r="C290" s="115" t="inlineStr">
        <is>
          <t>Mordaça de Aprendiz</t>
        </is>
      </c>
      <c r="D290" s="115" t="inlineStr">
        <is>
          <t>Orgânico / Material</t>
        </is>
      </c>
      <c r="E290" s="115" t="inlineStr">
        <is>
          <t>Criptas de Prata — dropado por monstro específico</t>
        </is>
      </c>
      <c r="F290" s="115" t="inlineStr">
        <is>
          <t>Loot de monstro (não coletável no mundo)</t>
        </is>
      </c>
      <c r="G290" s="115" t="inlineStr">
        <is>
          <t>—</t>
        </is>
      </c>
      <c r="H290" s="115" t="inlineStr">
        <is>
          <t>Comum (Médio rendimento)</t>
        </is>
      </c>
      <c r="I290" s="115" t="inlineStr">
        <is>
          <t>Ingrediente de Mordaça Selada (Acessório Tier 4)</t>
        </is>
      </c>
      <c r="K290" s="115" t="inlineStr">
        <is>
          <t>Mordaça improvisada do Devoto Silencioso Menor, ainda aprendendo a conter a própria voz.</t>
        </is>
      </c>
    </row>
    <row r="291">
      <c r="A291" s="115" t="n">
        <v>289</v>
      </c>
      <c r="B291" s="115" t="inlineStr">
        <is>
          <t>Tier 4</t>
        </is>
      </c>
      <c r="C291" s="115" t="inlineStr">
        <is>
          <t>Névoa Fria da Entrada</t>
        </is>
      </c>
      <c r="D291" s="115" t="inlineStr">
        <is>
          <t>Orgânico / Material</t>
        </is>
      </c>
      <c r="E291" s="115" t="inlineStr">
        <is>
          <t>Criptas de Prata — dropado por monstro específico</t>
        </is>
      </c>
      <c r="F291" s="115" t="inlineStr">
        <is>
          <t>Loot de monstro (não coletável no mundo)</t>
        </is>
      </c>
      <c r="G291" s="115" t="inlineStr">
        <is>
          <t>—</t>
        </is>
      </c>
      <c r="H291" s="115" t="inlineStr">
        <is>
          <t>Incomum (Baixo rendimento)</t>
        </is>
      </c>
      <c r="I291" s="115" t="inlineStr">
        <is>
          <t>Ingrediente de Amuleto do Sussurro Preso (Acessório Tier 4)</t>
        </is>
      </c>
      <c r="K291" s="115" t="inlineStr">
        <is>
          <t>Névoa fria da Aparição da Entrada, a primeira coisa que os intrusos veem ao entrar na cripta.</t>
        </is>
      </c>
    </row>
    <row r="292">
      <c r="A292" s="115" t="n">
        <v>290</v>
      </c>
      <c r="B292" s="115" t="inlineStr">
        <is>
          <t>Tier 4</t>
        </is>
      </c>
      <c r="C292" s="115" t="inlineStr">
        <is>
          <t>Capuz Encardido de Espectro</t>
        </is>
      </c>
      <c r="D292" s="115" t="inlineStr">
        <is>
          <t>Orgânico</t>
        </is>
      </c>
      <c r="E292" s="115" t="inlineStr">
        <is>
          <t>Criptas de Prata — dropado por monstro específico</t>
        </is>
      </c>
      <c r="F292" s="115" t="inlineStr">
        <is>
          <t>Loot de monstro (não coletável no mundo)</t>
        </is>
      </c>
      <c r="G292" s="115" t="inlineStr">
        <is>
          <t>—</t>
        </is>
      </c>
      <c r="H292" s="115" t="inlineStr">
        <is>
          <t>Comum (Médio rendimento)</t>
        </is>
      </c>
      <c r="I292" s="115" t="inlineStr">
        <is>
          <t>Ingrediente de Capuz da Aparição Menor (Acessório Tier 4)</t>
        </is>
      </c>
      <c r="K292" s="115" t="inlineStr">
        <is>
          <t>Capuz do Espectro Encapuzado, um dos primeiros seguidores da Fraternidade que cortou a língua tarde demais.</t>
        </is>
      </c>
    </row>
    <row r="293">
      <c r="A293" s="115" t="n">
        <v>291</v>
      </c>
      <c r="B293" s="115" t="inlineStr">
        <is>
          <t>Tier 4</t>
        </is>
      </c>
      <c r="C293" s="115" t="inlineStr">
        <is>
          <t>Fio de Sudário Frio</t>
        </is>
      </c>
      <c r="D293" s="115" t="inlineStr">
        <is>
          <t>Orgânico</t>
        </is>
      </c>
      <c r="E293" s="115" t="inlineStr">
        <is>
          <t>Criptas de Prata — dropado por monstro específico</t>
        </is>
      </c>
      <c r="F293" s="115" t="inlineStr">
        <is>
          <t>Loot de monstro (não coletável no mundo)</t>
        </is>
      </c>
      <c r="G293" s="115" t="inlineStr">
        <is>
          <t>—</t>
        </is>
      </c>
      <c r="H293" s="115" t="inlineStr">
        <is>
          <t>Comum (Alto rendimento)</t>
        </is>
      </c>
      <c r="I293" s="115" t="inlineStr">
        <is>
          <t>Ingrediente de Vial do Sudário Frio (Acessório Tier 4)</t>
        </is>
      </c>
      <c r="K293" s="115" t="inlineStr">
        <is>
          <t>Fio gelado da Aparição do Sudário, espírito silencioso que drena o calor dos vivos.</t>
        </is>
      </c>
    </row>
    <row r="294">
      <c r="A294" s="115" t="n">
        <v>292</v>
      </c>
      <c r="B294" s="115" t="inlineStr">
        <is>
          <t>Tier 4</t>
        </is>
      </c>
      <c r="C294" s="115" t="inlineStr">
        <is>
          <t>Presa Necrófaga de Zumbi Devorador</t>
        </is>
      </c>
      <c r="D294" s="115" t="inlineStr">
        <is>
          <t>Orgânico</t>
        </is>
      </c>
      <c r="E294" s="115" t="inlineStr">
        <is>
          <t>Criptas de Prata — dropado por monstro específico</t>
        </is>
      </c>
      <c r="F294" s="115" t="inlineStr">
        <is>
          <t>Loot de monstro (não coletável no mundo)</t>
        </is>
      </c>
      <c r="G294" s="115" t="inlineStr">
        <is>
          <t>—</t>
        </is>
      </c>
      <c r="H294" s="115" t="inlineStr">
        <is>
          <t>Comum (Médio rendimento)</t>
        </is>
      </c>
      <c r="I294" s="115" t="inlineStr">
        <is>
          <t>Ingrediente de Vial do Sudário Frio (Acessório Tier 4)</t>
        </is>
      </c>
      <c r="K294" s="115" t="inlineStr">
        <is>
          <t>Presa do Zumbi Devorador, que come o que sobra de outros mortos-vivos caídos na cripta.</t>
        </is>
      </c>
    </row>
    <row r="295">
      <c r="A295" s="115" t="n">
        <v>293</v>
      </c>
      <c r="B295" s="115" t="inlineStr">
        <is>
          <t>Tier 4</t>
        </is>
      </c>
      <c r="C295" s="115" t="inlineStr">
        <is>
          <t>Escudo Amaldiçoado</t>
        </is>
      </c>
      <c r="D295" s="115" t="inlineStr">
        <is>
          <t>Orgânico / Material</t>
        </is>
      </c>
      <c r="E295" s="115" t="inlineStr">
        <is>
          <t>Criptas de Prata — dropado por monstro específico</t>
        </is>
      </c>
      <c r="F295" s="115" t="inlineStr">
        <is>
          <t>Loot de monstro (não coletável no mundo)</t>
        </is>
      </c>
      <c r="G295" s="115" t="inlineStr">
        <is>
          <t>—</t>
        </is>
      </c>
      <c r="H295" s="115" t="inlineStr">
        <is>
          <t>Incomum (Médio rendimento)</t>
        </is>
      </c>
      <c r="I295" s="115" t="inlineStr">
        <is>
          <t>Ingrediente de Amuleto do Escudo Amaldiçoado (Acessório Tier 4)</t>
        </is>
      </c>
      <c r="K295" s="115" t="inlineStr">
        <is>
          <t>Escudo do Escudeiro Amaldiçoado, que ainda tenta proteger seu Cavaleiro mesmo morto.</t>
        </is>
      </c>
    </row>
    <row r="296">
      <c r="A296" s="115" t="n">
        <v>294</v>
      </c>
      <c r="B296" s="115" t="inlineStr">
        <is>
          <t>Tier 4</t>
        </is>
      </c>
      <c r="C296" s="115" t="inlineStr">
        <is>
          <t>Corrente de Lealdade Partida</t>
        </is>
      </c>
      <c r="D296" s="115" t="inlineStr">
        <is>
          <t>Orgânico / Material</t>
        </is>
      </c>
      <c r="E296" s="115" t="inlineStr">
        <is>
          <t>Criptas de Prata — dropado por monstro específico</t>
        </is>
      </c>
      <c r="F296" s="115" t="inlineStr">
        <is>
          <t>Loot de monstro (não coletável no mundo)</t>
        </is>
      </c>
      <c r="G296" s="115" t="inlineStr">
        <is>
          <t>—</t>
        </is>
      </c>
      <c r="H296" s="115" t="inlineStr">
        <is>
          <t>Comum (Médio rendimento)</t>
        </is>
      </c>
      <c r="I296" s="115" t="inlineStr">
        <is>
          <t>Ingrediente de Escudo do Escudeiro Fiel (Acessório Tier 4)</t>
        </is>
      </c>
      <c r="K296" s="115" t="inlineStr">
        <is>
          <t>Corrente partida que ligava o Escudeiro Amaldiçoado ao juramento de proteger seu Cavaleiro.</t>
        </is>
      </c>
    </row>
    <row r="297">
      <c r="A297" s="115" t="n">
        <v>295</v>
      </c>
      <c r="B297" s="115" t="inlineStr">
        <is>
          <t>Tier 4</t>
        </is>
      </c>
      <c r="C297" s="115" t="inlineStr">
        <is>
          <t>Badalo Menor Rachado</t>
        </is>
      </c>
      <c r="D297" s="115" t="inlineStr">
        <is>
          <t>Orgânico / Material</t>
        </is>
      </c>
      <c r="E297" s="115" t="inlineStr">
        <is>
          <t>Criptas de Prata — dropado por monstro específico</t>
        </is>
      </c>
      <c r="F297" s="115" t="inlineStr">
        <is>
          <t>Loot de monstro (não coletável no mundo)</t>
        </is>
      </c>
      <c r="G297" s="115" t="inlineStr">
        <is>
          <t>—</t>
        </is>
      </c>
      <c r="H297" s="115" t="inlineStr">
        <is>
          <t>Incomum (Baixo rendimento)</t>
        </is>
      </c>
      <c r="I297" s="115" t="inlineStr">
        <is>
          <t>Ingrediente de Amuleto do Escudo Amaldiçoado (Acessório Tier 4)</t>
        </is>
      </c>
      <c r="K297" s="115" t="inlineStr">
        <is>
          <t>Badalo rachado do Sino Menor, que ressoa em eco toda vez que o sino principal toca.</t>
        </is>
      </c>
    </row>
    <row r="298">
      <c r="A298" s="115" t="n">
        <v>296</v>
      </c>
      <c r="B298" s="115" t="inlineStr">
        <is>
          <t>Tier 4</t>
        </is>
      </c>
      <c r="C298" s="115" t="inlineStr">
        <is>
          <t>Língua Cortada Selada</t>
        </is>
      </c>
      <c r="D298" s="115" t="inlineStr">
        <is>
          <t>Orgânico / Material</t>
        </is>
      </c>
      <c r="E298" s="115" t="inlineStr">
        <is>
          <t>Criptas de Prata — dropado por monstro específico</t>
        </is>
      </c>
      <c r="F298" s="115" t="inlineStr">
        <is>
          <t>Loot de monstro (não coletável no mundo)</t>
        </is>
      </c>
      <c r="G298" s="115" t="inlineStr">
        <is>
          <t>—</t>
        </is>
      </c>
      <c r="H298" s="115" t="inlineStr">
        <is>
          <t>Raro (Baixo rendimento)</t>
        </is>
      </c>
      <c r="I298" s="115" t="inlineStr">
        <is>
          <t>Ingrediente de Mordaça Selada (Acessório Tier 4)</t>
        </is>
      </c>
      <c r="K298" s="115" t="inlineStr">
        <is>
          <t>Língua selada em relicário do Devoto Silencioso, cultista que cortou a própria língua por fé.</t>
        </is>
      </c>
    </row>
    <row r="299">
      <c r="A299" s="115" t="n">
        <v>297</v>
      </c>
      <c r="B299" s="115" t="inlineStr">
        <is>
          <t>Tier 4</t>
        </is>
      </c>
      <c r="C299" s="115" t="inlineStr">
        <is>
          <t>Eco Preso no Metal</t>
        </is>
      </c>
      <c r="D299" s="115" t="inlineStr">
        <is>
          <t>Orgânico / Material</t>
        </is>
      </c>
      <c r="E299" s="115" t="inlineStr">
        <is>
          <t>Criptas de Prata — dropado por monstro específico</t>
        </is>
      </c>
      <c r="F299" s="115" t="inlineStr">
        <is>
          <t>Loot de monstro (não coletável no mundo)</t>
        </is>
      </c>
      <c r="G299" s="115" t="inlineStr">
        <is>
          <t>—</t>
        </is>
      </c>
      <c r="H299" s="115" t="inlineStr">
        <is>
          <t>Incomum (Médio rendimento)</t>
        </is>
      </c>
      <c r="I299" s="115" t="inlineStr">
        <is>
          <t>Ingrediente de Amuleto do Eco Preso (Acessório Tier 4)</t>
        </is>
      </c>
      <c r="K299" s="115" t="inlineStr">
        <is>
          <t>Eco metálico preso na Alma Presa no Sino, que morreu tocando o sino de aviso e ainda tenta tocar.</t>
        </is>
      </c>
    </row>
    <row r="300">
      <c r="A300" s="115" t="n">
        <v>298</v>
      </c>
      <c r="B300" s="115" t="inlineStr">
        <is>
          <t>Tier 4</t>
        </is>
      </c>
      <c r="C300" s="115" t="inlineStr">
        <is>
          <t>Grito Guardado do Devoto Fanático</t>
        </is>
      </c>
      <c r="D300" s="115" t="inlineStr">
        <is>
          <t>Orgânico / Material</t>
        </is>
      </c>
      <c r="E300" s="115" t="inlineStr">
        <is>
          <t>Criptas de Prata — dropado por monstro específico</t>
        </is>
      </c>
      <c r="F300" s="115" t="inlineStr">
        <is>
          <t>Loot de monstro (não coletável no mundo)</t>
        </is>
      </c>
      <c r="G300" s="115" t="inlineStr">
        <is>
          <t>—</t>
        </is>
      </c>
      <c r="H300" s="115" t="inlineStr">
        <is>
          <t>Raro (Baixo rendimento)</t>
        </is>
      </c>
      <c r="I300" s="115" t="inlineStr">
        <is>
          <t>Ingrediente de Amuleto do Eco Preso (Acessório Tier 4)</t>
        </is>
      </c>
      <c r="K300" s="115" t="inlineStr">
        <is>
          <t>Grito guardado a vida toda pelo Devoto Fanático — sai tudo de uma vez na morte.</t>
        </is>
      </c>
    </row>
    <row r="301">
      <c r="A301" s="115" t="n">
        <v>299</v>
      </c>
      <c r="B301" s="115" t="inlineStr">
        <is>
          <t>Tier 4</t>
        </is>
      </c>
      <c r="C301" s="115" t="inlineStr">
        <is>
          <t>Fragmento de Badalo Armadilhado</t>
        </is>
      </c>
      <c r="D301" s="115" t="inlineStr">
        <is>
          <t>Troféu de Monstro</t>
        </is>
      </c>
      <c r="E301" s="115" t="inlineStr">
        <is>
          <t>Loot de Sino Falso (Elite)</t>
        </is>
      </c>
      <c r="F301" s="115" t="inlineStr">
        <is>
          <t>Loot de monstro (não coletável no mundo)</t>
        </is>
      </c>
      <c r="G301" s="115" t="inlineStr">
        <is>
          <t>—</t>
        </is>
      </c>
      <c r="H301" s="115" t="inlineStr">
        <is>
          <t>Incomum (Baixo rendimento)</t>
        </is>
      </c>
      <c r="I301" s="115" t="inlineStr">
        <is>
          <t>Ingrediente de Fechadura do Sino Falso (Acessório Tier 4)</t>
        </is>
      </c>
      <c r="J301" s="115" t="n">
        <v>28</v>
      </c>
      <c r="K301" s="115" t="inlineStr">
        <is>
          <t>Mecanismo do badalo-armadilha que a Fraternidade disfarça na câmara do sino pra pegar intrusos.</t>
        </is>
      </c>
      <c r="M301" s="115" t="inlineStr">
        <is>
          <t>🐾</t>
        </is>
      </c>
    </row>
    <row r="302">
      <c r="A302" s="115" t="n">
        <v>300</v>
      </c>
      <c r="B302" s="115" t="inlineStr">
        <is>
          <t>Tier 4</t>
        </is>
      </c>
      <c r="C302" s="115" t="inlineStr">
        <is>
          <t>Fragmento de Confessor do Silêncio</t>
        </is>
      </c>
      <c r="D302" s="115" t="inlineStr">
        <is>
          <t>Troféu de Monstro</t>
        </is>
      </c>
      <c r="E302" s="115" t="inlineStr">
        <is>
          <t>Loot de Confessor do Silêncio (Elite)</t>
        </is>
      </c>
      <c r="F302" s="115" t="inlineStr">
        <is>
          <t>Loot de monstro (não coletável no mundo)</t>
        </is>
      </c>
      <c r="G302" s="115" t="inlineStr">
        <is>
          <t>—</t>
        </is>
      </c>
      <c r="H302" s="115" t="inlineStr">
        <is>
          <t>Incomum (Baixo rendimento)</t>
        </is>
      </c>
      <c r="I302" s="115" t="inlineStr">
        <is>
          <t>Ingrediente de Relicário do Confessor (Acessório Tier 4)</t>
        </is>
      </c>
      <c r="J302" s="115" t="n">
        <v>28</v>
      </c>
      <c r="K302" s="115" t="inlineStr">
        <is>
          <t>Parte física do Confessor do Silêncio, que ouve confissões antes de silenciar quem a Fraternidade captura.</t>
        </is>
      </c>
      <c r="M302" s="115" t="inlineStr">
        <is>
          <t>🐾</t>
        </is>
      </c>
    </row>
    <row r="303">
      <c r="A303" s="115" t="n">
        <v>301</v>
      </c>
      <c r="B303" s="115" t="inlineStr">
        <is>
          <t>Tier 4</t>
        </is>
      </c>
      <c r="C303" s="115" t="inlineStr">
        <is>
          <t>Relicário de Confissões Guardadas</t>
        </is>
      </c>
      <c r="D303" s="115" t="inlineStr">
        <is>
          <t>Troféu de Monstro</t>
        </is>
      </c>
      <c r="E303" s="115" t="inlineStr">
        <is>
          <t>Loot de Confessor do Silêncio (Elite)</t>
        </is>
      </c>
      <c r="F303" s="115" t="inlineStr">
        <is>
          <t>Loot de monstro (não coletável no mundo)</t>
        </is>
      </c>
      <c r="G303" s="115" t="inlineStr">
        <is>
          <t>—</t>
        </is>
      </c>
      <c r="H303" s="115" t="inlineStr">
        <is>
          <t>Raro (Baixo rendimento)</t>
        </is>
      </c>
      <c r="I303" s="115" t="inlineStr">
        <is>
          <t>Ingrediente de Relicário do Confessor (Acessório Tier 4)</t>
        </is>
      </c>
      <c r="J303" s="115" t="n">
        <v>28</v>
      </c>
      <c r="K303" s="115" t="inlineStr">
        <is>
          <t>Relicário onde o Confessor do Silêncio guarda os pecados de quem confessou antes de morrer.</t>
        </is>
      </c>
      <c r="M303" s="115" t="inlineStr">
        <is>
          <t>🐾</t>
        </is>
      </c>
    </row>
    <row r="304">
      <c r="A304" s="115" t="n">
        <v>302</v>
      </c>
      <c r="B304" s="115" t="inlineStr">
        <is>
          <t>Tier 4</t>
        </is>
      </c>
      <c r="C304" s="115" t="inlineStr">
        <is>
          <t>Resíduo de Alma Fugidia</t>
        </is>
      </c>
      <c r="D304" s="115" t="inlineStr">
        <is>
          <t>Troféu de Monstro</t>
        </is>
      </c>
      <c r="E304" s="115" t="inlineStr">
        <is>
          <t>Loot de Alma Fugidia da Cripta (Elite)</t>
        </is>
      </c>
      <c r="F304" s="115" t="inlineStr">
        <is>
          <t>Loot de monstro (não coletável no mundo)</t>
        </is>
      </c>
      <c r="G304" s="115" t="inlineStr">
        <is>
          <t>—</t>
        </is>
      </c>
      <c r="H304" s="115" t="inlineStr">
        <is>
          <t>Raro (Baixo rendimento)</t>
        </is>
      </c>
      <c r="I304" s="115" t="inlineStr">
        <is>
          <t>Ingrediente de Amuleto da Alma Fugidia (Acessório Tier 4)</t>
        </is>
      </c>
      <c r="J304" s="115" t="n">
        <v>28</v>
      </c>
      <c r="K304" s="115" t="inlineStr">
        <is>
          <t>Resíduo de uma alma que ainda tenta escapar da cripta, séculos depois de presa.</t>
        </is>
      </c>
      <c r="M304" s="115" t="inlineStr">
        <is>
          <t>🐾</t>
        </is>
      </c>
    </row>
    <row r="305">
      <c r="A305" s="115" t="n">
        <v>303</v>
      </c>
      <c r="B305" s="115" t="inlineStr">
        <is>
          <t>Tier 4</t>
        </is>
      </c>
      <c r="C305" s="115" t="inlineStr">
        <is>
          <t>Fragmento de Guarda-Costas Menor</t>
        </is>
      </c>
      <c r="D305" s="115" t="inlineStr">
        <is>
          <t>Troféu de Monstro</t>
        </is>
      </c>
      <c r="E305" s="115" t="inlineStr">
        <is>
          <t>Loot de Guarda-Costas Menor do Silêncio (Elite)</t>
        </is>
      </c>
      <c r="F305" s="115" t="inlineStr">
        <is>
          <t>Loot de monstro (não coletável no mundo)</t>
        </is>
      </c>
      <c r="G305" s="115" t="inlineStr">
        <is>
          <t>—</t>
        </is>
      </c>
      <c r="H305" s="115" t="inlineStr">
        <is>
          <t>Incomum (Baixo rendimento)</t>
        </is>
      </c>
      <c r="I305" s="115" t="inlineStr">
        <is>
          <t>Ingrediente de Broche do Guarda-Costas Menor (Acessório Tier 4)</t>
        </is>
      </c>
      <c r="J305" s="115" t="n">
        <v>28</v>
      </c>
      <c r="K305" s="115" t="inlineStr">
        <is>
          <t>Parte física do Guarda-Costas Menor do Silêncio, aprendiz do Guarda-Costas principal.</t>
        </is>
      </c>
      <c r="M305" s="115" t="inlineStr">
        <is>
          <t>🐾</t>
        </is>
      </c>
    </row>
    <row r="306">
      <c r="A306" s="115" t="n">
        <v>304</v>
      </c>
      <c r="B306" s="115" t="inlineStr">
        <is>
          <t>Tier 4</t>
        </is>
      </c>
      <c r="C306" s="115" t="inlineStr">
        <is>
          <t>Fragmento de Carrasco Silencioso</t>
        </is>
      </c>
      <c r="D306" s="115" t="inlineStr">
        <is>
          <t>Troféu de Monstro</t>
        </is>
      </c>
      <c r="E306" s="115" t="inlineStr">
        <is>
          <t>Loot de Carrasco Silencioso (Elite)</t>
        </is>
      </c>
      <c r="F306" s="115" t="inlineStr">
        <is>
          <t>Loot de monstro (não coletável no mundo)</t>
        </is>
      </c>
      <c r="G306" s="115" t="inlineStr">
        <is>
          <t>—</t>
        </is>
      </c>
      <c r="H306" s="115" t="inlineStr">
        <is>
          <t>Incomum (Baixo rendimento)</t>
        </is>
      </c>
      <c r="I306" s="115" t="inlineStr">
        <is>
          <t>Ingrediente de Machado do Carrasco Silencioso (Acessório Tier 4)</t>
        </is>
      </c>
      <c r="J306" s="115" t="n">
        <v>28</v>
      </c>
      <c r="K306" s="115" t="inlineStr">
        <is>
          <t>Parte física do Carrasco Silencioso, que executa quem a Fraternidade condena sem 1 palavra.</t>
        </is>
      </c>
      <c r="M306" s="115" t="inlineStr">
        <is>
          <t>🐾</t>
        </is>
      </c>
    </row>
    <row r="307">
      <c r="A307" s="115" t="n">
        <v>305</v>
      </c>
      <c r="B307" s="115" t="inlineStr">
        <is>
          <t>Tier 4</t>
        </is>
      </c>
      <c r="C307" s="115" t="inlineStr">
        <is>
          <t>Machado Silencioso Quebrado</t>
        </is>
      </c>
      <c r="D307" s="115" t="inlineStr">
        <is>
          <t>Troféu de Monstro</t>
        </is>
      </c>
      <c r="E307" s="115" t="inlineStr">
        <is>
          <t>Loot de Carrasco Silencioso (Elite)</t>
        </is>
      </c>
      <c r="F307" s="115" t="inlineStr">
        <is>
          <t>Loot de monstro (não coletável no mundo)</t>
        </is>
      </c>
      <c r="G307" s="115" t="inlineStr">
        <is>
          <t>—</t>
        </is>
      </c>
      <c r="H307" s="115" t="inlineStr">
        <is>
          <t>Raro (Baixo rendimento)</t>
        </is>
      </c>
      <c r="I307" s="115" t="inlineStr">
        <is>
          <t>Ingrediente de Machado do Carrasco Silencioso (Acessório Tier 4)</t>
        </is>
      </c>
      <c r="J307" s="115" t="n">
        <v>28</v>
      </c>
      <c r="K307" s="115" t="inlineStr">
        <is>
          <t>Machado quebrado do Carrasco Silencioso, usado em toda execução silenciosa da câmara do sino.</t>
        </is>
      </c>
      <c r="M307" s="115" t="inlineStr">
        <is>
          <t>🐾</t>
        </is>
      </c>
    </row>
    <row r="308">
      <c r="A308" s="115" t="n">
        <v>306</v>
      </c>
      <c r="B308" s="115" t="inlineStr">
        <is>
          <t>Tier 4</t>
        </is>
      </c>
      <c r="C308" s="115" t="inlineStr">
        <is>
          <t>Fragmento do Último Vigia</t>
        </is>
      </c>
      <c r="D308" s="115" t="inlineStr">
        <is>
          <t>Troféu de Monstro</t>
        </is>
      </c>
      <c r="E308" s="115" t="inlineStr">
        <is>
          <t>Loot de Irmão Guardião, o Que Ainda Vigia (Nomeado) (Elite)</t>
        </is>
      </c>
      <c r="F308" s="115" t="inlineStr">
        <is>
          <t>Loot de monstro (não coletável no mundo)</t>
        </is>
      </c>
      <c r="G308" s="115" t="inlineStr">
        <is>
          <t>—</t>
        </is>
      </c>
      <c r="H308" s="115" t="inlineStr">
        <is>
          <t>Raro (Baixo rendimento - Elite Nomeado)</t>
        </is>
      </c>
      <c r="I308" s="115" t="inlineStr">
        <is>
          <t>Ingrediente de Corda Menor do Último Vigia (Acessório Tier 4)</t>
        </is>
      </c>
      <c r="J308" s="115" t="n">
        <v>32</v>
      </c>
      <c r="K308" s="115" t="inlineStr">
        <is>
          <t>Parte física de Irmão Guardião, guardada só se ele for derrotado em vez de negociado — ninguém disse a ele quando parar de vigiar.</t>
        </is>
      </c>
      <c r="M308" s="115" t="inlineStr">
        <is>
          <t>🐾</t>
        </is>
      </c>
    </row>
    <row r="309">
      <c r="A309" s="115" t="n">
        <v>307</v>
      </c>
      <c r="B309" s="115" t="inlineStr">
        <is>
          <t>Tier 4</t>
        </is>
      </c>
      <c r="C309" s="115" t="inlineStr">
        <is>
          <t>Fragmento de Guarda-Costas do Silêncio</t>
        </is>
      </c>
      <c r="D309" s="115" t="inlineStr">
        <is>
          <t>Troféu de Monstro</t>
        </is>
      </c>
      <c r="E309" s="115" t="inlineStr">
        <is>
          <t>Loot de Guarda-Costas do Silêncio (Elite)</t>
        </is>
      </c>
      <c r="F309" s="115" t="inlineStr">
        <is>
          <t>Loot de monstro (não coletável no mundo)</t>
        </is>
      </c>
      <c r="G309" s="115" t="inlineStr">
        <is>
          <t>—</t>
        </is>
      </c>
      <c r="H309" s="115" t="inlineStr">
        <is>
          <t>Incomum (Baixo rendimento)</t>
        </is>
      </c>
      <c r="I309" s="115" t="inlineStr">
        <is>
          <t>Ingrediente de Broche do Guarda-Costas do Silêncio (Acessório Tier 4)</t>
        </is>
      </c>
      <c r="J309" s="115" t="n">
        <v>28</v>
      </c>
      <c r="K309" s="115" t="inlineStr">
        <is>
          <t>Parte física do Guarda-Costas do Silêncio, escolhido pra proteger o Confessor.</t>
        </is>
      </c>
      <c r="M309" s="115" t="inlineStr">
        <is>
          <t>🐾</t>
        </is>
      </c>
    </row>
    <row r="310">
      <c r="A310" s="115" t="n">
        <v>308</v>
      </c>
      <c r="B310" s="115" t="inlineStr">
        <is>
          <t>Tier 5</t>
        </is>
      </c>
      <c r="C310" s="115" t="inlineStr">
        <is>
          <t>Fragmento de Pedra Rúnica Quebrada</t>
        </is>
      </c>
      <c r="D310" s="115" t="inlineStr">
        <is>
          <t>Orgânico / Material</t>
        </is>
      </c>
      <c r="E310" s="115" t="inlineStr">
        <is>
          <t>Ruínas Élficas / Bosques Pétreos — dropado por monstro específico</t>
        </is>
      </c>
      <c r="F310" s="115" t="inlineStr">
        <is>
          <t>Loot de monstro (não coletável no mundo)</t>
        </is>
      </c>
      <c r="G310" s="115" t="inlineStr">
        <is>
          <t>—</t>
        </is>
      </c>
      <c r="H310" s="115" t="inlineStr">
        <is>
          <t>Comum (Médio rendimento)</t>
        </is>
      </c>
      <c r="I310" s="115" t="inlineStr">
        <is>
          <t>Ingrediente de Amuleto da Sentinela Quebrada (Acessório Tier 5)</t>
        </is>
      </c>
      <c r="K310" s="115" t="inlineStr">
        <is>
          <t>Fragmento de pedra rúnica da Sentinela Quebrada, abandonada no pátio externo há séculos.</t>
        </is>
      </c>
    </row>
    <row r="311">
      <c r="A311" s="115" t="n">
        <v>309</v>
      </c>
      <c r="B311" s="115" t="inlineStr">
        <is>
          <t>Tier 5</t>
        </is>
      </c>
      <c r="C311" s="115" t="inlineStr">
        <is>
          <t>Amostra de Musgo Devorador</t>
        </is>
      </c>
      <c r="D311" s="115" t="inlineStr">
        <is>
          <t>Orgânico</t>
        </is>
      </c>
      <c r="E311" s="115" t="inlineStr">
        <is>
          <t>Ruínas Élficas / Bosques Pétreos — dropado por monstro específico</t>
        </is>
      </c>
      <c r="F311" s="115" t="inlineStr">
        <is>
          <t>Loot de monstro (não coletável no mundo)</t>
        </is>
      </c>
      <c r="G311" s="115" t="inlineStr">
        <is>
          <t>—</t>
        </is>
      </c>
      <c r="H311" s="115" t="inlineStr">
        <is>
          <t>Comum (Alto rendimento)</t>
        </is>
      </c>
      <c r="I311" s="115" t="inlineStr">
        <is>
          <t>Ingrediente de Amuleto do Musgo Devorador (Acessório Tier 5)</t>
        </is>
      </c>
      <c r="K311" s="115" t="inlineStr">
        <is>
          <t>Amostra do Musgo Devorador, que cresce sobre o que morre nas ruínas.</t>
        </is>
      </c>
    </row>
    <row r="312">
      <c r="A312" s="115" t="n">
        <v>310</v>
      </c>
      <c r="B312" s="115" t="inlineStr">
        <is>
          <t>Tier 5</t>
        </is>
      </c>
      <c r="C312" s="115" t="inlineStr">
        <is>
          <t>Broche do Clã Perdido</t>
        </is>
      </c>
      <c r="D312" s="115" t="inlineStr">
        <is>
          <t>Orgânico / Material</t>
        </is>
      </c>
      <c r="E312" s="115" t="inlineStr">
        <is>
          <t>Ruínas Élficas / Bosques Pétreos — dropado por monstro específico</t>
        </is>
      </c>
      <c r="F312" s="115" t="inlineStr">
        <is>
          <t>Loot de monstro (não coletável no mundo)</t>
        </is>
      </c>
      <c r="G312" s="115" t="inlineStr">
        <is>
          <t>—</t>
        </is>
      </c>
      <c r="H312" s="115" t="inlineStr">
        <is>
          <t>Incomum (Baixo rendimento)</t>
        </is>
      </c>
      <c r="I312" s="115" t="inlineStr">
        <is>
          <t>Ingrediente de Broche do Clã Perdido (Acessório Tier 5)</t>
        </is>
      </c>
      <c r="K312" s="115" t="inlineStr">
        <is>
          <t>Broche que a Elfa Sobrevivente ainda carrega, última do clã que virou Sentinela ou pior.</t>
        </is>
      </c>
    </row>
    <row r="313">
      <c r="A313" s="115" t="n">
        <v>311</v>
      </c>
      <c r="B313" s="115" t="inlineStr">
        <is>
          <t>Tier 5</t>
        </is>
      </c>
      <c r="C313" s="115" t="inlineStr">
        <is>
          <t>Broto de Musgo Rastejante</t>
        </is>
      </c>
      <c r="D313" s="115" t="inlineStr">
        <is>
          <t>Orgânico</t>
        </is>
      </c>
      <c r="E313" s="115" t="inlineStr">
        <is>
          <t>Ruínas Élficas / Bosques Pétreos — dropado por monstro específico</t>
        </is>
      </c>
      <c r="F313" s="115" t="inlineStr">
        <is>
          <t>Loot de monstro (não coletável no mundo)</t>
        </is>
      </c>
      <c r="G313" s="115" t="inlineStr">
        <is>
          <t>—</t>
        </is>
      </c>
      <c r="H313" s="115" t="inlineStr">
        <is>
          <t>Comum (Alto rendimento)</t>
        </is>
      </c>
      <c r="I313" s="115" t="inlineStr">
        <is>
          <t>Ingrediente de Amuleto do Musgo Devorador (Acessório Tier 5)</t>
        </is>
      </c>
      <c r="K313" s="115" t="inlineStr">
        <is>
          <t>Broto jovem do Musgo Rastejante Menor, ainda crescendo sobre as pedras das ruínas.</t>
        </is>
      </c>
    </row>
    <row r="314">
      <c r="A314" s="115" t="n">
        <v>312</v>
      </c>
      <c r="B314" s="115" t="inlineStr">
        <is>
          <t>Tier 5</t>
        </is>
      </c>
      <c r="C314" s="115" t="inlineStr">
        <is>
          <t>Núcleo Rúnico Dormente</t>
        </is>
      </c>
      <c r="D314" s="115" t="inlineStr">
        <is>
          <t>Orgânico / Material</t>
        </is>
      </c>
      <c r="E314" s="115" t="inlineStr">
        <is>
          <t>Ruínas Élficas / Bosques Pétreos — dropado por monstro específico</t>
        </is>
      </c>
      <c r="F314" s="115" t="inlineStr">
        <is>
          <t>Loot de monstro (não coletável no mundo)</t>
        </is>
      </c>
      <c r="G314" s="115" t="inlineStr">
        <is>
          <t>—</t>
        </is>
      </c>
      <c r="H314" s="115" t="inlineStr">
        <is>
          <t>Incomum (Médio rendimento)</t>
        </is>
      </c>
      <c r="I314" s="115" t="inlineStr">
        <is>
          <t>Ingrediente de Amuleto da Sentinela Quebrada (Acessório Tier 5)</t>
        </is>
      </c>
      <c r="K314" s="115" t="inlineStr">
        <is>
          <t>Núcleo rúnico da Sentinela Élfica Adormecida, que despertou fora de hora com a corrupção no ar.</t>
        </is>
      </c>
    </row>
    <row r="315">
      <c r="A315" s="115" t="n">
        <v>313</v>
      </c>
      <c r="B315" s="115" t="inlineStr">
        <is>
          <t>Tier 5</t>
        </is>
      </c>
      <c r="C315" s="115" t="inlineStr">
        <is>
          <t>Casca Corrompida de Ent Pequeno</t>
        </is>
      </c>
      <c r="D315" s="115" t="inlineStr">
        <is>
          <t>Orgânico</t>
        </is>
      </c>
      <c r="E315" s="115" t="inlineStr">
        <is>
          <t>Ruínas Élficas / Bosques Pétreos — dropado por monstro específico</t>
        </is>
      </c>
      <c r="F315" s="115" t="inlineStr">
        <is>
          <t>Loot de monstro (não coletável no mundo)</t>
        </is>
      </c>
      <c r="G315" s="115" t="inlineStr">
        <is>
          <t>—</t>
        </is>
      </c>
      <c r="H315" s="115" t="inlineStr">
        <is>
          <t>Comum (Médio rendimento)</t>
        </is>
      </c>
      <c r="I315" s="115" t="inlineStr">
        <is>
          <t>Ingrediente de Casca do Ent Corrompido (Acessório Tier 5)</t>
        </is>
      </c>
      <c r="K315" s="115" t="inlineStr">
        <is>
          <t>Casca do Ent Pequeno Corrompido, árvore jovem que absorveu a marca antes de crescer direito.</t>
        </is>
      </c>
    </row>
    <row r="316">
      <c r="A316" s="115" t="n">
        <v>314</v>
      </c>
      <c r="B316" s="115" t="inlineStr">
        <is>
          <t>Tier 5</t>
        </is>
      </c>
      <c r="C316" s="115" t="inlineStr">
        <is>
          <t>Fragmento de Pedra do Guardião Menor</t>
        </is>
      </c>
      <c r="D316" s="115" t="inlineStr">
        <is>
          <t>Orgânico / Material</t>
        </is>
      </c>
      <c r="E316" s="115" t="inlineStr">
        <is>
          <t>Ruínas Élficas / Bosques Pétreos — dropado por monstro específico</t>
        </is>
      </c>
      <c r="F316" s="115" t="inlineStr">
        <is>
          <t>Loot de monstro (não coletável no mundo)</t>
        </is>
      </c>
      <c r="G316" s="115" t="inlineStr">
        <is>
          <t>—</t>
        </is>
      </c>
      <c r="H316" s="115" t="inlineStr">
        <is>
          <t>Comum (Médio rendimento)</t>
        </is>
      </c>
      <c r="I316" s="115" t="inlineStr">
        <is>
          <t>Ingrediente de Amuleto do Guardião de Pedra (Acessório Tier 5)</t>
        </is>
      </c>
      <c r="K316" s="115" t="inlineStr">
        <is>
          <t>Fragmento funcional do Guardião Menor de Pedra, pequeno mas ainda ativo.</t>
        </is>
      </c>
    </row>
    <row r="317">
      <c r="A317" s="115" t="n">
        <v>315</v>
      </c>
      <c r="B317" s="115" t="inlineStr">
        <is>
          <t>Tier 5</t>
        </is>
      </c>
      <c r="C317" s="115" t="inlineStr">
        <is>
          <t>Seiva Parasita Extraída</t>
        </is>
      </c>
      <c r="D317" s="115" t="inlineStr">
        <is>
          <t>Orgânico / Material</t>
        </is>
      </c>
      <c r="E317" s="115" t="inlineStr">
        <is>
          <t>Ruínas Élficas / Bosques Pétreos — dropado por monstro específico</t>
        </is>
      </c>
      <c r="F317" s="115" t="inlineStr">
        <is>
          <t>Loot de monstro (não coletável no mundo)</t>
        </is>
      </c>
      <c r="G317" s="115" t="inlineStr">
        <is>
          <t>—</t>
        </is>
      </c>
      <c r="H317" s="115" t="inlineStr">
        <is>
          <t>Incomum (Baixo rendimento)</t>
        </is>
      </c>
      <c r="I317" s="115" t="inlineStr">
        <is>
          <t>Ingrediente de Vial da Seiva Parasita (Acessório Tier 5)</t>
        </is>
      </c>
      <c r="K317" s="115" t="inlineStr">
        <is>
          <t>Seiva extraída da Seiva Parasita, que vive dentro das Aranhas-Seiva e controla parte do comportamento delas.</t>
        </is>
      </c>
    </row>
    <row r="318">
      <c r="A318" s="115" t="n">
        <v>316</v>
      </c>
      <c r="B318" s="115" t="inlineStr">
        <is>
          <t>Tier 5</t>
        </is>
      </c>
      <c r="C318" s="115" t="inlineStr">
        <is>
          <t>Engrenagem Rúnica Recém-Ativada</t>
        </is>
      </c>
      <c r="D318" s="115" t="inlineStr">
        <is>
          <t>Orgânico / Material</t>
        </is>
      </c>
      <c r="E318" s="115" t="inlineStr">
        <is>
          <t>Ruínas Élficas / Bosques Pétreos — dropado por monstro específico</t>
        </is>
      </c>
      <c r="F318" s="115" t="inlineStr">
        <is>
          <t>Loot de monstro (não coletável no mundo)</t>
        </is>
      </c>
      <c r="G318" s="115" t="inlineStr">
        <is>
          <t>—</t>
        </is>
      </c>
      <c r="H318" s="115" t="inlineStr">
        <is>
          <t>Comum (Médio rendimento)</t>
        </is>
      </c>
      <c r="I318" s="115" t="inlineStr">
        <is>
          <t>Ingrediente de Amuleto da Sentinela Ativada (Acessório Tier 5)</t>
        </is>
      </c>
      <c r="K318" s="115" t="inlineStr">
        <is>
          <t>Engrenagem rúnica da Sentinela Recém-Ativada, ainda calibrando os próprios movimentos.</t>
        </is>
      </c>
    </row>
    <row r="319">
      <c r="A319" s="115" t="n">
        <v>317</v>
      </c>
      <c r="B319" s="115" t="inlineStr">
        <is>
          <t>Tier 5</t>
        </is>
      </c>
      <c r="C319" s="115" t="inlineStr">
        <is>
          <t>Cauda Espectral de Raposa Jovem</t>
        </is>
      </c>
      <c r="D319" s="115" t="inlineStr">
        <is>
          <t>Orgânico</t>
        </is>
      </c>
      <c r="E319" s="115" t="inlineStr">
        <is>
          <t>Ruínas Élficas / Bosques Pétreos — dropado por monstro específico</t>
        </is>
      </c>
      <c r="F319" s="115" t="inlineStr">
        <is>
          <t>Loot de monstro (não coletável no mundo)</t>
        </is>
      </c>
      <c r="G319" s="115" t="inlineStr">
        <is>
          <t>—</t>
        </is>
      </c>
      <c r="H319" s="115" t="inlineStr">
        <is>
          <t>Comum (Médio rendimento)</t>
        </is>
      </c>
      <c r="I319" s="115" t="inlineStr">
        <is>
          <t>Ingrediente de Amuleto da Raposa da Névoa (Acessório Tier 5)</t>
        </is>
      </c>
      <c r="K319" s="115" t="inlineStr">
        <is>
          <t>Cauda espectral da Raposa da Névoa Jovem, ainda aprendendo a se camuflar.</t>
        </is>
      </c>
    </row>
    <row r="320">
      <c r="A320" s="115" t="n">
        <v>318</v>
      </c>
      <c r="B320" s="115" t="inlineStr">
        <is>
          <t>Tier 5</t>
        </is>
      </c>
      <c r="C320" s="115" t="inlineStr">
        <is>
          <t>Seiva Viva Corrompida</t>
        </is>
      </c>
      <c r="D320" s="115" t="inlineStr">
        <is>
          <t>Orgânico / Material</t>
        </is>
      </c>
      <c r="E320" s="115" t="inlineStr">
        <is>
          <t>Ruínas Élficas / Bosques Pétreos — dropado por monstro específico</t>
        </is>
      </c>
      <c r="F320" s="115" t="inlineStr">
        <is>
          <t>Loot de monstro (não coletável no mundo)</t>
        </is>
      </c>
      <c r="G320" s="115" t="inlineStr">
        <is>
          <t>—</t>
        </is>
      </c>
      <c r="H320" s="115" t="inlineStr">
        <is>
          <t>Incomum (Médio rendimento)</t>
        </is>
      </c>
      <c r="I320" s="115" t="inlineStr">
        <is>
          <t>Ingrediente de Vial da Seiva Parasita (Acessório Tier 5)</t>
        </is>
      </c>
      <c r="K320" s="115" t="inlineStr">
        <is>
          <t>Seiva corrompida da Seiva Viva Menor, ainda não madura o suficiente pra virar parasita completo.</t>
        </is>
      </c>
    </row>
    <row r="321">
      <c r="A321" s="115" t="n">
        <v>319</v>
      </c>
      <c r="B321" s="115" t="inlineStr">
        <is>
          <t>Tier 5</t>
        </is>
      </c>
      <c r="C321" s="115" t="inlineStr">
        <is>
          <t>Arco Espectral de Arqueiro Fantasma</t>
        </is>
      </c>
      <c r="D321" s="115" t="inlineStr">
        <is>
          <t>Orgânico / Material</t>
        </is>
      </c>
      <c r="E321" s="115" t="inlineStr">
        <is>
          <t>Ruínas Élficas / Bosques Pétreos — dropado por monstro específico</t>
        </is>
      </c>
      <c r="F321" s="115" t="inlineStr">
        <is>
          <t>Loot de monstro (não coletável no mundo)</t>
        </is>
      </c>
      <c r="G321" s="115" t="inlineStr">
        <is>
          <t>—</t>
        </is>
      </c>
      <c r="H321" s="115" t="inlineStr">
        <is>
          <t>Comum (Médio rendimento)</t>
        </is>
      </c>
      <c r="I321" s="115" t="inlineStr">
        <is>
          <t>Ingrediente de Arco Espectral Reforçado (Acessório Tier 5)</t>
        </is>
      </c>
      <c r="K321" s="115" t="inlineStr">
        <is>
          <t>Arco espectral do Arqueiro Fantasma, sentinela morta há séculos que ainda está de guarda.</t>
        </is>
      </c>
    </row>
    <row r="322">
      <c r="A322" s="115" t="n">
        <v>320</v>
      </c>
      <c r="B322" s="115" t="inlineStr">
        <is>
          <t>Tier 5</t>
        </is>
      </c>
      <c r="C322" s="115" t="inlineStr">
        <is>
          <t>Núcleo Rúnico Desperto</t>
        </is>
      </c>
      <c r="D322" s="115" t="inlineStr">
        <is>
          <t>Orgânico / Material</t>
        </is>
      </c>
      <c r="E322" s="115" t="inlineStr">
        <is>
          <t>Ruínas Élficas / Bosques Pétreos — dropado por monstro específico</t>
        </is>
      </c>
      <c r="F322" s="115" t="inlineStr">
        <is>
          <t>Loot de monstro (não coletável no mundo)</t>
        </is>
      </c>
      <c r="G322" s="115" t="inlineStr">
        <is>
          <t>—</t>
        </is>
      </c>
      <c r="H322" s="115" t="inlineStr">
        <is>
          <t>Incomum (Médio rendimento)</t>
        </is>
      </c>
      <c r="I322" s="115" t="inlineStr">
        <is>
          <t>Ingrediente de Amuleto da Sentinela Ativada (Acessório Tier 5)</t>
        </is>
      </c>
      <c r="K322" s="115" t="inlineStr">
        <is>
          <t>Núcleo rúnico da Sentinela Desperta, que acordou antes do tempo quando algo perturbou o sono das ruínas.</t>
        </is>
      </c>
    </row>
    <row r="323">
      <c r="A323" s="115" t="n">
        <v>321</v>
      </c>
      <c r="B323" s="115" t="inlineStr">
        <is>
          <t>Tier 5</t>
        </is>
      </c>
      <c r="C323" s="115" t="inlineStr">
        <is>
          <t>Lâmina Espectral Quebrada</t>
        </is>
      </c>
      <c r="D323" s="115" t="inlineStr">
        <is>
          <t>Orgânico / Material</t>
        </is>
      </c>
      <c r="E323" s="115" t="inlineStr">
        <is>
          <t>Ruínas Élficas / Bosques Pétreos — dropado por monstro específico</t>
        </is>
      </c>
      <c r="F323" s="115" t="inlineStr">
        <is>
          <t>Loot de monstro (não coletável no mundo)</t>
        </is>
      </c>
      <c r="G323" s="115" t="inlineStr">
        <is>
          <t>—</t>
        </is>
      </c>
      <c r="H323" s="115" t="inlineStr">
        <is>
          <t>Comum (Médio rendimento)</t>
        </is>
      </c>
      <c r="I323" s="115" t="inlineStr">
        <is>
          <t>Ingrediente de Lâmina Espectral Reforjada (Acessório Tier 5)</t>
        </is>
      </c>
      <c r="K323" s="115" t="inlineStr">
        <is>
          <t>Lâmina quebrada da Lâmina Fantasma, guarda élfica que morreu de lâmina em punho e ainda não largou.</t>
        </is>
      </c>
    </row>
    <row r="324">
      <c r="A324" s="115" t="n">
        <v>322</v>
      </c>
      <c r="B324" s="115" t="inlineStr">
        <is>
          <t>Tier 5</t>
        </is>
      </c>
      <c r="C324" s="115" t="inlineStr">
        <is>
          <t>Cauda Espectral de Raposa da Névoa</t>
        </is>
      </c>
      <c r="D324" s="115" t="inlineStr">
        <is>
          <t>Orgânico</t>
        </is>
      </c>
      <c r="E324" s="115" t="inlineStr">
        <is>
          <t>Ruínas Élficas / Bosques Pétreos — dropado por monstro específico</t>
        </is>
      </c>
      <c r="F324" s="115" t="inlineStr">
        <is>
          <t>Loot de monstro (não coletável no mundo)</t>
        </is>
      </c>
      <c r="G324" s="115" t="inlineStr">
        <is>
          <t>—</t>
        </is>
      </c>
      <c r="H324" s="115" t="inlineStr">
        <is>
          <t>Incomum (Médio rendimento)</t>
        </is>
      </c>
      <c r="I324" s="115" t="inlineStr">
        <is>
          <t>Ingrediente de Amuleto da Raposa da Névoa (Acessório Tier 5)</t>
        </is>
      </c>
      <c r="K324" s="115" t="inlineStr">
        <is>
          <t>Cauda espectral da Raposa da Névoa, que some e reaparece entre a névoa que cobre as ruínas à noite.</t>
        </is>
      </c>
    </row>
    <row r="325">
      <c r="A325" s="115" t="n">
        <v>323</v>
      </c>
      <c r="B325" s="115" t="inlineStr">
        <is>
          <t>Tier 5</t>
        </is>
      </c>
      <c r="C325" s="115" t="inlineStr">
        <is>
          <t>Fragmento da Última Canção</t>
        </is>
      </c>
      <c r="D325" s="115" t="inlineStr">
        <is>
          <t>Orgânico / Material</t>
        </is>
      </c>
      <c r="E325" s="115" t="inlineStr">
        <is>
          <t>Ruínas Élficas / Bosques Pétreos — dropado por monstro específico</t>
        </is>
      </c>
      <c r="F325" s="115" t="inlineStr">
        <is>
          <t>Loot de monstro (não coletável no mundo)</t>
        </is>
      </c>
      <c r="G325" s="115" t="inlineStr">
        <is>
          <t>—</t>
        </is>
      </c>
      <c r="H325" s="115" t="inlineStr">
        <is>
          <t>Raro (Baixo rendimento)</t>
        </is>
      </c>
      <c r="I325" s="115" t="inlineStr">
        <is>
          <t>Ingrediente de Fragmento da Canção Eterna (Acessório Tier 5)</t>
        </is>
      </c>
      <c r="K325" s="115" t="inlineStr">
        <is>
          <t>Fragmento de uma canção élfica que nunca terminou de tocar, ouvida à noite nos Bosques Pétreos.</t>
        </is>
      </c>
    </row>
    <row r="326">
      <c r="A326" s="115" t="n">
        <v>324</v>
      </c>
      <c r="B326" s="115" t="inlineStr">
        <is>
          <t>Tier 5</t>
        </is>
      </c>
      <c r="C326" s="115" t="inlineStr">
        <is>
          <t>Arco Corrompido de Batedor Élfico</t>
        </is>
      </c>
      <c r="D326" s="115" t="inlineStr">
        <is>
          <t>Orgânico / Material</t>
        </is>
      </c>
      <c r="E326" s="115" t="inlineStr">
        <is>
          <t>Ruínas Élficas / Bosques Pétreos — dropado por monstro específico</t>
        </is>
      </c>
      <c r="F326" s="115" t="inlineStr">
        <is>
          <t>Loot de monstro (não coletável no mundo)</t>
        </is>
      </c>
      <c r="G326" s="115" t="inlineStr">
        <is>
          <t>—</t>
        </is>
      </c>
      <c r="H326" s="115" t="inlineStr">
        <is>
          <t>Comum (Médio rendimento)</t>
        </is>
      </c>
      <c r="I326" s="115" t="inlineStr">
        <is>
          <t>Ingrediente de Arco Espectral Reforçado (Acessório Tier 5)</t>
        </is>
      </c>
      <c r="K326" s="115" t="inlineStr">
        <is>
          <t>Arco do Batedor Élfico Recém-Corrompido, que ainda mantém parte da precisão élfica original.</t>
        </is>
      </c>
    </row>
    <row r="327">
      <c r="A327" s="115" t="n">
        <v>325</v>
      </c>
      <c r="B327" s="115" t="inlineStr">
        <is>
          <t>Tier 5</t>
        </is>
      </c>
      <c r="C327" s="115" t="inlineStr">
        <is>
          <t>Fragmento de Pedra Rachada</t>
        </is>
      </c>
      <c r="D327" s="115" t="inlineStr">
        <is>
          <t>Orgânico / Material</t>
        </is>
      </c>
      <c r="E327" s="115" t="inlineStr">
        <is>
          <t>Ruínas Élficas / Bosques Pétreos — dropado por monstro específico</t>
        </is>
      </c>
      <c r="F327" s="115" t="inlineStr">
        <is>
          <t>Loot de monstro (não coletável no mundo)</t>
        </is>
      </c>
      <c r="G327" s="115" t="inlineStr">
        <is>
          <t>—</t>
        </is>
      </c>
      <c r="H327" s="115" t="inlineStr">
        <is>
          <t>Comum (Médio rendimento)</t>
        </is>
      </c>
      <c r="I327" s="115" t="inlineStr">
        <is>
          <t>Ingrediente de Amuleto do Guardião de Pedra (Acessório Tier 5)</t>
        </is>
      </c>
      <c r="K327" s="115" t="inlineStr">
        <is>
          <t>Fragmento de pedra do Guardião de Pedra Rachado, desgastado pelo tempo.</t>
        </is>
      </c>
    </row>
    <row r="328">
      <c r="A328" s="115" t="n">
        <v>326</v>
      </c>
      <c r="B328" s="115" t="inlineStr">
        <is>
          <t>Tier 5</t>
        </is>
      </c>
      <c r="C328" s="115" t="inlineStr">
        <is>
          <t>Eco Menor Fragmentado</t>
        </is>
      </c>
      <c r="D328" s="115" t="inlineStr">
        <is>
          <t>Orgânico / Material</t>
        </is>
      </c>
      <c r="E328" s="115" t="inlineStr">
        <is>
          <t>Ruínas Élficas / Bosques Pétreos — dropado por monstro específico</t>
        </is>
      </c>
      <c r="F328" s="115" t="inlineStr">
        <is>
          <t>Loot de monstro (não coletável no mundo)</t>
        </is>
      </c>
      <c r="G328" s="115" t="inlineStr">
        <is>
          <t>—</t>
        </is>
      </c>
      <c r="H328" s="115" t="inlineStr">
        <is>
          <t>Incomum (Baixo rendimento)</t>
        </is>
      </c>
      <c r="I328" s="115" t="inlineStr">
        <is>
          <t>Ingrediente de Fragmento da Canção Eterna (Acessório Tier 5)</t>
        </is>
      </c>
      <c r="K328" s="115" t="inlineStr">
        <is>
          <t>Eco menor fragmentado, resto pequeno do Eco da Última Canção.</t>
        </is>
      </c>
    </row>
    <row r="329">
      <c r="A329" s="115" t="n">
        <v>327</v>
      </c>
      <c r="B329" s="115" t="inlineStr">
        <is>
          <t>Tier 5</t>
        </is>
      </c>
      <c r="C329" s="115" t="inlineStr">
        <is>
          <t>Lâmina Espectral Menor</t>
        </is>
      </c>
      <c r="D329" s="115" t="inlineStr">
        <is>
          <t>Orgânico / Material</t>
        </is>
      </c>
      <c r="E329" s="115" t="inlineStr">
        <is>
          <t>Ruínas Élficas / Bosques Pétreos — dropado por monstro específico</t>
        </is>
      </c>
      <c r="F329" s="115" t="inlineStr">
        <is>
          <t>Loot de monstro (não coletável no mundo)</t>
        </is>
      </c>
      <c r="G329" s="115" t="inlineStr">
        <is>
          <t>—</t>
        </is>
      </c>
      <c r="H329" s="115" t="inlineStr">
        <is>
          <t>Comum (Médio rendimento)</t>
        </is>
      </c>
      <c r="I329" s="115" t="inlineStr">
        <is>
          <t>Ingrediente de Lâmina Espectral Reforjada (Acessório Tier 5)</t>
        </is>
      </c>
      <c r="K329" s="115" t="inlineStr">
        <is>
          <t>Lâmina espectral menor, resto de um guarda que morreu de forma mais rápida que a Lâmina Fantasma original.</t>
        </is>
      </c>
    </row>
    <row r="330">
      <c r="A330" s="115" t="n">
        <v>328</v>
      </c>
      <c r="B330" s="115" t="inlineStr">
        <is>
          <t>Tier 5</t>
        </is>
      </c>
      <c r="C330" s="115" t="inlineStr">
        <is>
          <t>Seiva Escurecida de Aranha</t>
        </is>
      </c>
      <c r="D330" s="115" t="inlineStr">
        <is>
          <t>Orgânico / Material</t>
        </is>
      </c>
      <c r="E330" s="115" t="inlineStr">
        <is>
          <t>Ruínas Élficas / Bosques Pétreos — dropado por monstro específico</t>
        </is>
      </c>
      <c r="F330" s="115" t="inlineStr">
        <is>
          <t>Loot de monstro (não coletável no mundo)</t>
        </is>
      </c>
      <c r="G330" s="115" t="inlineStr">
        <is>
          <t>—</t>
        </is>
      </c>
      <c r="H330" s="115" t="inlineStr">
        <is>
          <t>Incomum (Médio rendimento)</t>
        </is>
      </c>
      <c r="I330" s="115" t="inlineStr">
        <is>
          <t>Ingrediente de Vial da Seiva Escurecida (Acessório Tier 5)</t>
        </is>
      </c>
      <c r="K330" s="115" t="inlineStr">
        <is>
          <t>Seiva escurecida da Aranha-Seiva das Ruínas, que cresceu maior depois que a seiva prateada das árvores começou a escurecer perto das fendas de corrupção.</t>
        </is>
      </c>
    </row>
    <row r="331">
      <c r="A331" s="115" t="n">
        <v>329</v>
      </c>
      <c r="B331" s="115" t="inlineStr">
        <is>
          <t>Tier 5</t>
        </is>
      </c>
      <c r="C331" s="115" t="inlineStr">
        <is>
          <t>Capuz Silencioso da Ordem</t>
        </is>
      </c>
      <c r="D331" s="115" t="inlineStr">
        <is>
          <t>Orgânico</t>
        </is>
      </c>
      <c r="E331" s="115" t="inlineStr">
        <is>
          <t>Ruínas Élficas / Bosques Pétreos — dropado por monstro específico</t>
        </is>
      </c>
      <c r="F331" s="115" t="inlineStr">
        <is>
          <t>Loot de monstro (não coletável no mundo)</t>
        </is>
      </c>
      <c r="G331" s="115" t="inlineStr">
        <is>
          <t>—</t>
        </is>
      </c>
      <c r="H331" s="115" t="inlineStr">
        <is>
          <t>Incomum (Médio rendimento)</t>
        </is>
      </c>
      <c r="I331" s="115" t="inlineStr">
        <is>
          <t>Ingrediente de Capuz da Ordem do Silêncio Eterno (Acessório Tier 5)</t>
        </is>
      </c>
      <c r="K331" s="115" t="inlineStr">
        <is>
          <t>Capuz do Assassino Silente, operativo da Ordem do Silêncio Eterno que caça conjuradores pra 'proteger o mundo do próprio som'.</t>
        </is>
      </c>
    </row>
    <row r="332">
      <c r="A332" s="115" t="n">
        <v>330</v>
      </c>
      <c r="B332" s="115" t="inlineStr">
        <is>
          <t>Tier 5</t>
        </is>
      </c>
      <c r="C332" s="115" t="inlineStr">
        <is>
          <t>Arco Corrompido de Batedor Veterano</t>
        </is>
      </c>
      <c r="D332" s="115" t="inlineStr">
        <is>
          <t>Orgânico / Material</t>
        </is>
      </c>
      <c r="E332" s="115" t="inlineStr">
        <is>
          <t>Ruínas Élficas / Bosques Pétreos — dropado por monstro específico</t>
        </is>
      </c>
      <c r="F332" s="115" t="inlineStr">
        <is>
          <t>Loot de monstro (não coletável no mundo)</t>
        </is>
      </c>
      <c r="G332" s="115" t="inlineStr">
        <is>
          <t>—</t>
        </is>
      </c>
      <c r="H332" s="115" t="inlineStr">
        <is>
          <t>Comum (Médio rendimento)</t>
        </is>
      </c>
      <c r="I332" s="115" t="inlineStr">
        <is>
          <t>Ingrediente de Capuz da Ordem do Silêncio Eterno (Acessório Tier 5)</t>
        </is>
      </c>
      <c r="K332" s="115" t="inlineStr">
        <is>
          <t>Arco do Batedor Élfico Corrompido, que antes rastreava intrusos e agora rastreia qualquer coisa viva.</t>
        </is>
      </c>
    </row>
    <row r="333">
      <c r="A333" s="115" t="n">
        <v>331</v>
      </c>
      <c r="B333" s="115" t="inlineStr">
        <is>
          <t>Tier 5</t>
        </is>
      </c>
      <c r="C333" s="115" t="inlineStr">
        <is>
          <t>Corda Rúnica de Caçador Menor</t>
        </is>
      </c>
      <c r="D333" s="115" t="inlineStr">
        <is>
          <t>Orgânico / Material</t>
        </is>
      </c>
      <c r="E333" s="115" t="inlineStr">
        <is>
          <t>Ruínas Élficas / Bosques Pétreos — dropado por monstro específico</t>
        </is>
      </c>
      <c r="F333" s="115" t="inlineStr">
        <is>
          <t>Loot de monstro (não coletável no mundo)</t>
        </is>
      </c>
      <c r="G333" s="115" t="inlineStr">
        <is>
          <t>—</t>
        </is>
      </c>
      <c r="H333" s="115" t="inlineStr">
        <is>
          <t>Comum (Médio rendimento)</t>
        </is>
      </c>
      <c r="I333" s="115" t="inlineStr">
        <is>
          <t>Ingrediente de Vial da Seiva Escurecida (Acessório Tier 5)</t>
        </is>
      </c>
      <c r="K333" s="115" t="inlineStr">
        <is>
          <t>Corda rúnica do Caçador de Conjuradores Menor, treinado pra rastrear magia nas ruínas.</t>
        </is>
      </c>
    </row>
    <row r="334">
      <c r="A334" s="115" t="n">
        <v>332</v>
      </c>
      <c r="B334" s="115" t="inlineStr">
        <is>
          <t>Tier 5</t>
        </is>
      </c>
      <c r="C334" s="115" t="inlineStr">
        <is>
          <t>Casca Corrompida de Ent Ancião</t>
        </is>
      </c>
      <c r="D334" s="115" t="inlineStr">
        <is>
          <t>Orgânico</t>
        </is>
      </c>
      <c r="E334" s="115" t="inlineStr">
        <is>
          <t>Ruínas Élficas / Bosques Pétreos — dropado por monstro específico</t>
        </is>
      </c>
      <c r="F334" s="115" t="inlineStr">
        <is>
          <t>Loot de monstro (não coletável no mundo)</t>
        </is>
      </c>
      <c r="G334" s="115" t="inlineStr">
        <is>
          <t>—</t>
        </is>
      </c>
      <c r="H334" s="115" t="inlineStr">
        <is>
          <t>Incomum (Médio rendimento)</t>
        </is>
      </c>
      <c r="I334" s="115" t="inlineStr">
        <is>
          <t>Ingrediente de Casca do Ent Corrompido (Acessório Tier 5)</t>
        </is>
      </c>
      <c r="K334" s="115" t="inlineStr">
        <is>
          <t>Casca do Ent Ancião Corrompido, mais velho e mais forte que o Ent Pequeno, corrompido há mais tempo.</t>
        </is>
      </c>
    </row>
    <row r="335">
      <c r="A335" s="115" t="n">
        <v>333</v>
      </c>
      <c r="B335" s="115" t="inlineStr">
        <is>
          <t>Tier 5</t>
        </is>
      </c>
      <c r="C335" s="115" t="inlineStr">
        <is>
          <t>Fragmento de Raiz Armadilhada</t>
        </is>
      </c>
      <c r="D335" s="115" t="inlineStr">
        <is>
          <t>Troféu de Monstro</t>
        </is>
      </c>
      <c r="E335" s="115" t="inlineStr">
        <is>
          <t>Loot de Árvore Sentinela Falsa (Elite)</t>
        </is>
      </c>
      <c r="F335" s="115" t="inlineStr">
        <is>
          <t>Loot de monstro (não coletável no mundo)</t>
        </is>
      </c>
      <c r="G335" s="115" t="inlineStr">
        <is>
          <t>—</t>
        </is>
      </c>
      <c r="H335" s="115" t="inlineStr">
        <is>
          <t>Incomum (Baixo rendimento)</t>
        </is>
      </c>
      <c r="I335" s="115" t="inlineStr">
        <is>
          <t>Ingrediente de Fechadura da Árvore Falsa (Acessório Tier 5)</t>
        </is>
      </c>
      <c r="J335" s="115" t="n">
        <v>35</v>
      </c>
      <c r="K335" s="115" t="inlineStr">
        <is>
          <t>Raiz mecanizada da Árvore Sentinela Falsa, armadilha viva plantada pela Vigília pra pegar saqueadores das ruínas.</t>
        </is>
      </c>
      <c r="M335" s="115" t="inlineStr">
        <is>
          <t>🐾</t>
        </is>
      </c>
    </row>
    <row r="336">
      <c r="A336" s="115" t="n">
        <v>334</v>
      </c>
      <c r="B336" s="115" t="inlineStr">
        <is>
          <t>Tier 5</t>
        </is>
      </c>
      <c r="C336" s="115" t="inlineStr">
        <is>
          <t>Pelo Prateado do Cervo</t>
        </is>
      </c>
      <c r="D336" s="115" t="inlineStr">
        <is>
          <t>Troféu de Monstro</t>
        </is>
      </c>
      <c r="E336" s="115" t="inlineStr">
        <is>
          <t>Loot de Cervo Prateado das Ruínas (Elite)</t>
        </is>
      </c>
      <c r="F336" s="115" t="inlineStr">
        <is>
          <t>Loot de monstro (não coletável no mundo)</t>
        </is>
      </c>
      <c r="G336" s="115" t="inlineStr">
        <is>
          <t>—</t>
        </is>
      </c>
      <c r="H336" s="115" t="inlineStr">
        <is>
          <t>Raro (Baixo rendimento)</t>
        </is>
      </c>
      <c r="I336" s="115" t="inlineStr">
        <is>
          <t>Ingrediente de Amuleto do Cervo Prateado (Acessório Tier 5)</t>
        </is>
      </c>
      <c r="J336" s="115" t="n">
        <v>35</v>
      </c>
      <c r="K336" s="115" t="inlineStr">
        <is>
          <t>Pelo prateado do Cervo Prateado, última linhagem de cervos que bebiam da fonte élfica antiga.</t>
        </is>
      </c>
      <c r="M336" s="115" t="inlineStr">
        <is>
          <t>🐾</t>
        </is>
      </c>
    </row>
    <row r="337">
      <c r="A337" s="115" t="n">
        <v>335</v>
      </c>
      <c r="B337" s="115" t="inlineStr">
        <is>
          <t>Tier 5</t>
        </is>
      </c>
      <c r="C337" s="115" t="inlineStr">
        <is>
          <t>Fragmento de Guardião Menor dos Portões</t>
        </is>
      </c>
      <c r="D337" s="115" t="inlineStr">
        <is>
          <t>Troféu de Monstro</t>
        </is>
      </c>
      <c r="E337" s="115" t="inlineStr">
        <is>
          <t>Loot de Guardião Menor dos Portões (Elite)</t>
        </is>
      </c>
      <c r="F337" s="115" t="inlineStr">
        <is>
          <t>Loot de monstro (não coletável no mundo)</t>
        </is>
      </c>
      <c r="G337" s="115" t="inlineStr">
        <is>
          <t>—</t>
        </is>
      </c>
      <c r="H337" s="115" t="inlineStr">
        <is>
          <t>Incomum (Baixo rendimento)</t>
        </is>
      </c>
      <c r="I337" s="115" t="inlineStr">
        <is>
          <t>Ingrediente de Broche do Guardião Menor dos Portões (Acessório Tier 5)</t>
        </is>
      </c>
      <c r="J337" s="115" t="n">
        <v>35</v>
      </c>
      <c r="K337" s="115" t="inlineStr">
        <is>
          <t>Fragmento do Guardião Menor dos Portões, que protege uma entrada secundária das ruínas.</t>
        </is>
      </c>
      <c r="M337" s="115" t="inlineStr">
        <is>
          <t>🐾</t>
        </is>
      </c>
    </row>
    <row r="338">
      <c r="A338" s="115" t="n">
        <v>336</v>
      </c>
      <c r="B338" s="115" t="inlineStr">
        <is>
          <t>Tier 5</t>
        </is>
      </c>
      <c r="C338" s="115" t="inlineStr">
        <is>
          <t>Fragmento de Guardião dos Portões</t>
        </is>
      </c>
      <c r="D338" s="115" t="inlineStr">
        <is>
          <t>Troféu de Monstro</t>
        </is>
      </c>
      <c r="E338" s="115" t="inlineStr">
        <is>
          <t>Loot de Guardião dos Portões (Elite)</t>
        </is>
      </c>
      <c r="F338" s="115" t="inlineStr">
        <is>
          <t>Loot de monstro (não coletável no mundo)</t>
        </is>
      </c>
      <c r="G338" s="115" t="inlineStr">
        <is>
          <t>—</t>
        </is>
      </c>
      <c r="H338" s="115" t="inlineStr">
        <is>
          <t>Incomum (Baixo rendimento)</t>
        </is>
      </c>
      <c r="I338" s="115" t="inlineStr">
        <is>
          <t>Ingrediente de Broche do Guardião dos Portões (Acessório Tier 5)</t>
        </is>
      </c>
      <c r="J338" s="115" t="n">
        <v>35</v>
      </c>
      <c r="K338" s="115" t="inlineStr">
        <is>
          <t>Fragmento do Guardião dos Portões, programado ou encantado pra nunca abandonar o portão principal.</t>
        </is>
      </c>
      <c r="M338" s="115" t="inlineStr">
        <is>
          <t>🐾</t>
        </is>
      </c>
    </row>
    <row r="339">
      <c r="A339" s="115" t="n">
        <v>337</v>
      </c>
      <c r="B339" s="115" t="inlineStr">
        <is>
          <t>Tier 5</t>
        </is>
      </c>
      <c r="C339" s="115" t="inlineStr">
        <is>
          <t>Fragmento de Caçador Veterano</t>
        </is>
      </c>
      <c r="D339" s="115" t="inlineStr">
        <is>
          <t>Troféu de Monstro</t>
        </is>
      </c>
      <c r="E339" s="115" t="inlineStr">
        <is>
          <t>Loot de Caçador de Conjuradores Veterano (Elite)</t>
        </is>
      </c>
      <c r="F339" s="115" t="inlineStr">
        <is>
          <t>Loot de monstro (não coletável no mundo)</t>
        </is>
      </c>
      <c r="G339" s="115" t="inlineStr">
        <is>
          <t>—</t>
        </is>
      </c>
      <c r="H339" s="115" t="inlineStr">
        <is>
          <t>Incomum (Baixo rendimento)</t>
        </is>
      </c>
      <c r="I339" s="115" t="inlineStr">
        <is>
          <t>Ingrediente de Amuleto do Caçador Veterano (Acessório Tier 5)</t>
        </is>
      </c>
      <c r="J339" s="115" t="n">
        <v>35</v>
      </c>
      <c r="K339" s="115" t="inlineStr">
        <is>
          <t>Fragmento do Caçador de Conjuradores Veterano, versão experiente do Caçador Menor.</t>
        </is>
      </c>
      <c r="M339" s="115" t="inlineStr">
        <is>
          <t>🐾</t>
        </is>
      </c>
    </row>
    <row r="340">
      <c r="A340" s="115" t="n">
        <v>338</v>
      </c>
      <c r="B340" s="115" t="inlineStr">
        <is>
          <t>Tier 5</t>
        </is>
      </c>
      <c r="C340" s="115" t="inlineStr">
        <is>
          <t>Fragmento da Vigília Élfica</t>
        </is>
      </c>
      <c r="D340" s="115" t="inlineStr">
        <is>
          <t>Troféu de Monstro</t>
        </is>
      </c>
      <c r="E340" s="115" t="inlineStr">
        <is>
          <t>Loot de Vigília Élfica, a Que Não Dorme (Nomeado) (Elite)</t>
        </is>
      </c>
      <c r="F340" s="115" t="inlineStr">
        <is>
          <t>Loot de monstro (não coletável no mundo)</t>
        </is>
      </c>
      <c r="G340" s="115" t="inlineStr">
        <is>
          <t>—</t>
        </is>
      </c>
      <c r="H340" s="115" t="inlineStr">
        <is>
          <t>Raro (Baixo rendimento - Elite Nomeado)</t>
        </is>
      </c>
      <c r="I340" s="115" t="inlineStr">
        <is>
          <t>Ingrediente de Broche da Vigília que Não Dorme (Acessório Tier 5)</t>
        </is>
      </c>
      <c r="J340" s="115" t="n">
        <v>40</v>
      </c>
      <c r="K340" s="115" t="inlineStr">
        <is>
          <t>Parte física da Vigília Élfica, guardada só se ela for derrotada em vez de testada — a única sentinela que nunca dormiu, século após século.</t>
        </is>
      </c>
      <c r="M340" s="115" t="inlineStr">
        <is>
          <t>🐾</t>
        </is>
      </c>
    </row>
    <row r="341">
      <c r="A341" s="115" t="n">
        <v>339</v>
      </c>
      <c r="B341" s="115" t="inlineStr">
        <is>
          <t>Tier 6</t>
        </is>
      </c>
      <c r="C341" s="115" t="inlineStr">
        <is>
          <t>Ferramenta Enferrujada do Último Anão</t>
        </is>
      </c>
      <c r="D341" s="115" t="inlineStr">
        <is>
          <t>Orgânico / Material</t>
        </is>
      </c>
      <c r="E341" s="115" t="inlineStr">
        <is>
          <t>Câmara Mecânica Anã — dropado por monstro específico</t>
        </is>
      </c>
      <c r="F341" s="115" t="inlineStr">
        <is>
          <t>Loot de monstro (não coletável no mundo)</t>
        </is>
      </c>
      <c r="G341" s="115" t="inlineStr">
        <is>
          <t>—</t>
        </is>
      </c>
      <c r="H341" s="115" t="inlineStr">
        <is>
          <t>Comum (Médio rendimento)</t>
        </is>
      </c>
      <c r="I341" s="115" t="inlineStr">
        <is>
          <t>Ingrediente de Amuleto do Último Anão (Acessório Tier 6)</t>
        </is>
      </c>
      <c r="K341" s="115" t="inlineStr">
        <is>
          <t>Ferramenta do Anão Sobrevivente, escondido numa tubulação desde que o Núcleo desgovernou.</t>
        </is>
      </c>
    </row>
    <row r="342">
      <c r="A342" s="115" t="n">
        <v>340</v>
      </c>
      <c r="B342" s="115" t="inlineStr">
        <is>
          <t>Tier 6</t>
        </is>
      </c>
      <c r="C342" s="115" t="inlineStr">
        <is>
          <t>Engrenagem Solta de Vigia Menor</t>
        </is>
      </c>
      <c r="D342" s="115" t="inlineStr">
        <is>
          <t>Orgânico / Material</t>
        </is>
      </c>
      <c r="E342" s="115" t="inlineStr">
        <is>
          <t>Câmara Mecânica Anã — dropado por monstro específico</t>
        </is>
      </c>
      <c r="F342" s="115" t="inlineStr">
        <is>
          <t>Loot de monstro (não coletável no mundo)</t>
        </is>
      </c>
      <c r="G342" s="115" t="inlineStr">
        <is>
          <t>—</t>
        </is>
      </c>
      <c r="H342" s="115" t="inlineStr">
        <is>
          <t>Comum (Alto rendimento)</t>
        </is>
      </c>
      <c r="I342" s="115" t="inlineStr">
        <is>
          <t>Ingrediente de Amuleto do Autômato de Vigia (Acessório Tier 6)</t>
        </is>
      </c>
      <c r="K342" s="115" t="inlineStr">
        <is>
          <t>Engrenagem solta do Autômato de Vigia Menor, versão mais antiga e desgastada.</t>
        </is>
      </c>
    </row>
    <row r="343">
      <c r="A343" s="115" t="n">
        <v>341</v>
      </c>
      <c r="B343" s="115" t="inlineStr">
        <is>
          <t>Tier 6</t>
        </is>
      </c>
      <c r="C343" s="115" t="inlineStr">
        <is>
          <t>Garra Reciclada de Devorador Menor</t>
        </is>
      </c>
      <c r="D343" s="115" t="inlineStr">
        <is>
          <t>Orgânico / Material</t>
        </is>
      </c>
      <c r="E343" s="115" t="inlineStr">
        <is>
          <t>Câmara Mecânica Anã — dropado por monstro específico</t>
        </is>
      </c>
      <c r="F343" s="115" t="inlineStr">
        <is>
          <t>Loot de monstro (não coletável no mundo)</t>
        </is>
      </c>
      <c r="G343" s="115" t="inlineStr">
        <is>
          <t>—</t>
        </is>
      </c>
      <c r="H343" s="115" t="inlineStr">
        <is>
          <t>Comum (Médio rendimento)</t>
        </is>
      </c>
      <c r="I343" s="115" t="inlineStr">
        <is>
          <t>Ingrediente de Garra do Devorador Reciclado (Acessório Tier 6)</t>
        </is>
      </c>
      <c r="K343" s="115" t="inlineStr">
        <is>
          <t>Garra do Devorador de Sucata Menor, que recicla metal em menor escala.</t>
        </is>
      </c>
    </row>
    <row r="344">
      <c r="A344" s="115" t="n">
        <v>342</v>
      </c>
      <c r="B344" s="115" t="inlineStr">
        <is>
          <t>Tier 6</t>
        </is>
      </c>
      <c r="C344" s="115" t="inlineStr">
        <is>
          <t>Resíduo de Vapor Fraco</t>
        </is>
      </c>
      <c r="D344" s="115" t="inlineStr">
        <is>
          <t>Orgânico / Material</t>
        </is>
      </c>
      <c r="E344" s="115" t="inlineStr">
        <is>
          <t>Câmara Mecânica Anã — dropado por monstro específico</t>
        </is>
      </c>
      <c r="F344" s="115" t="inlineStr">
        <is>
          <t>Loot de monstro (não coletável no mundo)</t>
        </is>
      </c>
      <c r="G344" s="115" t="inlineStr">
        <is>
          <t>—</t>
        </is>
      </c>
      <c r="H344" s="115" t="inlineStr">
        <is>
          <t>Comum (Alto rendimento)</t>
        </is>
      </c>
      <c r="I344" s="115" t="inlineStr">
        <is>
          <t>Ingrediente de Vial do Vapor Grudado (Acessório Tier 6)</t>
        </is>
      </c>
      <c r="K344" s="115" t="inlineStr">
        <is>
          <t>Resíduo do Vapor Fraco Grudado, versão inicial do parasita de vapor.</t>
        </is>
      </c>
    </row>
    <row r="345">
      <c r="A345" s="115" t="n">
        <v>343</v>
      </c>
      <c r="B345" s="115" t="inlineStr">
        <is>
          <t>Tier 6</t>
        </is>
      </c>
      <c r="C345" s="115" t="inlineStr">
        <is>
          <t>Placa Quebrada de Autômato</t>
        </is>
      </c>
      <c r="D345" s="115" t="inlineStr">
        <is>
          <t>Orgânico / Material</t>
        </is>
      </c>
      <c r="E345" s="115" t="inlineStr">
        <is>
          <t>Câmara Mecânica Anã — dropado por monstro específico</t>
        </is>
      </c>
      <c r="F345" s="115" t="inlineStr">
        <is>
          <t>Loot de monstro (não coletável no mundo)</t>
        </is>
      </c>
      <c r="G345" s="115" t="inlineStr">
        <is>
          <t>—</t>
        </is>
      </c>
      <c r="H345" s="115" t="inlineStr">
        <is>
          <t>Comum (Médio rendimento)</t>
        </is>
      </c>
      <c r="I345" s="115" t="inlineStr">
        <is>
          <t>Ingrediente de Amuleto do Autômato de Vigia (Acessório Tier 6)</t>
        </is>
      </c>
      <c r="K345" s="115" t="inlineStr">
        <is>
          <t>Placa quebrada do Autômato Anão Quebrado, abandonado quando a Câmara foi lacrada às pressas.</t>
        </is>
      </c>
    </row>
    <row r="346">
      <c r="A346" s="115" t="n">
        <v>344</v>
      </c>
      <c r="B346" s="115" t="inlineStr">
        <is>
          <t>Tier 6</t>
        </is>
      </c>
      <c r="C346" s="115" t="inlineStr">
        <is>
          <t>Lente de Vigia Corrompida</t>
        </is>
      </c>
      <c r="D346" s="115" t="inlineStr">
        <is>
          <t>Orgânico / Material</t>
        </is>
      </c>
      <c r="E346" s="115" t="inlineStr">
        <is>
          <t>Câmara Mecânica Anã — dropado por monstro específico</t>
        </is>
      </c>
      <c r="F346" s="115" t="inlineStr">
        <is>
          <t>Loot de monstro (não coletável no mundo)</t>
        </is>
      </c>
      <c r="G346" s="115" t="inlineStr">
        <is>
          <t>—</t>
        </is>
      </c>
      <c r="H346" s="115" t="inlineStr">
        <is>
          <t>Comum (Médio rendimento)</t>
        </is>
      </c>
      <c r="I346" s="115" t="inlineStr">
        <is>
          <t>Ingrediente de Amuleto do Último Anão (Acessório Tier 6)</t>
        </is>
      </c>
      <c r="K346" s="115" t="inlineStr">
        <is>
          <t>Lente do Autômato de Vigia, programado só pra vigiar e avisar.</t>
        </is>
      </c>
    </row>
    <row r="347">
      <c r="A347" s="115" t="n">
        <v>345</v>
      </c>
      <c r="B347" s="115" t="inlineStr">
        <is>
          <t>Tier 6</t>
        </is>
      </c>
      <c r="C347" s="115" t="inlineStr">
        <is>
          <t>Caderno de Anotações do Aprendiz</t>
        </is>
      </c>
      <c r="D347" s="115" t="inlineStr">
        <is>
          <t>Orgânico / Material</t>
        </is>
      </c>
      <c r="E347" s="115" t="inlineStr">
        <is>
          <t>Câmara Mecânica Anã — dropado por monstro específico</t>
        </is>
      </c>
      <c r="F347" s="115" t="inlineStr">
        <is>
          <t>Loot de monstro (não coletável no mundo)</t>
        </is>
      </c>
      <c r="G347" s="115" t="inlineStr">
        <is>
          <t>—</t>
        </is>
      </c>
      <c r="H347" s="115" t="inlineStr">
        <is>
          <t>Incomum (Baixo rendimento)</t>
        </is>
      </c>
      <c r="I347" s="115" t="inlineStr">
        <is>
          <t>Ingrediente de Caderno do Engenheiro Aprendiz (Acessório Tier 6)</t>
        </is>
      </c>
      <c r="K347" s="115" t="inlineStr">
        <is>
          <t>Caderno de anotações do Engenheiro Aprendiz, preso na oficina desde que o Núcleo desgovernou.</t>
        </is>
      </c>
    </row>
    <row r="348">
      <c r="A348" s="115" t="n">
        <v>346</v>
      </c>
      <c r="B348" s="115" t="inlineStr">
        <is>
          <t>Tier 6</t>
        </is>
      </c>
      <c r="C348" s="115" t="inlineStr">
        <is>
          <t>Garra Reciclada de Devorador</t>
        </is>
      </c>
      <c r="D348" s="115" t="inlineStr">
        <is>
          <t>Orgânico / Material</t>
        </is>
      </c>
      <c r="E348" s="115" t="inlineStr">
        <is>
          <t>Câmara Mecânica Anã — dropado por monstro específico</t>
        </is>
      </c>
      <c r="F348" s="115" t="inlineStr">
        <is>
          <t>Loot de monstro (não coletável no mundo)</t>
        </is>
      </c>
      <c r="G348" s="115" t="inlineStr">
        <is>
          <t>—</t>
        </is>
      </c>
      <c r="H348" s="115" t="inlineStr">
        <is>
          <t>Comum (Médio rendimento)</t>
        </is>
      </c>
      <c r="I348" s="115" t="inlineStr">
        <is>
          <t>Ingrediente de Garra do Devorador Reciclado (Acessório Tier 6)</t>
        </is>
      </c>
      <c r="K348" s="115" t="inlineStr">
        <is>
          <t>Garra do Devorador de Sucata, que recicla metal de máquinas quebradas — inclusive as que ainda tinham gente dentro.</t>
        </is>
      </c>
    </row>
    <row r="349">
      <c r="A349" s="115" t="n">
        <v>347</v>
      </c>
      <c r="B349" s="115" t="inlineStr">
        <is>
          <t>Tier 6</t>
        </is>
      </c>
      <c r="C349" s="115" t="inlineStr">
        <is>
          <t>Resíduo de Vapor Corrosivo</t>
        </is>
      </c>
      <c r="D349" s="115" t="inlineStr">
        <is>
          <t>Orgânico / Material</t>
        </is>
      </c>
      <c r="E349" s="115" t="inlineStr">
        <is>
          <t>Câmara Mecânica Anã — dropado por monstro específico</t>
        </is>
      </c>
      <c r="F349" s="115" t="inlineStr">
        <is>
          <t>Loot de monstro (não coletável no mundo)</t>
        </is>
      </c>
      <c r="G349" s="115" t="inlineStr">
        <is>
          <t>—</t>
        </is>
      </c>
      <c r="H349" s="115" t="inlineStr">
        <is>
          <t>Incomum (Médio rendimento)</t>
        </is>
      </c>
      <c r="I349" s="115" t="inlineStr">
        <is>
          <t>Ingrediente de Vial do Vapor Grudado (Acessório Tier 6)</t>
        </is>
      </c>
      <c r="K349" s="115" t="inlineStr">
        <is>
          <t>Resíduo corrosivo do Vapor Corrosivo Grudado, vapor de fornalha que criou vida própria.</t>
        </is>
      </c>
    </row>
    <row r="350">
      <c r="A350" s="115" t="n">
        <v>348</v>
      </c>
      <c r="B350" s="115" t="inlineStr">
        <is>
          <t>Tier 6</t>
        </is>
      </c>
      <c r="C350" s="115" t="inlineStr">
        <is>
          <t>Haste de Pistão Menor</t>
        </is>
      </c>
      <c r="D350" s="115" t="inlineStr">
        <is>
          <t>Orgânico / Material</t>
        </is>
      </c>
      <c r="E350" s="115" t="inlineStr">
        <is>
          <t>Câmara Mecânica Anã — dropado por monstro específico</t>
        </is>
      </c>
      <c r="F350" s="115" t="inlineStr">
        <is>
          <t>Loot de monstro (não coletável no mundo)</t>
        </is>
      </c>
      <c r="G350" s="115" t="inlineStr">
        <is>
          <t>—</t>
        </is>
      </c>
      <c r="H350" s="115" t="inlineStr">
        <is>
          <t>Comum (Médio rendimento)</t>
        </is>
      </c>
      <c r="I350" s="115" t="inlineStr">
        <is>
          <t>Ingrediente de Amuleto do Pistão (Acessório Tier 6)</t>
        </is>
      </c>
      <c r="K350" s="115" t="inlineStr">
        <is>
          <t>Haste do Pistão Menor, peça da linha de montagem do corredor de vapor.</t>
        </is>
      </c>
    </row>
    <row r="351">
      <c r="A351" s="115" t="n">
        <v>349</v>
      </c>
      <c r="B351" s="115" t="inlineStr">
        <is>
          <t>Tier 6</t>
        </is>
      </c>
      <c r="C351" s="115" t="inlineStr">
        <is>
          <t>Luva Gasta de Engenheiro Cansado</t>
        </is>
      </c>
      <c r="D351" s="115" t="inlineStr">
        <is>
          <t>Orgânico</t>
        </is>
      </c>
      <c r="E351" s="115" t="inlineStr">
        <is>
          <t>Câmara Mecânica Anã — dropado por monstro específico</t>
        </is>
      </c>
      <c r="F351" s="115" t="inlineStr">
        <is>
          <t>Loot de monstro (não coletável no mundo)</t>
        </is>
      </c>
      <c r="G351" s="115" t="inlineStr">
        <is>
          <t>—</t>
        </is>
      </c>
      <c r="H351" s="115" t="inlineStr">
        <is>
          <t>Comum (Alto rendimento)</t>
        </is>
      </c>
      <c r="I351" s="115" t="inlineStr">
        <is>
          <t>Ingrediente de Caderno do Engenheiro Aprendiz (Acessório Tier 6)</t>
        </is>
      </c>
      <c r="K351" s="115" t="inlineStr">
        <is>
          <t>Luva gasta do Engenheiro Cansado, exausto de anos de trabalho forçado na câmara.</t>
        </is>
      </c>
    </row>
    <row r="352">
      <c r="A352" s="115" t="n">
        <v>350</v>
      </c>
      <c r="B352" s="115" t="inlineStr">
        <is>
          <t>Tier 6</t>
        </is>
      </c>
      <c r="C352" s="115" t="inlineStr">
        <is>
          <t>Válvula Menor Presa</t>
        </is>
      </c>
      <c r="D352" s="115" t="inlineStr">
        <is>
          <t>Orgânico / Material</t>
        </is>
      </c>
      <c r="E352" s="115" t="inlineStr">
        <is>
          <t>Câmara Mecânica Anã — dropado por monstro específico</t>
        </is>
      </c>
      <c r="F352" s="115" t="inlineStr">
        <is>
          <t>Loot de monstro (não coletável no mundo)</t>
        </is>
      </c>
      <c r="G352" s="115" t="inlineStr">
        <is>
          <t>—</t>
        </is>
      </c>
      <c r="H352" s="115" t="inlineStr">
        <is>
          <t>Incomum (Baixo rendimento)</t>
        </is>
      </c>
      <c r="I352" s="115" t="inlineStr">
        <is>
          <t>Ingrediente de Amuleto da Válvula Explosiva (Acessório Tier 6)</t>
        </is>
      </c>
      <c r="K352" s="115" t="inlineStr">
        <is>
          <t>Válvula de segurança presa, retirada da Válvula Menor antes de estourar de vez.</t>
        </is>
      </c>
    </row>
    <row r="353">
      <c r="A353" s="115" t="n">
        <v>351</v>
      </c>
      <c r="B353" s="115" t="inlineStr">
        <is>
          <t>Tier 6</t>
        </is>
      </c>
      <c r="C353" s="115" t="inlineStr">
        <is>
          <t>Roda de Trilho Menor</t>
        </is>
      </c>
      <c r="D353" s="115" t="inlineStr">
        <is>
          <t>Orgânico / Material</t>
        </is>
      </c>
      <c r="E353" s="115" t="inlineStr">
        <is>
          <t>Câmara Mecânica Anã — dropado por monstro específico</t>
        </is>
      </c>
      <c r="F353" s="115" t="inlineStr">
        <is>
          <t>Loot de monstro (não coletável no mundo)</t>
        </is>
      </c>
      <c r="G353" s="115" t="inlineStr">
        <is>
          <t>—</t>
        </is>
      </c>
      <c r="H353" s="115" t="inlineStr">
        <is>
          <t>Comum (Médio rendimento)</t>
        </is>
      </c>
      <c r="I353" s="115" t="inlineStr">
        <is>
          <t>Ingrediente de Roda do Trilho Vivo (Acessório Tier 6)</t>
        </is>
      </c>
      <c r="K353" s="115" t="inlineStr">
        <is>
          <t>Roda do Trilho Menor, vagão de mineração pequeno mais fácil de evitar.</t>
        </is>
      </c>
    </row>
    <row r="354">
      <c r="A354" s="115" t="n">
        <v>352</v>
      </c>
      <c r="B354" s="115" t="inlineStr">
        <is>
          <t>Tier 6</t>
        </is>
      </c>
      <c r="C354" s="115" t="inlineStr">
        <is>
          <t>Escova Mecânica de Limpeza</t>
        </is>
      </c>
      <c r="D354" s="115" t="inlineStr">
        <is>
          <t>Orgânico / Material</t>
        </is>
      </c>
      <c r="E354" s="115" t="inlineStr">
        <is>
          <t>Câmara Mecânica Anã — dropado por monstro específico</t>
        </is>
      </c>
      <c r="F354" s="115" t="inlineStr">
        <is>
          <t>Loot de monstro (não coletável no mundo)</t>
        </is>
      </c>
      <c r="G354" s="115" t="inlineStr">
        <is>
          <t>—</t>
        </is>
      </c>
      <c r="H354" s="115" t="inlineStr">
        <is>
          <t>Comum (Alto rendimento)</t>
        </is>
      </c>
      <c r="I354" s="115" t="inlineStr">
        <is>
          <t>Ingrediente de Engrenagem do Rato Mecânico (Acessório Tier 6)</t>
        </is>
      </c>
      <c r="K354" s="115" t="inlineStr">
        <is>
          <t>Escova mecânica do Autômato de Limpeza, programado só pra limpar mas luta de forma desajeitada.</t>
        </is>
      </c>
    </row>
    <row r="355">
      <c r="A355" s="115" t="n">
        <v>353</v>
      </c>
      <c r="B355" s="115" t="inlineStr">
        <is>
          <t>Tier 6</t>
        </is>
      </c>
      <c r="C355" s="115" t="inlineStr">
        <is>
          <t>Engrenagem de Rato Mecânico</t>
        </is>
      </c>
      <c r="D355" s="115" t="inlineStr">
        <is>
          <t>Orgânico / Material</t>
        </is>
      </c>
      <c r="E355" s="115" t="inlineStr">
        <is>
          <t>Câmara Mecânica Anã — dropado por monstro específico</t>
        </is>
      </c>
      <c r="F355" s="115" t="inlineStr">
        <is>
          <t>Loot de monstro (não coletável no mundo)</t>
        </is>
      </c>
      <c r="G355" s="115" t="inlineStr">
        <is>
          <t>—</t>
        </is>
      </c>
      <c r="H355" s="115" t="inlineStr">
        <is>
          <t>Comum (Médio rendimento)</t>
        </is>
      </c>
      <c r="I355" s="115" t="inlineStr">
        <is>
          <t>Ingrediente de Engrenagem do Rato Mecânico (Acessório Tier 6)</t>
        </is>
      </c>
      <c r="K355" s="115" t="inlineStr">
        <is>
          <t>Engrenagem do Rato Mecânico Comum, versão mais comum e menos rara que o Fugidio.</t>
        </is>
      </c>
    </row>
    <row r="356">
      <c r="A356" s="115" t="n">
        <v>354</v>
      </c>
      <c r="B356" s="115" t="inlineStr">
        <is>
          <t>Tier 6</t>
        </is>
      </c>
      <c r="C356" s="115" t="inlineStr">
        <is>
          <t>Manifesto do Renegado</t>
        </is>
      </c>
      <c r="D356" s="115" t="inlineStr">
        <is>
          <t>Orgânico / Material</t>
        </is>
      </c>
      <c r="E356" s="115" t="inlineStr">
        <is>
          <t>Câmara Mecânica Anã — dropado por monstro específico</t>
        </is>
      </c>
      <c r="F356" s="115" t="inlineStr">
        <is>
          <t>Loot de monstro (não coletável no mundo)</t>
        </is>
      </c>
      <c r="G356" s="115" t="inlineStr">
        <is>
          <t>—</t>
        </is>
      </c>
      <c r="H356" s="115" t="inlineStr">
        <is>
          <t>Incomum (Médio rendimento)</t>
        </is>
      </c>
      <c r="I356" s="115" t="inlineStr">
        <is>
          <t>Ingrediente de Manifesto do Renegado (Acessório Tier 6)</t>
        </is>
      </c>
      <c r="K356" s="115" t="inlineStr">
        <is>
          <t>Manifesto do Engenheiro Anão Renegado, que seguiu as ideias de Thrum longe demais.</t>
        </is>
      </c>
    </row>
    <row r="357">
      <c r="A357" s="115" t="n">
        <v>355</v>
      </c>
      <c r="B357" s="115" t="inlineStr">
        <is>
          <t>Tier 6</t>
        </is>
      </c>
      <c r="C357" s="115" t="inlineStr">
        <is>
          <t>Válvula Explosiva Instável</t>
        </is>
      </c>
      <c r="D357" s="115" t="inlineStr">
        <is>
          <t>Orgânico / Material</t>
        </is>
      </c>
      <c r="E357" s="115" t="inlineStr">
        <is>
          <t>Câmara Mecânica Anã — dropado por monstro específico</t>
        </is>
      </c>
      <c r="F357" s="115" t="inlineStr">
        <is>
          <t>Loot de monstro (não coletável no mundo)</t>
        </is>
      </c>
      <c r="G357" s="115" t="inlineStr">
        <is>
          <t>—</t>
        </is>
      </c>
      <c r="H357" s="115" t="inlineStr">
        <is>
          <t>Incomum (Médio rendimento)</t>
        </is>
      </c>
      <c r="I357" s="115" t="inlineStr">
        <is>
          <t>Ingrediente de Amuleto da Válvula Explosiva (Acessório Tier 6)</t>
        </is>
      </c>
      <c r="K357" s="115" t="inlineStr">
        <is>
          <t>Válvula instável da Válvula Explosiva, peça de segurança que virou arma depois de religada errado.</t>
        </is>
      </c>
    </row>
    <row r="358">
      <c r="A358" s="115" t="n">
        <v>356</v>
      </c>
      <c r="B358" s="115" t="inlineStr">
        <is>
          <t>Tier 6</t>
        </is>
      </c>
      <c r="C358" s="115" t="inlineStr">
        <is>
          <t>Trilho de Metal Vivo</t>
        </is>
      </c>
      <c r="D358" s="115" t="inlineStr">
        <is>
          <t>Orgânico / Material</t>
        </is>
      </c>
      <c r="E358" s="115" t="inlineStr">
        <is>
          <t>Câmara Mecânica Anã — dropado por monstro específico</t>
        </is>
      </c>
      <c r="F358" s="115" t="inlineStr">
        <is>
          <t>Loot de monstro (não coletável no mundo)</t>
        </is>
      </c>
      <c r="G358" s="115" t="inlineStr">
        <is>
          <t>—</t>
        </is>
      </c>
      <c r="H358" s="115" t="inlineStr">
        <is>
          <t>Comum (Médio rendimento)</t>
        </is>
      </c>
      <c r="I358" s="115" t="inlineStr">
        <is>
          <t>Ingrediente de Roda do Trilho Vivo (Acessório Tier 6)</t>
        </is>
      </c>
      <c r="K358" s="115" t="inlineStr">
        <is>
          <t>Fragmento de metal vivo do Trilho Vivo, vagão que a Infecção fez correr sozinho sem parar.</t>
        </is>
      </c>
    </row>
    <row r="359">
      <c r="A359" s="115" t="n">
        <v>357</v>
      </c>
      <c r="B359" s="115" t="inlineStr">
        <is>
          <t>Tier 6</t>
        </is>
      </c>
      <c r="C359" s="115" t="inlineStr">
        <is>
          <t>Bobina Noturna de Autômato</t>
        </is>
      </c>
      <c r="D359" s="115" t="inlineStr">
        <is>
          <t>Orgânico / Material</t>
        </is>
      </c>
      <c r="E359" s="115" t="inlineStr">
        <is>
          <t>Câmara Mecânica Anã — dropado por monstro específico</t>
        </is>
      </c>
      <c r="F359" s="115" t="inlineStr">
        <is>
          <t>Loot de monstro (não coletável no mundo)</t>
        </is>
      </c>
      <c r="G359" s="115" t="inlineStr">
        <is>
          <t>—</t>
        </is>
      </c>
      <c r="H359" s="115" t="inlineStr">
        <is>
          <t>Incomum (Baixo rendimento)</t>
        </is>
      </c>
      <c r="I359" s="115" t="inlineStr">
        <is>
          <t>Ingrediente de Bobina do Turno Noturno (Acessório Tier 6)</t>
        </is>
      </c>
      <c r="K359" s="115" t="inlineStr">
        <is>
          <t>Bobina do Autômato que Só Se Ativa à Noite, programado pra vigiar só no turno noturno dos operários.</t>
        </is>
      </c>
    </row>
    <row r="360">
      <c r="A360" s="115" t="n">
        <v>358</v>
      </c>
      <c r="B360" s="115" t="inlineStr">
        <is>
          <t>Tier 6</t>
        </is>
      </c>
      <c r="C360" s="115" t="inlineStr">
        <is>
          <t>Placa Fundida Parcial</t>
        </is>
      </c>
      <c r="D360" s="115" t="inlineStr">
        <is>
          <t>Orgânico / Material</t>
        </is>
      </c>
      <c r="E360" s="115" t="inlineStr">
        <is>
          <t>Câmara Mecânica Anã — dropado por monstro específico</t>
        </is>
      </c>
      <c r="F360" s="115" t="inlineStr">
        <is>
          <t>Loot de monstro (não coletável no mundo)</t>
        </is>
      </c>
      <c r="G360" s="115" t="inlineStr">
        <is>
          <t>—</t>
        </is>
      </c>
      <c r="H360" s="115" t="inlineStr">
        <is>
          <t>Incomum (Médio rendimento)</t>
        </is>
      </c>
      <c r="I360" s="115" t="inlineStr">
        <is>
          <t>Ingrediente de Placa da Fusão Reversível (Acessório Tier 6)</t>
        </is>
      </c>
      <c r="K360" s="115" t="inlineStr">
        <is>
          <t>Placa do Anão Parcialmente Fundido — início do processo que criou o Anão Fundido ao Metal, ainda talvez reversível.</t>
        </is>
      </c>
    </row>
    <row r="361">
      <c r="A361" s="115" t="n">
        <v>359</v>
      </c>
      <c r="B361" s="115" t="inlineStr">
        <is>
          <t>Tier 6</t>
        </is>
      </c>
      <c r="C361" s="115" t="inlineStr">
        <is>
          <t>Haste de Pistão Instável</t>
        </is>
      </c>
      <c r="D361" s="115" t="inlineStr">
        <is>
          <t>Orgânico / Material</t>
        </is>
      </c>
      <c r="E361" s="115" t="inlineStr">
        <is>
          <t>Câmara Mecânica Anã — dropado por monstro específico</t>
        </is>
      </c>
      <c r="F361" s="115" t="inlineStr">
        <is>
          <t>Loot de monstro (não coletável no mundo)</t>
        </is>
      </c>
      <c r="G361" s="115" t="inlineStr">
        <is>
          <t>—</t>
        </is>
      </c>
      <c r="H361" s="115" t="inlineStr">
        <is>
          <t>Comum (Médio rendimento)</t>
        </is>
      </c>
      <c r="I361" s="115" t="inlineStr">
        <is>
          <t>Ingrediente de Amuleto do Pistão (Acessório Tier 6)</t>
        </is>
      </c>
      <c r="K361" s="115" t="inlineStr">
        <is>
          <t>Haste do Pistão Instável, peça da linha de montagem com pressão mal calibrada.</t>
        </is>
      </c>
    </row>
    <row r="362">
      <c r="A362" s="115" t="n">
        <v>360</v>
      </c>
      <c r="B362" s="115" t="inlineStr">
        <is>
          <t>Tier 6</t>
        </is>
      </c>
      <c r="C362" s="115" t="inlineStr">
        <is>
          <t>Kit de Sabotagem Improvisado</t>
        </is>
      </c>
      <c r="D362" s="115" t="inlineStr">
        <is>
          <t>Orgânico / Material</t>
        </is>
      </c>
      <c r="E362" s="115" t="inlineStr">
        <is>
          <t>Câmara Mecânica Anã — dropado por monstro específico</t>
        </is>
      </c>
      <c r="F362" s="115" t="inlineStr">
        <is>
          <t>Loot de monstro (não coletável no mundo)</t>
        </is>
      </c>
      <c r="G362" s="115" t="inlineStr">
        <is>
          <t>—</t>
        </is>
      </c>
      <c r="H362" s="115" t="inlineStr">
        <is>
          <t>Comum (Médio rendimento)</t>
        </is>
      </c>
      <c r="I362" s="115" t="inlineStr">
        <is>
          <t>Ingrediente de Kit do Sabotador (Acessório Tier 6)</t>
        </is>
      </c>
      <c r="K362" s="115" t="inlineStr">
        <is>
          <t>Kit improvisado do Engenheiro Sabotador, que decidiu acelerar a queda do Núcleo em vez de impedi-la.</t>
        </is>
      </c>
    </row>
    <row r="363">
      <c r="A363" s="115" t="n">
        <v>361</v>
      </c>
      <c r="B363" s="115" t="inlineStr">
        <is>
          <t>Tier 6</t>
        </is>
      </c>
      <c r="C363" s="115" t="inlineStr">
        <is>
          <t>Placa de Fusão Menor</t>
        </is>
      </c>
      <c r="D363" s="115" t="inlineStr">
        <is>
          <t>Orgânico / Material</t>
        </is>
      </c>
      <c r="E363" s="115" t="inlineStr">
        <is>
          <t>Câmara Mecânica Anã — dropado por monstro específico</t>
        </is>
      </c>
      <c r="F363" s="115" t="inlineStr">
        <is>
          <t>Loot de monstro (não coletável no mundo)</t>
        </is>
      </c>
      <c r="G363" s="115" t="inlineStr">
        <is>
          <t>—</t>
        </is>
      </c>
      <c r="H363" s="115" t="inlineStr">
        <is>
          <t>Incomum (Médio rendimento)</t>
        </is>
      </c>
      <c r="I363" s="115" t="inlineStr">
        <is>
          <t>Ingrediente de Placa da Fusão Reversível (Acessório Tier 6)</t>
        </is>
      </c>
      <c r="K363" s="115" t="inlineStr">
        <is>
          <t>Placa do Anão Fundido Menor, estágio inicial da fusão anã-metal.</t>
        </is>
      </c>
    </row>
    <row r="364">
      <c r="A364" s="115" t="n">
        <v>362</v>
      </c>
      <c r="B364" s="115" t="inlineStr">
        <is>
          <t>Tier 6</t>
        </is>
      </c>
      <c r="C364" s="115" t="inlineStr">
        <is>
          <t>Máscara Possuída pelo Vapor</t>
        </is>
      </c>
      <c r="D364" s="115" t="inlineStr">
        <is>
          <t>Orgânico / Material</t>
        </is>
      </c>
      <c r="E364" s="115" t="inlineStr">
        <is>
          <t>Câmara Mecânica Anã — dropado por monstro específico</t>
        </is>
      </c>
      <c r="F364" s="115" t="inlineStr">
        <is>
          <t>Loot de monstro (não coletável no mundo)</t>
        </is>
      </c>
      <c r="G364" s="115" t="inlineStr">
        <is>
          <t>—</t>
        </is>
      </c>
      <c r="H364" s="115" t="inlineStr">
        <is>
          <t>Incomum (Médio rendimento)</t>
        </is>
      </c>
      <c r="I364" s="115" t="inlineStr">
        <is>
          <t>Ingrediente de Bobina do Turno Noturno (Acessório Tier 6)</t>
        </is>
      </c>
      <c r="K364" s="115" t="inlineStr">
        <is>
          <t>Máscara do Anão Possuído pelo Vapor, trabalhador que ainda tenta 'voltar pro turno' mesmo sem fábrica pra voltar.</t>
        </is>
      </c>
    </row>
    <row r="365">
      <c r="A365" s="115" t="n">
        <v>363</v>
      </c>
      <c r="B365" s="115" t="inlineStr">
        <is>
          <t>Tier 6</t>
        </is>
      </c>
      <c r="C365" s="115" t="inlineStr">
        <is>
          <t>Fragmento de Fechadura da Caixa</t>
        </is>
      </c>
      <c r="D365" s="115" t="inlineStr">
        <is>
          <t>Troféu de Monstro</t>
        </is>
      </c>
      <c r="E365" s="115" t="inlineStr">
        <is>
          <t>Loot de Caixa de Ferramentas Viva (Elite)</t>
        </is>
      </c>
      <c r="F365" s="115" t="inlineStr">
        <is>
          <t>Loot de monstro (não coletável no mundo)</t>
        </is>
      </c>
      <c r="G365" s="115" t="inlineStr">
        <is>
          <t>—</t>
        </is>
      </c>
      <c r="H365" s="115" t="inlineStr">
        <is>
          <t>Incomum (Baixo rendimento)</t>
        </is>
      </c>
      <c r="I365" s="115" t="inlineStr">
        <is>
          <t>Ingrediente de Fechadura da Caixa Viva (Acessório Tier 6)</t>
        </is>
      </c>
      <c r="J365" s="115" t="n">
        <v>42</v>
      </c>
      <c r="K365" s="115" t="inlineStr">
        <is>
          <t>Mecanismo da caixa-armadilha que os anões deixam pra pegar quem rouba peças sem permissão.</t>
        </is>
      </c>
      <c r="M365" s="115" t="inlineStr">
        <is>
          <t>🐾</t>
        </is>
      </c>
    </row>
    <row r="366">
      <c r="A366" s="115" t="n">
        <v>364</v>
      </c>
      <c r="B366" s="115" t="inlineStr">
        <is>
          <t>Tier 6</t>
        </is>
      </c>
      <c r="C366" s="115" t="inlineStr">
        <is>
          <t>Peça Rara de Rato Fugidio</t>
        </is>
      </c>
      <c r="D366" s="115" t="inlineStr">
        <is>
          <t>Troféu de Monstro</t>
        </is>
      </c>
      <c r="E366" s="115" t="inlineStr">
        <is>
          <t>Loot de Rato Mecânico Fugidio (Elite)</t>
        </is>
      </c>
      <c r="F366" s="115" t="inlineStr">
        <is>
          <t>Loot de monstro (não coletável no mundo)</t>
        </is>
      </c>
      <c r="G366" s="115" t="inlineStr">
        <is>
          <t>—</t>
        </is>
      </c>
      <c r="H366" s="115" t="inlineStr">
        <is>
          <t>Raro (Baixo rendimento)</t>
        </is>
      </c>
      <c r="I366" s="115" t="inlineStr">
        <is>
          <t>Ingrediente de Amuleto do Rato Fugidio (Acessório Tier 6)</t>
        </is>
      </c>
      <c r="J366" s="115" t="n">
        <v>42</v>
      </c>
      <c r="K366" s="115" t="inlineStr">
        <is>
          <t>Peça rara do Rato Mecânico Fugidio, pequeno autômato que aprendeu a fugir de quem tenta desmontá-lo.</t>
        </is>
      </c>
      <c r="M366" s="115" t="inlineStr">
        <is>
          <t>🐾</t>
        </is>
      </c>
    </row>
    <row r="367">
      <c r="A367" s="115" t="n">
        <v>365</v>
      </c>
      <c r="B367" s="115" t="inlineStr">
        <is>
          <t>Tier 6</t>
        </is>
      </c>
      <c r="C367" s="115" t="inlineStr">
        <is>
          <t>Fragmento de Autômato Reconstruído</t>
        </is>
      </c>
      <c r="D367" s="115" t="inlineStr">
        <is>
          <t>Troféu de Monstro</t>
        </is>
      </c>
      <c r="E367" s="115" t="inlineStr">
        <is>
          <t>Loot de Autômato Reconstruído (Elite)</t>
        </is>
      </c>
      <c r="F367" s="115" t="inlineStr">
        <is>
          <t>Loot de monstro (não coletável no mundo)</t>
        </is>
      </c>
      <c r="G367" s="115" t="inlineStr">
        <is>
          <t>—</t>
        </is>
      </c>
      <c r="H367" s="115" t="inlineStr">
        <is>
          <t>Incomum (Baixo rendimento)</t>
        </is>
      </c>
      <c r="I367" s="115" t="inlineStr">
        <is>
          <t>Ingrediente de Broche do Autômato Reconstruído (Acessório Tier 6)</t>
        </is>
      </c>
      <c r="J367" s="115" t="n">
        <v>42</v>
      </c>
      <c r="K367" s="115" t="inlineStr">
        <is>
          <t>Fragmento do Autômato Reconstruído, remontado às pressas com peças de outros autômatos quebrados.</t>
        </is>
      </c>
      <c r="M367" s="115" t="inlineStr">
        <is>
          <t>🐾</t>
        </is>
      </c>
    </row>
    <row r="368">
      <c r="A368" s="115" t="n">
        <v>366</v>
      </c>
      <c r="B368" s="115" t="inlineStr">
        <is>
          <t>Tier 6</t>
        </is>
      </c>
      <c r="C368" s="115" t="inlineStr">
        <is>
          <t>Fragmento de Anão Fundido ao Metal</t>
        </is>
      </c>
      <c r="D368" s="115" t="inlineStr">
        <is>
          <t>Troféu de Monstro</t>
        </is>
      </c>
      <c r="E368" s="115" t="inlineStr">
        <is>
          <t>Loot de Anão Fundido ao Metal (Elite)</t>
        </is>
      </c>
      <c r="F368" s="115" t="inlineStr">
        <is>
          <t>Loot de monstro (não coletável no mundo)</t>
        </is>
      </c>
      <c r="G368" s="115" t="inlineStr">
        <is>
          <t>—</t>
        </is>
      </c>
      <c r="H368" s="115" t="inlineStr">
        <is>
          <t>Incomum (Baixo rendimento)</t>
        </is>
      </c>
      <c r="I368" s="115" t="inlineStr">
        <is>
          <t>Ingrediente de Broche do Anão Fundido (Acessório Tier 6)</t>
        </is>
      </c>
      <c r="J368" s="115" t="n">
        <v>42</v>
      </c>
      <c r="K368" s="115" t="inlineStr">
        <is>
          <t>Fragmento do Anão Fundido ao Metal, cujo corpo o vapor corrompido fundiu com a própria máquina que operava.</t>
        </is>
      </c>
      <c r="M368" s="115" t="inlineStr">
        <is>
          <t>🐾</t>
        </is>
      </c>
    </row>
    <row r="369">
      <c r="A369" s="115" t="n">
        <v>367</v>
      </c>
      <c r="B369" s="115" t="inlineStr">
        <is>
          <t>Tier 6</t>
        </is>
      </c>
      <c r="C369" s="115" t="inlineStr">
        <is>
          <t>Fragmento de Grondar</t>
        </is>
      </c>
      <c r="D369" s="115" t="inlineStr">
        <is>
          <t>Troféu de Monstro</t>
        </is>
      </c>
      <c r="E369" s="115" t="inlineStr">
        <is>
          <t>Loot de Grondar, o Engenheiro-Chefe Caído (Nomeado) (Elite)</t>
        </is>
      </c>
      <c r="F369" s="115" t="inlineStr">
        <is>
          <t>Loot de monstro (não coletável no mundo)</t>
        </is>
      </c>
      <c r="G369" s="115" t="inlineStr">
        <is>
          <t>—</t>
        </is>
      </c>
      <c r="H369" s="115" t="inlineStr">
        <is>
          <t>Raro (Baixo rendimento - Elite Nomeado)</t>
        </is>
      </c>
      <c r="I369" s="115" t="inlineStr">
        <is>
          <t>Ingrediente de Chave Menor de Grondar (Acessório Tier 6)</t>
        </is>
      </c>
      <c r="J369" s="115" t="n">
        <v>48</v>
      </c>
      <c r="K369" s="115" t="inlineStr">
        <is>
          <t>Parte física de Grondar, guardada só se ele for derrotado antes de se autodesligar — foi ele quem ligou o Núcleo pela última vez.</t>
        </is>
      </c>
      <c r="M369" s="115" t="inlineStr">
        <is>
          <t>🐾</t>
        </is>
      </c>
    </row>
    <row r="370">
      <c r="A370" s="115" t="n">
        <v>368</v>
      </c>
      <c r="B370" s="115" t="inlineStr">
        <is>
          <t>Tier 6</t>
        </is>
      </c>
      <c r="C370" s="115" t="inlineStr">
        <is>
          <t>Fragmento de Sabotador Veterano</t>
        </is>
      </c>
      <c r="D370" s="115" t="inlineStr">
        <is>
          <t>Troféu de Monstro</t>
        </is>
      </c>
      <c r="E370" s="115" t="inlineStr">
        <is>
          <t>Loot de Engenheiro Sabotador Veterano (Elite)</t>
        </is>
      </c>
      <c r="F370" s="115" t="inlineStr">
        <is>
          <t>Loot de monstro (não coletável no mundo)</t>
        </is>
      </c>
      <c r="G370" s="115" t="inlineStr">
        <is>
          <t>—</t>
        </is>
      </c>
      <c r="H370" s="115" t="inlineStr">
        <is>
          <t>Incomum (Baixo rendimento)</t>
        </is>
      </c>
      <c r="I370" s="115" t="inlineStr">
        <is>
          <t>Ingrediente de Kit do Sabotador Veterano (Acessório Tier 6)</t>
        </is>
      </c>
      <c r="J370" s="115" t="n">
        <v>42</v>
      </c>
      <c r="K370" s="115" t="inlineStr">
        <is>
          <t>Fragmento do Engenheiro Sabotador Veterano, versão mais experiente e perigosa do Sabotador comum.</t>
        </is>
      </c>
      <c r="M370" s="115" t="inlineStr">
        <is>
          <t>🐾</t>
        </is>
      </c>
    </row>
    <row r="371">
      <c r="A371" s="115" t="n">
        <v>369</v>
      </c>
      <c r="B371" s="115" t="inlineStr">
        <is>
          <t>Tier 7</t>
        </is>
      </c>
      <c r="C371" s="115" t="inlineStr">
        <is>
          <t>Caderno do Peregrino da Fenda</t>
        </is>
      </c>
      <c r="D371" s="115" t="inlineStr">
        <is>
          <t>Orgânico / Material</t>
        </is>
      </c>
      <c r="E371" s="115" t="inlineStr">
        <is>
          <t>Fenda Vulcânica Ativa — dropado por monstro específico</t>
        </is>
      </c>
      <c r="F371" s="115" t="inlineStr">
        <is>
          <t>Loot de monstro (não coletável no mundo)</t>
        </is>
      </c>
      <c r="G371" s="115" t="inlineStr">
        <is>
          <t>—</t>
        </is>
      </c>
      <c r="H371" s="115" t="inlineStr">
        <is>
          <t>Incomum (Baixo rendimento)</t>
        </is>
      </c>
      <c r="I371" s="115" t="inlineStr">
        <is>
          <t>Ingrediente de Caderno do Peregrino (Acessório Tier 7)</t>
        </is>
      </c>
      <c r="K371" s="115" t="inlineStr">
        <is>
          <t>Caderno do Peregrino da Fenda, que veio ver de perto antes de decidir se junta ao culto ou foge.</t>
        </is>
      </c>
    </row>
    <row r="372">
      <c r="A372" s="115" t="n">
        <v>370</v>
      </c>
      <c r="B372" s="115" t="inlineStr">
        <is>
          <t>Tier 7</t>
        </is>
      </c>
      <c r="C372" s="115" t="inlineStr">
        <is>
          <t>Pena de Urubu das Cinzas Jovem</t>
        </is>
      </c>
      <c r="D372" s="115" t="inlineStr">
        <is>
          <t>Orgânico</t>
        </is>
      </c>
      <c r="E372" s="115" t="inlineStr">
        <is>
          <t>Fenda Vulcânica Ativa — dropado por monstro específico</t>
        </is>
      </c>
      <c r="F372" s="115" t="inlineStr">
        <is>
          <t>Loot de monstro (não coletável no mundo)</t>
        </is>
      </c>
      <c r="G372" s="115" t="inlineStr">
        <is>
          <t>—</t>
        </is>
      </c>
      <c r="H372" s="115" t="inlineStr">
        <is>
          <t>Comum (Alto rendimento)</t>
        </is>
      </c>
      <c r="I372" s="115" t="inlineStr">
        <is>
          <t>Ingrediente de Amuleto do Urubu das Cinzas (Acessório Tier 7)</t>
        </is>
      </c>
      <c r="K372" s="115" t="inlineStr">
        <is>
          <t>Pena do Urubu das Cinzas Jovem, ainda aprendendo a esperar.</t>
        </is>
      </c>
    </row>
    <row r="373">
      <c r="A373" s="115" t="n">
        <v>371</v>
      </c>
      <c r="B373" s="115" t="inlineStr">
        <is>
          <t>Tier 7</t>
        </is>
      </c>
      <c r="C373" s="115" t="inlineStr">
        <is>
          <t>Escama Fina de Salamandra Recém-Nascida</t>
        </is>
      </c>
      <c r="D373" s="115" t="inlineStr">
        <is>
          <t>Orgânico</t>
        </is>
      </c>
      <c r="E373" s="115" t="inlineStr">
        <is>
          <t>Fenda Vulcânica Ativa — dropado por monstro específico</t>
        </is>
      </c>
      <c r="F373" s="115" t="inlineStr">
        <is>
          <t>Loot de monstro (não coletável no mundo)</t>
        </is>
      </c>
      <c r="G373" s="115" t="inlineStr">
        <is>
          <t>—</t>
        </is>
      </c>
      <c r="H373" s="115" t="inlineStr">
        <is>
          <t>Comum (Médio rendimento)</t>
        </is>
      </c>
      <c r="I373" s="115" t="inlineStr">
        <is>
          <t>Ingrediente de Amuleto da Salamandra (Acessório Tier 7)</t>
        </is>
      </c>
      <c r="K373" s="115" t="inlineStr">
        <is>
          <t>Escama fina da Salamandra Recém-Nascida, eclodida nas bordas mais frias da fenda.</t>
        </is>
      </c>
    </row>
    <row r="374">
      <c r="A374" s="115" t="n">
        <v>372</v>
      </c>
      <c r="B374" s="115" t="inlineStr">
        <is>
          <t>Tier 7</t>
        </is>
      </c>
      <c r="C374" s="115" t="inlineStr">
        <is>
          <t>Manto Novo de Zelote Jovem</t>
        </is>
      </c>
      <c r="D374" s="115" t="inlineStr">
        <is>
          <t>Orgânico / Material</t>
        </is>
      </c>
      <c r="E374" s="115" t="inlineStr">
        <is>
          <t>Fenda Vulcânica Ativa — dropado por monstro específico</t>
        </is>
      </c>
      <c r="F374" s="115" t="inlineStr">
        <is>
          <t>Loot de monstro (não coletável no mundo)</t>
        </is>
      </c>
      <c r="G374" s="115" t="inlineStr">
        <is>
          <t>—</t>
        </is>
      </c>
      <c r="H374" s="115" t="inlineStr">
        <is>
          <t>Comum (Médio rendimento)</t>
        </is>
      </c>
      <c r="I374" s="115" t="inlineStr">
        <is>
          <t>Ingrediente de Símbolo do Zelote Duvidoso (Acessório Tier 7)</t>
        </is>
      </c>
      <c r="K374" s="115" t="inlineStr">
        <is>
          <t>Manto novo do Zelote Recém-Convertido Jovem, o membro mais recente do culto da Coroação Vazia.</t>
        </is>
      </c>
    </row>
    <row r="375">
      <c r="A375" s="115" t="n">
        <v>373</v>
      </c>
      <c r="B375" s="115" t="inlineStr">
        <is>
          <t>Tier 7</t>
        </is>
      </c>
      <c r="C375" s="115" t="inlineStr">
        <is>
          <t>Escama de Salamandra Jovem</t>
        </is>
      </c>
      <c r="D375" s="115" t="inlineStr">
        <is>
          <t>Orgânico</t>
        </is>
      </c>
      <c r="E375" s="115" t="inlineStr">
        <is>
          <t>Fenda Vulcânica Ativa — dropado por monstro específico</t>
        </is>
      </c>
      <c r="F375" s="115" t="inlineStr">
        <is>
          <t>Loot de monstro (não coletável no mundo)</t>
        </is>
      </c>
      <c r="G375" s="115" t="inlineStr">
        <is>
          <t>—</t>
        </is>
      </c>
      <c r="H375" s="115" t="inlineStr">
        <is>
          <t>Comum (Médio rendimento)</t>
        </is>
      </c>
      <c r="I375" s="115" t="inlineStr">
        <is>
          <t>Ingrediente de Amuleto da Salamandra (Acessório Tier 7)</t>
        </is>
      </c>
      <c r="K375" s="115" t="inlineStr">
        <is>
          <t>Escama da Salamandra Jovem, nascida na lava fria das bordas da fenda.</t>
        </is>
      </c>
    </row>
    <row r="376">
      <c r="A376" s="115" t="n">
        <v>374</v>
      </c>
      <c r="B376" s="115" t="inlineStr">
        <is>
          <t>Tier 7</t>
        </is>
      </c>
      <c r="C376" s="115" t="inlineStr">
        <is>
          <t>Pena Cinzenta de Urubu</t>
        </is>
      </c>
      <c r="D376" s="115" t="inlineStr">
        <is>
          <t>Orgânico</t>
        </is>
      </c>
      <c r="E376" s="115" t="inlineStr">
        <is>
          <t>Fenda Vulcânica Ativa — dropado por monstro específico</t>
        </is>
      </c>
      <c r="F376" s="115" t="inlineStr">
        <is>
          <t>Loot de monstro (não coletável no mundo)</t>
        </is>
      </c>
      <c r="G376" s="115" t="inlineStr">
        <is>
          <t>—</t>
        </is>
      </c>
      <c r="H376" s="115" t="inlineStr">
        <is>
          <t>Comum (Médio rendimento)</t>
        </is>
      </c>
      <c r="I376" s="115" t="inlineStr">
        <is>
          <t>Ingrediente de Amuleto do Urubu das Cinzas (Acessório Tier 7)</t>
        </is>
      </c>
      <c r="K376" s="115" t="inlineStr">
        <is>
          <t>Pena cinzenta do Urubu das Cinzas, que come o que a lava não consome.</t>
        </is>
      </c>
    </row>
    <row r="377">
      <c r="A377" s="115" t="n">
        <v>375</v>
      </c>
      <c r="B377" s="115" t="inlineStr">
        <is>
          <t>Tier 7</t>
        </is>
      </c>
      <c r="C377" s="115" t="inlineStr">
        <is>
          <t>Punhado de Cinzas Instáveis</t>
        </is>
      </c>
      <c r="D377" s="115" t="inlineStr">
        <is>
          <t>Orgânico / Material</t>
        </is>
      </c>
      <c r="E377" s="115" t="inlineStr">
        <is>
          <t>Fenda Vulcânica Ativa — dropado por monstro específico</t>
        </is>
      </c>
      <c r="F377" s="115" t="inlineStr">
        <is>
          <t>Loot de monstro (não coletável no mundo)</t>
        </is>
      </c>
      <c r="G377" s="115" t="inlineStr">
        <is>
          <t>—</t>
        </is>
      </c>
      <c r="H377" s="115" t="inlineStr">
        <is>
          <t>Incomum (Médio rendimento)</t>
        </is>
      </c>
      <c r="I377" s="115" t="inlineStr">
        <is>
          <t>Ingrediente de Vial das Cinzas Instáveis (Acessório Tier 7)</t>
        </is>
      </c>
      <c r="K377" s="115" t="inlineStr">
        <is>
          <t>Punhado de cinzas do Elemental Menor de Cinzas, fragmento instável formado na câmara de magma.</t>
        </is>
      </c>
    </row>
    <row r="378">
      <c r="A378" s="115" t="n">
        <v>376</v>
      </c>
      <c r="B378" s="115" t="inlineStr">
        <is>
          <t>Tier 7</t>
        </is>
      </c>
      <c r="C378" s="115" t="inlineStr">
        <is>
          <t>Cauda de Lagartixa Jovem</t>
        </is>
      </c>
      <c r="D378" s="115" t="inlineStr">
        <is>
          <t>Orgânico</t>
        </is>
      </c>
      <c r="E378" s="115" t="inlineStr">
        <is>
          <t>Fenda Vulcânica Ativa — dropado por monstro específico</t>
        </is>
      </c>
      <c r="F378" s="115" t="inlineStr">
        <is>
          <t>Loot de monstro (não coletável no mundo)</t>
        </is>
      </c>
      <c r="G378" s="115" t="inlineStr">
        <is>
          <t>—</t>
        </is>
      </c>
      <c r="H378" s="115" t="inlineStr">
        <is>
          <t>Comum (Médio rendimento)</t>
        </is>
      </c>
      <c r="I378" s="115" t="inlineStr">
        <is>
          <t>Ingrediente de Cauda da Lagartixa Reforçada (Acessório Tier 7)</t>
        </is>
      </c>
      <c r="K378" s="115" t="inlineStr">
        <is>
          <t>Cauda da Lagartixa de Obsidiana Jovem, ainda aprendendo a correr sobre o vidro.</t>
        </is>
      </c>
    </row>
    <row r="379">
      <c r="A379" s="115" t="n">
        <v>377</v>
      </c>
      <c r="B379" s="115" t="inlineStr">
        <is>
          <t>Tier 7</t>
        </is>
      </c>
      <c r="C379" s="115" t="inlineStr">
        <is>
          <t>Casulo de Larva de Magma</t>
        </is>
      </c>
      <c r="D379" s="115" t="inlineStr">
        <is>
          <t>Orgânico / Material</t>
        </is>
      </c>
      <c r="E379" s="115" t="inlineStr">
        <is>
          <t>Fenda Vulcânica Ativa — dropado por monstro específico</t>
        </is>
      </c>
      <c r="F379" s="115" t="inlineStr">
        <is>
          <t>Loot de monstro (não coletável no mundo)</t>
        </is>
      </c>
      <c r="G379" s="115" t="inlineStr">
        <is>
          <t>—</t>
        </is>
      </c>
      <c r="H379" s="115" t="inlineStr">
        <is>
          <t>Comum (Médio rendimento)</t>
        </is>
      </c>
      <c r="I379" s="115" t="inlineStr">
        <is>
          <t>Ingrediente de Vial da Larva de Magma (Acessório Tier 7)</t>
        </is>
      </c>
      <c r="K379" s="115" t="inlineStr">
        <is>
          <t>Casulo da Larva de Magma Solitária, separada do resto da ninhada.</t>
        </is>
      </c>
    </row>
    <row r="380">
      <c r="A380" s="115" t="n">
        <v>378</v>
      </c>
      <c r="B380" s="115" t="inlineStr">
        <is>
          <t>Tier 7</t>
        </is>
      </c>
      <c r="C380" s="115" t="inlineStr">
        <is>
          <t>Brasa Instável Menor</t>
        </is>
      </c>
      <c r="D380" s="115" t="inlineStr">
        <is>
          <t>Orgânico / Material</t>
        </is>
      </c>
      <c r="E380" s="115" t="inlineStr">
        <is>
          <t>Fenda Vulcânica Ativa — dropado por monstro específico</t>
        </is>
      </c>
      <c r="F380" s="115" t="inlineStr">
        <is>
          <t>Loot de monstro (não coletável no mundo)</t>
        </is>
      </c>
      <c r="G380" s="115" t="inlineStr">
        <is>
          <t>—</t>
        </is>
      </c>
      <c r="H380" s="115" t="inlineStr">
        <is>
          <t>Incomum (Baixo rendimento)</t>
        </is>
      </c>
      <c r="I380" s="115" t="inlineStr">
        <is>
          <t>Ingrediente de Vial das Cinzas Instáveis (Acessório Tier 7)</t>
        </is>
      </c>
      <c r="K380" s="115" t="inlineStr">
        <is>
          <t>Brasa instável do Elemental Menor de Brasa, fragmento que quase não se sustenta.</t>
        </is>
      </c>
    </row>
    <row r="381">
      <c r="A381" s="115" t="n">
        <v>379</v>
      </c>
      <c r="B381" s="115" t="inlineStr">
        <is>
          <t>Tier 7</t>
        </is>
      </c>
      <c r="C381" s="115" t="inlineStr">
        <is>
          <t>Escama Vítrea de Salamandra</t>
        </is>
      </c>
      <c r="D381" s="115" t="inlineStr">
        <is>
          <t>Orgânico</t>
        </is>
      </c>
      <c r="E381" s="115" t="inlineStr">
        <is>
          <t>Fenda Vulcânica Ativa — dropado por monstro específico</t>
        </is>
      </c>
      <c r="F381" s="115" t="inlineStr">
        <is>
          <t>Loot de monstro (não coletável no mundo)</t>
        </is>
      </c>
      <c r="G381" s="115" t="inlineStr">
        <is>
          <t>—</t>
        </is>
      </c>
      <c r="H381" s="115" t="inlineStr">
        <is>
          <t>Comum (Médio rendimento)</t>
        </is>
      </c>
      <c r="I381" s="115" t="inlineStr">
        <is>
          <t>Ingrediente de Amuleto da Salamandra (Acessório Tier 7)</t>
        </is>
      </c>
      <c r="K381" s="115" t="inlineStr">
        <is>
          <t>Escama vítrea da Salamandra de Vidro, que se aloja nos fornos atraída pelo calor residual.</t>
        </is>
      </c>
    </row>
    <row r="382">
      <c r="A382" s="115" t="n">
        <v>380</v>
      </c>
      <c r="B382" s="115" t="inlineStr">
        <is>
          <t>Tier 7</t>
        </is>
      </c>
      <c r="C382" s="115" t="inlineStr">
        <is>
          <t>Cauda de Lagartixa de Obsidiana</t>
        </is>
      </c>
      <c r="D382" s="115" t="inlineStr">
        <is>
          <t>Orgânico</t>
        </is>
      </c>
      <c r="E382" s="115" t="inlineStr">
        <is>
          <t>Fenda Vulcânica Ativa — dropado por monstro específico</t>
        </is>
      </c>
      <c r="F382" s="115" t="inlineStr">
        <is>
          <t>Loot de monstro (não coletável no mundo)</t>
        </is>
      </c>
      <c r="G382" s="115" t="inlineStr">
        <is>
          <t>—</t>
        </is>
      </c>
      <c r="H382" s="115" t="inlineStr">
        <is>
          <t>Comum (Alto rendimento)</t>
        </is>
      </c>
      <c r="I382" s="115" t="inlineStr">
        <is>
          <t>Ingrediente de Cauda da Lagartixa Reforçada (Acessório Tier 7)</t>
        </is>
      </c>
      <c r="K382" s="115" t="inlineStr">
        <is>
          <t>Cauda da Lagartixa de Obsidiana adulta, que corre sobre o vidro vulcânico como se fosse chão comum.</t>
        </is>
      </c>
    </row>
    <row r="383">
      <c r="A383" s="115" t="n">
        <v>381</v>
      </c>
      <c r="B383" s="115" t="inlineStr">
        <is>
          <t>Tier 7</t>
        </is>
      </c>
      <c r="C383" s="115" t="inlineStr">
        <is>
          <t>Núcleo de Brasa Instável</t>
        </is>
      </c>
      <c r="D383" s="115" t="inlineStr">
        <is>
          <t>Orgânico / Material</t>
        </is>
      </c>
      <c r="E383" s="115" t="inlineStr">
        <is>
          <t>Fenda Vulcânica Ativa — dropado por monstro específico</t>
        </is>
      </c>
      <c r="F383" s="115" t="inlineStr">
        <is>
          <t>Loot de monstro (não coletável no mundo)</t>
        </is>
      </c>
      <c r="G383" s="115" t="inlineStr">
        <is>
          <t>—</t>
        </is>
      </c>
      <c r="H383" s="115" t="inlineStr">
        <is>
          <t>Incomum (Médio rendimento)</t>
        </is>
      </c>
      <c r="I383" s="115" t="inlineStr">
        <is>
          <t>Ingrediente de Núcleo de Brasa Estabilizado (Acessório Tier 7)</t>
        </is>
      </c>
      <c r="K383" s="115" t="inlineStr">
        <is>
          <t>Núcleo do Elemental de Brasa, fragmento pequeno de um Elemental de Cinzas maior.</t>
        </is>
      </c>
    </row>
    <row r="384">
      <c r="A384" s="115" t="n">
        <v>382</v>
      </c>
      <c r="B384" s="115" t="inlineStr">
        <is>
          <t>Tier 7</t>
        </is>
      </c>
      <c r="C384" s="115" t="inlineStr">
        <is>
          <t>Casulo de Larva de Magma Comum</t>
        </is>
      </c>
      <c r="D384" s="115" t="inlineStr">
        <is>
          <t>Orgânico / Material</t>
        </is>
      </c>
      <c r="E384" s="115" t="inlineStr">
        <is>
          <t>Fenda Vulcânica Ativa — dropado por monstro específico</t>
        </is>
      </c>
      <c r="F384" s="115" t="inlineStr">
        <is>
          <t>Loot de monstro (não coletável no mundo)</t>
        </is>
      </c>
      <c r="G384" s="115" t="inlineStr">
        <is>
          <t>—</t>
        </is>
      </c>
      <c r="H384" s="115" t="inlineStr">
        <is>
          <t>Comum (Alto rendimento)</t>
        </is>
      </c>
      <c r="I384" s="115" t="inlineStr">
        <is>
          <t>Ingrediente de Vial da Larva de Magma (Acessório Tier 7)</t>
        </is>
      </c>
      <c r="K384" s="115" t="inlineStr">
        <is>
          <t>Casulo comum da Larva de Magma, ninhada do Verme da Lava Fluida.</t>
        </is>
      </c>
    </row>
    <row r="385">
      <c r="A385" s="115" t="n">
        <v>383</v>
      </c>
      <c r="B385" s="115" t="inlineStr">
        <is>
          <t>Tier 7</t>
        </is>
      </c>
      <c r="C385" s="115" t="inlineStr">
        <is>
          <t>Símbolo Duvidoso do Zelote</t>
        </is>
      </c>
      <c r="D385" s="115" t="inlineStr">
        <is>
          <t>Orgânico / Material</t>
        </is>
      </c>
      <c r="E385" s="115" t="inlineStr">
        <is>
          <t>Fenda Vulcânica Ativa — dropado por monstro específico</t>
        </is>
      </c>
      <c r="F385" s="115" t="inlineStr">
        <is>
          <t>Loot de monstro (não coletável no mundo)</t>
        </is>
      </c>
      <c r="G385" s="115" t="inlineStr">
        <is>
          <t>—</t>
        </is>
      </c>
      <c r="H385" s="115" t="inlineStr">
        <is>
          <t>Incomum (Baixo rendimento)</t>
        </is>
      </c>
      <c r="I385" s="115" t="inlineStr">
        <is>
          <t>Ingrediente de Símbolo do Zelote Duvidoso (Acessório Tier 7)</t>
        </is>
      </c>
      <c r="K385" s="115" t="inlineStr">
        <is>
          <t>Símbolo do Zelote Recém-Convertido, que aceitou a Coroação Vazia há dias mas ainda duvida por dentro.</t>
        </is>
      </c>
    </row>
    <row r="386">
      <c r="A386" s="115" t="n">
        <v>384</v>
      </c>
      <c r="B386" s="115" t="inlineStr">
        <is>
          <t>Tier 7</t>
        </is>
      </c>
      <c r="C386" s="115" t="inlineStr">
        <is>
          <t>Cristal Parasita Extraído</t>
        </is>
      </c>
      <c r="D386" s="115" t="inlineStr">
        <is>
          <t>Orgânico / Material</t>
        </is>
      </c>
      <c r="E386" s="115" t="inlineStr">
        <is>
          <t>Fenda Vulcânica Ativa — dropado por monstro específico</t>
        </is>
      </c>
      <c r="F386" s="115" t="inlineStr">
        <is>
          <t>Loot de monstro (não coletável no mundo)</t>
        </is>
      </c>
      <c r="G386" s="115" t="inlineStr">
        <is>
          <t>—</t>
        </is>
      </c>
      <c r="H386" s="115" t="inlineStr">
        <is>
          <t>Incomum (Médio rendimento)</t>
        </is>
      </c>
      <c r="I386" s="115" t="inlineStr">
        <is>
          <t>Ingrediente de Cristal Parasita Purificado (Acessório Tier 7)</t>
        </is>
      </c>
      <c r="K386" s="115" t="inlineStr">
        <is>
          <t>Cristal extraído do Cristal Parasita, que cresce na pele das Feras Vítreas e se alimenta do calor que irradiam.</t>
        </is>
      </c>
    </row>
    <row r="387">
      <c r="A387" s="115" t="n">
        <v>385</v>
      </c>
      <c r="B387" s="115" t="inlineStr">
        <is>
          <t>Tier 7</t>
        </is>
      </c>
      <c r="C387" s="115" t="inlineStr">
        <is>
          <t>Fumaça Condensada Fraca</t>
        </is>
      </c>
      <c r="D387" s="115" t="inlineStr">
        <is>
          <t>Orgânico / Material</t>
        </is>
      </c>
      <c r="E387" s="115" t="inlineStr">
        <is>
          <t>Fenda Vulcânica Ativa — dropado por monstro específico</t>
        </is>
      </c>
      <c r="F387" s="115" t="inlineStr">
        <is>
          <t>Loot de monstro (não coletável no mundo)</t>
        </is>
      </c>
      <c r="G387" s="115" t="inlineStr">
        <is>
          <t>—</t>
        </is>
      </c>
      <c r="H387" s="115" t="inlineStr">
        <is>
          <t>Incomum (Médio rendimento)</t>
        </is>
      </c>
      <c r="I387" s="115" t="inlineStr">
        <is>
          <t>Ingrediente de Amuleto da Fumaça Condensada (Acessório Tier 7)</t>
        </is>
      </c>
      <c r="K387" s="115" t="inlineStr">
        <is>
          <t>Fumaça condensada do Elemental de Fumaça Fraco, fragmento instável do Espírito da Fumaça.</t>
        </is>
      </c>
    </row>
    <row r="388">
      <c r="A388" s="115" t="n">
        <v>386</v>
      </c>
      <c r="B388" s="115" t="inlineStr">
        <is>
          <t>Tier 7</t>
        </is>
      </c>
      <c r="C388" s="115" t="inlineStr">
        <is>
          <t>Cinto Incendiário Menor</t>
        </is>
      </c>
      <c r="D388" s="115" t="inlineStr">
        <is>
          <t>Orgânico / Material</t>
        </is>
      </c>
      <c r="E388" s="115" t="inlineStr">
        <is>
          <t>Fenda Vulcânica Ativa — dropado por monstro específico</t>
        </is>
      </c>
      <c r="F388" s="115" t="inlineStr">
        <is>
          <t>Loot de monstro (não coletável no mundo)</t>
        </is>
      </c>
      <c r="G388" s="115" t="inlineStr">
        <is>
          <t>—</t>
        </is>
      </c>
      <c r="H388" s="115" t="inlineStr">
        <is>
          <t>Incomum (Médio rendimento)</t>
        </is>
      </c>
      <c r="I388" s="115" t="inlineStr">
        <is>
          <t>Ingrediente de Cinto do Zelote Incendiário (Acessório Tier 7)</t>
        </is>
      </c>
      <c r="K388" s="115" t="inlineStr">
        <is>
          <t>Cinto incendiário do Zelote Incendiário Menor, recém-preparado pro sacrifício.</t>
        </is>
      </c>
    </row>
    <row r="389">
      <c r="A389" s="115" t="n">
        <v>387</v>
      </c>
      <c r="B389" s="115" t="inlineStr">
        <is>
          <t>Tier 7</t>
        </is>
      </c>
      <c r="C389" s="115" t="inlineStr">
        <is>
          <t>Resíduo de Espírito da Fumaça</t>
        </is>
      </c>
      <c r="D389" s="115" t="inlineStr">
        <is>
          <t>Orgânico / Material</t>
        </is>
      </c>
      <c r="E389" s="115" t="inlineStr">
        <is>
          <t>Fenda Vulcânica Ativa — dropado por monstro específico</t>
        </is>
      </c>
      <c r="F389" s="115" t="inlineStr">
        <is>
          <t>Loot de monstro (não coletável no mundo)</t>
        </is>
      </c>
      <c r="G389" s="115" t="inlineStr">
        <is>
          <t>—</t>
        </is>
      </c>
      <c r="H389" s="115" t="inlineStr">
        <is>
          <t>Incomum (Médio rendimento)</t>
        </is>
      </c>
      <c r="I389" s="115" t="inlineStr">
        <is>
          <t>Ingrediente de Amuleto da Fumaça Condensada (Acessório Tier 7)</t>
        </is>
      </c>
      <c r="K389" s="115" t="inlineStr">
        <is>
          <t>Resíduo do Espírito da Fumaça, que paira sobre a câmara de magma e ganhou consciência própria.</t>
        </is>
      </c>
    </row>
    <row r="390">
      <c r="A390" s="115" t="n">
        <v>388</v>
      </c>
      <c r="B390" s="115" t="inlineStr">
        <is>
          <t>Tier 7</t>
        </is>
      </c>
      <c r="C390" s="115" t="inlineStr">
        <is>
          <t>Tocha da Vigília Noturna</t>
        </is>
      </c>
      <c r="D390" s="115" t="inlineStr">
        <is>
          <t>Orgânico / Material</t>
        </is>
      </c>
      <c r="E390" s="115" t="inlineStr">
        <is>
          <t>Fenda Vulcânica Ativa — dropado por monstro específico</t>
        </is>
      </c>
      <c r="F390" s="115" t="inlineStr">
        <is>
          <t>Loot de monstro (não coletável no mundo)</t>
        </is>
      </c>
      <c r="G390" s="115" t="inlineStr">
        <is>
          <t>—</t>
        </is>
      </c>
      <c r="H390" s="115" t="inlineStr">
        <is>
          <t>Comum (Médio rendimento)</t>
        </is>
      </c>
      <c r="I390" s="115" t="inlineStr">
        <is>
          <t>Ingrediente de Tocha da Vigília (Acessório Tier 7)</t>
        </is>
      </c>
      <c r="K390" s="115" t="inlineStr">
        <is>
          <t>Tocha do Zelote da Vigília Noturna, que vigia a fenda só à noite, quando dizem que o Rei Vazio 'acorda'.</t>
        </is>
      </c>
    </row>
    <row r="391">
      <c r="A391" s="115" t="n">
        <v>389</v>
      </c>
      <c r="B391" s="115" t="inlineStr">
        <is>
          <t>Tier 7</t>
        </is>
      </c>
      <c r="C391" s="115" t="inlineStr">
        <is>
          <t>Elmo Menor do Guarda do Rei Vazio</t>
        </is>
      </c>
      <c r="D391" s="115" t="inlineStr">
        <is>
          <t>Orgânico / Material</t>
        </is>
      </c>
      <c r="E391" s="115" t="inlineStr">
        <is>
          <t>Fenda Vulcânica Ativa — dropado por monstro específico</t>
        </is>
      </c>
      <c r="F391" s="115" t="inlineStr">
        <is>
          <t>Loot de monstro (não coletável no mundo)</t>
        </is>
      </c>
      <c r="G391" s="115" t="inlineStr">
        <is>
          <t>—</t>
        </is>
      </c>
      <c r="H391" s="115" t="inlineStr">
        <is>
          <t>Comum (Médio rendimento)</t>
        </is>
      </c>
      <c r="I391" s="115" t="inlineStr">
        <is>
          <t>Ingrediente de Elmo do Guarda Júnior (Acessório Tier 7)</t>
        </is>
      </c>
      <c r="K391" s="115" t="inlineStr">
        <is>
          <t>Elmo do Guarda Menor do Rei Vazio, ainda treinando pra proteger o trono vazio.</t>
        </is>
      </c>
    </row>
    <row r="392">
      <c r="A392" s="115" t="n">
        <v>390</v>
      </c>
      <c r="B392" s="115" t="inlineStr">
        <is>
          <t>Tier 7</t>
        </is>
      </c>
      <c r="C392" s="115" t="inlineStr">
        <is>
          <t>Emblema da Coroação Vazia</t>
        </is>
      </c>
      <c r="D392" s="115" t="inlineStr">
        <is>
          <t>Orgânico / Material</t>
        </is>
      </c>
      <c r="E392" s="115" t="inlineStr">
        <is>
          <t>Fenda Vulcânica Ativa — dropado por monstro específico</t>
        </is>
      </c>
      <c r="F392" s="115" t="inlineStr">
        <is>
          <t>Loot de monstro (não coletável no mundo)</t>
        </is>
      </c>
      <c r="G392" s="115" t="inlineStr">
        <is>
          <t>—</t>
        </is>
      </c>
      <c r="H392" s="115" t="inlineStr">
        <is>
          <t>Incomum (Médio rendimento)</t>
        </is>
      </c>
      <c r="I392" s="115" t="inlineStr">
        <is>
          <t>Ingrediente de Símbolo do Zelote Duvidoso (Acessório Tier 7)</t>
        </is>
      </c>
      <c r="K392" s="115" t="inlineStr">
        <is>
          <t>Emblema do Zelote da Coroação, que acredita que coroar o Rei sem corpo vai libertar o Sultanato da fome e da guerra.</t>
        </is>
      </c>
    </row>
    <row r="393">
      <c r="A393" s="115" t="n">
        <v>391</v>
      </c>
      <c r="B393" s="115" t="inlineStr">
        <is>
          <t>Tier 7</t>
        </is>
      </c>
      <c r="C393" s="115" t="inlineStr">
        <is>
          <t>Cinto Incendiário Ritual</t>
        </is>
      </c>
      <c r="D393" s="115" t="inlineStr">
        <is>
          <t>Orgânico / Material</t>
        </is>
      </c>
      <c r="E393" s="115" t="inlineStr">
        <is>
          <t>Fenda Vulcânica Ativa — dropado por monstro específico</t>
        </is>
      </c>
      <c r="F393" s="115" t="inlineStr">
        <is>
          <t>Loot de monstro (não coletável no mundo)</t>
        </is>
      </c>
      <c r="G393" s="115" t="inlineStr">
        <is>
          <t>—</t>
        </is>
      </c>
      <c r="H393" s="115" t="inlineStr">
        <is>
          <t>Incomum (Médio rendimento)</t>
        </is>
      </c>
      <c r="I393" s="115" t="inlineStr">
        <is>
          <t>Ingrediente de Cinto do Zelote Incendiário (Acessório Tier 7)</t>
        </is>
      </c>
      <c r="K393" s="115" t="inlineStr">
        <is>
          <t>Cinto ritual do Zelote Incendiário, que se prepara pra virar tocha viva em nome do Rei Vazio.</t>
        </is>
      </c>
    </row>
    <row r="394">
      <c r="A394" s="115" t="n">
        <v>392</v>
      </c>
      <c r="B394" s="115" t="inlineStr">
        <is>
          <t>Tier 7</t>
        </is>
      </c>
      <c r="C394" s="115" t="inlineStr">
        <is>
          <t>Fragmento de Tesouro Falso</t>
        </is>
      </c>
      <c r="D394" s="115" t="inlineStr">
        <is>
          <t>Troféu de Monstro</t>
        </is>
      </c>
      <c r="E394" s="115" t="inlineStr">
        <is>
          <t>Loot de Tesouro de Obsidiana Falso (Elite)</t>
        </is>
      </c>
      <c r="F394" s="115" t="inlineStr">
        <is>
          <t>Loot de monstro (não coletável no mundo)</t>
        </is>
      </c>
      <c r="G394" s="115" t="inlineStr">
        <is>
          <t>—</t>
        </is>
      </c>
      <c r="H394" s="115" t="inlineStr">
        <is>
          <t>Incomum (Baixo rendimento)</t>
        </is>
      </c>
      <c r="I394" s="115" t="inlineStr">
        <is>
          <t>Ingrediente de Fechadura do Tesouro Falso (Acessório Tier 7)</t>
        </is>
      </c>
      <c r="J394" s="115" t="n">
        <v>50</v>
      </c>
      <c r="K394" s="115" t="inlineStr">
        <is>
          <t>Mecanismo do tesouro-armadilha que o culto deixa pra pegar saqueadores da fenda.</t>
        </is>
      </c>
      <c r="M394" s="115" t="inlineStr">
        <is>
          <t>🐾</t>
        </is>
      </c>
    </row>
    <row r="395">
      <c r="A395" s="115" t="n">
        <v>393</v>
      </c>
      <c r="B395" s="115" t="inlineStr">
        <is>
          <t>Tier 7</t>
        </is>
      </c>
      <c r="C395" s="115" t="inlineStr">
        <is>
          <t>Escama Dourada de Salamandra</t>
        </is>
      </c>
      <c r="D395" s="115" t="inlineStr">
        <is>
          <t>Troféu de Monstro</t>
        </is>
      </c>
      <c r="E395" s="115" t="inlineStr">
        <is>
          <t>Loot de Salamandra Dourada (Elite)</t>
        </is>
      </c>
      <c r="F395" s="115" t="inlineStr">
        <is>
          <t>Loot de monstro (não coletável no mundo)</t>
        </is>
      </c>
      <c r="G395" s="115" t="inlineStr">
        <is>
          <t>—</t>
        </is>
      </c>
      <c r="H395" s="115" t="inlineStr">
        <is>
          <t>Raro (Baixo rendimento)</t>
        </is>
      </c>
      <c r="I395" s="115" t="inlineStr">
        <is>
          <t>Ingrediente de Amuleto da Salamandra Dourada (Acessório Tier 7)</t>
        </is>
      </c>
      <c r="J395" s="115" t="n">
        <v>50</v>
      </c>
      <c r="K395" s="115" t="inlineStr">
        <is>
          <t>Escama dourada da Salamandra Dourada, rara entre as salamandras — a lava não a queima porque ela é feita dela.</t>
        </is>
      </c>
      <c r="M395" s="115" t="inlineStr">
        <is>
          <t>🐾</t>
        </is>
      </c>
    </row>
    <row r="396">
      <c r="A396" s="115" t="n">
        <v>394</v>
      </c>
      <c r="B396" s="115" t="inlineStr">
        <is>
          <t>Tier 7</t>
        </is>
      </c>
      <c r="C396" s="115" t="inlineStr">
        <is>
          <t>Fragmento de Arauto Menor Aprendiz</t>
        </is>
      </c>
      <c r="D396" s="115" t="inlineStr">
        <is>
          <t>Troféu de Monstro</t>
        </is>
      </c>
      <c r="E396" s="115" t="inlineStr">
        <is>
          <t>Loot de Arauto Menor Aprendiz (Elite)</t>
        </is>
      </c>
      <c r="F396" s="115" t="inlineStr">
        <is>
          <t>Loot de monstro (não coletável no mundo)</t>
        </is>
      </c>
      <c r="G396" s="115" t="inlineStr">
        <is>
          <t>—</t>
        </is>
      </c>
      <c r="H396" s="115" t="inlineStr">
        <is>
          <t>Incomum (Baixo rendimento)</t>
        </is>
      </c>
      <c r="I396" s="115" t="inlineStr">
        <is>
          <t>Ingrediente de Broche do Arauto Aprendiz (Acessório Tier 7)</t>
        </is>
      </c>
      <c r="J396" s="115" t="n">
        <v>50</v>
      </c>
      <c r="K396" s="115" t="inlineStr">
        <is>
          <t>Fragmento do Arauto Menor Aprendiz, que aprende com o Arauto Menor da Coroação.</t>
        </is>
      </c>
      <c r="M396" s="115" t="inlineStr">
        <is>
          <t>🐾</t>
        </is>
      </c>
    </row>
    <row r="397">
      <c r="A397" s="115" t="n">
        <v>395</v>
      </c>
      <c r="B397" s="115" t="inlineStr">
        <is>
          <t>Tier 7</t>
        </is>
      </c>
      <c r="C397" s="115" t="inlineStr">
        <is>
          <t>Fragmento de Guarda do Rei Vazio</t>
        </is>
      </c>
      <c r="D397" s="115" t="inlineStr">
        <is>
          <t>Troféu de Monstro</t>
        </is>
      </c>
      <c r="E397" s="115" t="inlineStr">
        <is>
          <t>Loot de Guarda do Rei Vazio (Elite)</t>
        </is>
      </c>
      <c r="F397" s="115" t="inlineStr">
        <is>
          <t>Loot de monstro (não coletável no mundo)</t>
        </is>
      </c>
      <c r="G397" s="115" t="inlineStr">
        <is>
          <t>—</t>
        </is>
      </c>
      <c r="H397" s="115" t="inlineStr">
        <is>
          <t>Incomum (Baixo rendimento)</t>
        </is>
      </c>
      <c r="I397" s="115" t="inlineStr">
        <is>
          <t>Ingrediente de Elmo do Guarda do Rei Vazio (Acessório Tier 7)</t>
        </is>
      </c>
      <c r="J397" s="115" t="n">
        <v>50</v>
      </c>
      <c r="K397" s="115" t="inlineStr">
        <is>
          <t>Fragmento do Guarda do Rei Vazio, escolhido pra proteger um trono que não tem ninguém sentado.</t>
        </is>
      </c>
      <c r="M397" s="115" t="inlineStr">
        <is>
          <t>🐾</t>
        </is>
      </c>
    </row>
    <row r="398">
      <c r="A398" s="115" t="n">
        <v>396</v>
      </c>
      <c r="B398" s="115" t="inlineStr">
        <is>
          <t>Tier 7</t>
        </is>
      </c>
      <c r="C398" s="115" t="inlineStr">
        <is>
          <t>Fragmento de Arauto Menor da Coroação</t>
        </is>
      </c>
      <c r="D398" s="115" t="inlineStr">
        <is>
          <t>Troféu de Monstro</t>
        </is>
      </c>
      <c r="E398" s="115" t="inlineStr">
        <is>
          <t>Loot de Arauto Menor da Coroação (Elite)</t>
        </is>
      </c>
      <c r="F398" s="115" t="inlineStr">
        <is>
          <t>Loot de monstro (não coletável no mundo)</t>
        </is>
      </c>
      <c r="G398" s="115" t="inlineStr">
        <is>
          <t>—</t>
        </is>
      </c>
      <c r="H398" s="115" t="inlineStr">
        <is>
          <t>Incomum (Baixo rendimento)</t>
        </is>
      </c>
      <c r="I398" s="115" t="inlineStr">
        <is>
          <t>Ingrediente de Broche do Arauto da Coroação (Acessório Tier 7)</t>
        </is>
      </c>
      <c r="J398" s="115" t="n">
        <v>50</v>
      </c>
      <c r="K398" s="115" t="inlineStr">
        <is>
          <t>Fragmento do Arauto Menor da Coroação, que repete os decretos do Sumo Sacerdote.</t>
        </is>
      </c>
      <c r="M398" s="115" t="inlineStr">
        <is>
          <t>🐾</t>
        </is>
      </c>
    </row>
    <row r="399">
      <c r="A399" s="115" t="n">
        <v>397</v>
      </c>
      <c r="B399" s="115" t="inlineStr">
        <is>
          <t>Tier 7</t>
        </is>
      </c>
      <c r="C399" s="115" t="inlineStr">
        <is>
          <t>Fragmento de Irmão Kaelen</t>
        </is>
      </c>
      <c r="D399" s="115" t="inlineStr">
        <is>
          <t>Troféu de Monstro</t>
        </is>
      </c>
      <c r="E399" s="115" t="inlineStr">
        <is>
          <t>Loot de Irmão Kaelen, o Que Duvidou em Voz Alta (Nomeado) (Elite)</t>
        </is>
      </c>
      <c r="F399" s="115" t="inlineStr">
        <is>
          <t>Loot de monstro (não coletável no mundo)</t>
        </is>
      </c>
      <c r="G399" s="115" t="inlineStr">
        <is>
          <t>—</t>
        </is>
      </c>
      <c r="H399" s="115" t="inlineStr">
        <is>
          <t>Raro (Baixo rendimento - Elite Nomeado)</t>
        </is>
      </c>
      <c r="I399" s="115" t="inlineStr">
        <is>
          <t>Ingrediente de Cinzas Menores do Último Sermão (Acessório Tier 7)</t>
        </is>
      </c>
      <c r="J399" s="115" t="n">
        <v>55</v>
      </c>
      <c r="K399" s="115" t="inlineStr">
        <is>
          <t>Parte física de Irmão Kaelen, guardada se ele lutar até o fim — foi Sumo Sacerdote antes de duvidar, e a dúvida virou fúria.</t>
        </is>
      </c>
      <c r="M399" s="115" t="inlineStr">
        <is>
          <t>🐾</t>
        </is>
      </c>
    </row>
    <row r="400">
      <c r="A400" s="115" t="n">
        <v>398</v>
      </c>
      <c r="B400" s="115" t="inlineStr">
        <is>
          <t>Tier 8</t>
        </is>
      </c>
      <c r="C400" s="115" t="inlineStr">
        <is>
          <t>Mapa Rasgado do Batedor</t>
        </is>
      </c>
      <c r="D400" s="115" t="inlineStr">
        <is>
          <t>Orgânico / Material</t>
        </is>
      </c>
      <c r="E400" s="115" t="inlineStr">
        <is>
          <t>Acampamento Orc — dropado por monstro específico</t>
        </is>
      </c>
      <c r="F400" s="115" t="inlineStr">
        <is>
          <t>Loot de monstro (não coletável no mundo)</t>
        </is>
      </c>
      <c r="G400" s="115" t="inlineStr">
        <is>
          <t>—</t>
        </is>
      </c>
      <c r="H400" s="115" t="inlineStr">
        <is>
          <t>Incomum (Baixo rendimento)</t>
        </is>
      </c>
      <c r="I400" s="115" t="inlineStr">
        <is>
          <t>Ingrediente de Mapa do Batedor Sobrevivente (Acessório Tier 8)</t>
        </is>
      </c>
      <c r="K400" s="115" t="inlineStr">
        <is>
          <t>Mapa rasgado do Batedor Ferido em Fuga, único sobrevivente de uma emboscada que deu errado.</t>
        </is>
      </c>
    </row>
    <row r="401">
      <c r="A401" s="115" t="n">
        <v>399</v>
      </c>
      <c r="B401" s="115" t="inlineStr">
        <is>
          <t>Tier 8</t>
        </is>
      </c>
      <c r="C401" s="115" t="inlineStr">
        <is>
          <t>Pelagem Ferida de Lobo Solitário</t>
        </is>
      </c>
      <c r="D401" s="115" t="inlineStr">
        <is>
          <t>Orgânico</t>
        </is>
      </c>
      <c r="E401" s="115" t="inlineStr">
        <is>
          <t>Acampamento Orc — dropado por monstro específico</t>
        </is>
      </c>
      <c r="F401" s="115" t="inlineStr">
        <is>
          <t>Loot de monstro (não coletável no mundo)</t>
        </is>
      </c>
      <c r="G401" s="115" t="inlineStr">
        <is>
          <t>—</t>
        </is>
      </c>
      <c r="H401" s="115" t="inlineStr">
        <is>
          <t>Comum (Médio rendimento)</t>
        </is>
      </c>
      <c r="I401" s="115" t="inlineStr">
        <is>
          <t>Ingrediente de Amuleto do Lobo Solitário (Acessório Tier 8)</t>
        </is>
      </c>
      <c r="K401" s="115" t="inlineStr">
        <is>
          <t>Pelagem do Lobo Ferido Solitário, que perdeu a matilha numa caçada.</t>
        </is>
      </c>
    </row>
    <row r="402">
      <c r="A402" s="115" t="n">
        <v>400</v>
      </c>
      <c r="B402" s="115" t="inlineStr">
        <is>
          <t>Tier 8</t>
        </is>
      </c>
      <c r="C402" s="115" t="inlineStr">
        <is>
          <t>Cicatriz Fresca de Orc Ferido</t>
        </is>
      </c>
      <c r="D402" s="115" t="inlineStr">
        <is>
          <t>Orgânico / Material</t>
        </is>
      </c>
      <c r="E402" s="115" t="inlineStr">
        <is>
          <t>Acampamento Orc — dropado por monstro específico</t>
        </is>
      </c>
      <c r="F402" s="115" t="inlineStr">
        <is>
          <t>Loot de monstro (não coletável no mundo)</t>
        </is>
      </c>
      <c r="G402" s="115" t="inlineStr">
        <is>
          <t>—</t>
        </is>
      </c>
      <c r="H402" s="115" t="inlineStr">
        <is>
          <t>Comum (Médio rendimento)</t>
        </is>
      </c>
      <c r="I402" s="115" t="inlineStr">
        <is>
          <t>Ingrediente de Amuleto do Orc Ferido (Acessório Tier 8)</t>
        </is>
      </c>
      <c r="K402" s="115" t="inlineStr">
        <is>
          <t>Cicatriz fresca do Orc Ferido, que luta como quem não tem mais o que perder.</t>
        </is>
      </c>
    </row>
    <row r="403">
      <c r="A403" s="115" t="n">
        <v>401</v>
      </c>
      <c r="B403" s="115" t="inlineStr">
        <is>
          <t>Tier 8</t>
        </is>
      </c>
      <c r="C403" s="115" t="inlineStr">
        <is>
          <t>Corda de Recrutamento Forçado</t>
        </is>
      </c>
      <c r="D403" s="115" t="inlineStr">
        <is>
          <t>Orgânico / Material</t>
        </is>
      </c>
      <c r="E403" s="115" t="inlineStr">
        <is>
          <t>Acampamento Orc — dropado por monstro específico</t>
        </is>
      </c>
      <c r="F403" s="115" t="inlineStr">
        <is>
          <t>Loot de monstro (não coletável no mundo)</t>
        </is>
      </c>
      <c r="G403" s="115" t="inlineStr">
        <is>
          <t>—</t>
        </is>
      </c>
      <c r="H403" s="115" t="inlineStr">
        <is>
          <t>Comum (Médio rendimento)</t>
        </is>
      </c>
      <c r="I403" s="115" t="inlineStr">
        <is>
          <t>Ingrediente de Corda do Recruta Hesitante (Acessório Tier 8)</t>
        </is>
      </c>
      <c r="K403" s="115" t="inlineStr">
        <is>
          <t>Corda usada pra arrastar o Orc Recruta Hesitante pro bando, que ainda não decidiu se aceita a guerra.</t>
        </is>
      </c>
    </row>
    <row r="404">
      <c r="A404" s="115" t="n">
        <v>402</v>
      </c>
      <c r="B404" s="115" t="inlineStr">
        <is>
          <t>Tier 8</t>
        </is>
      </c>
      <c r="C404" s="115" t="inlineStr">
        <is>
          <t>Presa de Filhote de Guerra</t>
        </is>
      </c>
      <c r="D404" s="115" t="inlineStr">
        <is>
          <t>Orgânico</t>
        </is>
      </c>
      <c r="E404" s="115" t="inlineStr">
        <is>
          <t>Acampamento Orc — dropado por monstro específico</t>
        </is>
      </c>
      <c r="F404" s="115" t="inlineStr">
        <is>
          <t>Loot de monstro (não coletável no mundo)</t>
        </is>
      </c>
      <c r="G404" s="115" t="inlineStr">
        <is>
          <t>—</t>
        </is>
      </c>
      <c r="H404" s="115" t="inlineStr">
        <is>
          <t>Comum (Alto rendimento)</t>
        </is>
      </c>
      <c r="I404" s="115" t="inlineStr">
        <is>
          <t>Ingrediente de Amuleto do Filhote de Guerra (Acessório Tier 8)</t>
        </is>
      </c>
      <c r="K404" s="115" t="inlineStr">
        <is>
          <t>Presa do Filhote de Lobo de Guerra, ninhada nova dos Lobos de Guerra Corrompidos.</t>
        </is>
      </c>
    </row>
    <row r="405">
      <c r="A405" s="115" t="n">
        <v>403</v>
      </c>
      <c r="B405" s="115" t="inlineStr">
        <is>
          <t>Tier 8</t>
        </is>
      </c>
      <c r="C405" s="115" t="inlineStr">
        <is>
          <t>Pena do Urubu de Batalha</t>
        </is>
      </c>
      <c r="D405" s="115" t="inlineStr">
        <is>
          <t>Orgânico</t>
        </is>
      </c>
      <c r="E405" s="115" t="inlineStr">
        <is>
          <t>Acampamento Orc — dropado por monstro específico</t>
        </is>
      </c>
      <c r="F405" s="115" t="inlineStr">
        <is>
          <t>Loot de monstro (não coletável no mundo)</t>
        </is>
      </c>
      <c r="G405" s="115" t="inlineStr">
        <is>
          <t>—</t>
        </is>
      </c>
      <c r="H405" s="115" t="inlineStr">
        <is>
          <t>Comum (Alto rendimento)</t>
        </is>
      </c>
      <c r="I405" s="115" t="inlineStr">
        <is>
          <t>Ingrediente de Amuleto do Urubu de Batalha (Acessório Tier 8)</t>
        </is>
      </c>
      <c r="K405" s="115" t="inlineStr">
        <is>
          <t>Pena do Urubu do Campo de Batalha, que aprendeu a esperar pela guerra terminar.</t>
        </is>
      </c>
    </row>
    <row r="406">
      <c r="A406" s="115" t="n">
        <v>404</v>
      </c>
      <c r="B406" s="115" t="inlineStr">
        <is>
          <t>Tier 8</t>
        </is>
      </c>
      <c r="C406" s="115" t="inlineStr">
        <is>
          <t>Bandagem Suja de Recruta Ferido</t>
        </is>
      </c>
      <c r="D406" s="115" t="inlineStr">
        <is>
          <t>Orgânico</t>
        </is>
      </c>
      <c r="E406" s="115" t="inlineStr">
        <is>
          <t>Acampamento Orc — dropado por monstro específico</t>
        </is>
      </c>
      <c r="F406" s="115" t="inlineStr">
        <is>
          <t>Loot de monstro (não coletável no mundo)</t>
        </is>
      </c>
      <c r="G406" s="115" t="inlineStr">
        <is>
          <t>—</t>
        </is>
      </c>
      <c r="H406" s="115" t="inlineStr">
        <is>
          <t>Comum (Médio rendimento)</t>
        </is>
      </c>
      <c r="I406" s="115" t="inlineStr">
        <is>
          <t>Ingrediente de Corda do Recruta Hesitante (Acessório Tier 8)</t>
        </is>
      </c>
      <c r="K406" s="115" t="inlineStr">
        <is>
          <t>Bandagem suja do Orc Recruta Ferido, que já levou golpe antes de te encontrar.</t>
        </is>
      </c>
    </row>
    <row r="407">
      <c r="A407" s="115" t="n">
        <v>405</v>
      </c>
      <c r="B407" s="115" t="inlineStr">
        <is>
          <t>Tier 8</t>
        </is>
      </c>
      <c r="C407" s="115" t="inlineStr">
        <is>
          <t>Amuleto Rúnico de Aprendiz Menor</t>
        </is>
      </c>
      <c r="D407" s="115" t="inlineStr">
        <is>
          <t>Orgânico / Material</t>
        </is>
      </c>
      <c r="E407" s="115" t="inlineStr">
        <is>
          <t>Acampamento Orc — dropado por monstro específico</t>
        </is>
      </c>
      <c r="F407" s="115" t="inlineStr">
        <is>
          <t>Loot de monstro (não coletável no mundo)</t>
        </is>
      </c>
      <c r="G407" s="115" t="inlineStr">
        <is>
          <t>—</t>
        </is>
      </c>
      <c r="H407" s="115" t="inlineStr">
        <is>
          <t>Incomum (Baixo rendimento)</t>
        </is>
      </c>
      <c r="I407" s="115" t="inlineStr">
        <is>
          <t>Ingrediente de Amuleto Rúnico do Xamã (Acessório Tier 8)</t>
        </is>
      </c>
      <c r="K407" s="115" t="inlineStr">
        <is>
          <t>Amuleto rúnico do Xamã Aprendiz Menor, ainda no início do treinamento nos rituais do Sangue Negro.</t>
        </is>
      </c>
    </row>
    <row r="408">
      <c r="A408" s="115" t="n">
        <v>406</v>
      </c>
      <c r="B408" s="115" t="inlineStr">
        <is>
          <t>Tier 8</t>
        </is>
      </c>
      <c r="C408" s="115" t="inlineStr">
        <is>
          <t>Presa de Filhote Solitário</t>
        </is>
      </c>
      <c r="D408" s="115" t="inlineStr">
        <is>
          <t>Orgânico</t>
        </is>
      </c>
      <c r="E408" s="115" t="inlineStr">
        <is>
          <t>Acampamento Orc — dropado por monstro específico</t>
        </is>
      </c>
      <c r="F408" s="115" t="inlineStr">
        <is>
          <t>Loot de monstro (não coletável no mundo)</t>
        </is>
      </c>
      <c r="G408" s="115" t="inlineStr">
        <is>
          <t>—</t>
        </is>
      </c>
      <c r="H408" s="115" t="inlineStr">
        <is>
          <t>Comum (Alto rendimento)</t>
        </is>
      </c>
      <c r="I408" s="115" t="inlineStr">
        <is>
          <t>Ingrediente de Amuleto do Filhote de Guerra (Acessório Tier 8)</t>
        </is>
      </c>
      <c r="K408" s="115" t="inlineStr">
        <is>
          <t>Presa do Filhote de Lobo Solitário, separado da ninhada e ainda não aprendeu a caçar em grupo.</t>
        </is>
      </c>
    </row>
    <row r="409">
      <c r="A409" s="115" t="n">
        <v>407</v>
      </c>
      <c r="B409" s="115" t="inlineStr">
        <is>
          <t>Tier 8</t>
        </is>
      </c>
      <c r="C409" s="115" t="inlineStr">
        <is>
          <t>Machadinha de Orc Guerreiro</t>
        </is>
      </c>
      <c r="D409" s="115" t="inlineStr">
        <is>
          <t>Orgânico / Material</t>
        </is>
      </c>
      <c r="E409" s="115" t="inlineStr">
        <is>
          <t>Acampamento Orc — dropado por monstro específico</t>
        </is>
      </c>
      <c r="F409" s="115" t="inlineStr">
        <is>
          <t>Loot de monstro (não coletável no mundo)</t>
        </is>
      </c>
      <c r="G409" s="115" t="inlineStr">
        <is>
          <t>—</t>
        </is>
      </c>
      <c r="H409" s="115" t="inlineStr">
        <is>
          <t>Comum (Médio rendimento)</t>
        </is>
      </c>
      <c r="I409" s="115" t="inlineStr">
        <is>
          <t>Ingrediente de Machadinha do Guerreiro (Acessório Tier 8)</t>
        </is>
      </c>
      <c r="K409" s="115" t="inlineStr">
        <is>
          <t>Machadinha do Orc Guerreiro, que luta por lealdade ao clã, não por fé no Rei sem corpo.</t>
        </is>
      </c>
    </row>
    <row r="410">
      <c r="A410" s="115" t="n">
        <v>408</v>
      </c>
      <c r="B410" s="115" t="inlineStr">
        <is>
          <t>Tier 8</t>
        </is>
      </c>
      <c r="C410" s="115" t="inlineStr">
        <is>
          <t>Amuleto Rúnico de Aprendiz</t>
        </is>
      </c>
      <c r="D410" s="115" t="inlineStr">
        <is>
          <t>Orgânico / Material</t>
        </is>
      </c>
      <c r="E410" s="115" t="inlineStr">
        <is>
          <t>Acampamento Orc — dropado por monstro específico</t>
        </is>
      </c>
      <c r="F410" s="115" t="inlineStr">
        <is>
          <t>Loot de monstro (não coletável no mundo)</t>
        </is>
      </c>
      <c r="G410" s="115" t="inlineStr">
        <is>
          <t>—</t>
        </is>
      </c>
      <c r="H410" s="115" t="inlineStr">
        <is>
          <t>Incomum (Médio rendimento)</t>
        </is>
      </c>
      <c r="I410" s="115" t="inlineStr">
        <is>
          <t>Ingrediente de Amuleto Rúnico do Xamã (Acessório Tier 8)</t>
        </is>
      </c>
      <c r="K410" s="115" t="inlineStr">
        <is>
          <t>Amuleto rúnico do Xamã Aprendiz, que segue o Xamã do Sangue Negro aprendendo o ritual.</t>
        </is>
      </c>
    </row>
    <row r="411">
      <c r="A411" s="115" t="n">
        <v>409</v>
      </c>
      <c r="B411" s="115" t="inlineStr">
        <is>
          <t>Tier 8</t>
        </is>
      </c>
      <c r="C411" s="115" t="inlineStr">
        <is>
          <t>Sanguessuga do Ritual</t>
        </is>
      </c>
      <c r="D411" s="115" t="inlineStr">
        <is>
          <t>Orgânico / Material</t>
        </is>
      </c>
      <c r="E411" s="115" t="inlineStr">
        <is>
          <t>Acampamento Orc — dropado por monstro específico</t>
        </is>
      </c>
      <c r="F411" s="115" t="inlineStr">
        <is>
          <t>Loot de monstro (não coletável no mundo)</t>
        </is>
      </c>
      <c r="G411" s="115" t="inlineStr">
        <is>
          <t>—</t>
        </is>
      </c>
      <c r="H411" s="115" t="inlineStr">
        <is>
          <t>Incomum (Baixo rendimento)</t>
        </is>
      </c>
      <c r="I411" s="115" t="inlineStr">
        <is>
          <t>Ingrediente de Vial da Sanguessuga (Acessório Tier 8)</t>
        </is>
      </c>
      <c r="K411" s="115" t="inlineStr">
        <is>
          <t>Sanguessuga extraída do Parasita do Sangue Negro, que vive no próprio sangue ritual do Xamã.</t>
        </is>
      </c>
    </row>
    <row r="412">
      <c r="A412" s="115" t="n">
        <v>410</v>
      </c>
      <c r="B412" s="115" t="inlineStr">
        <is>
          <t>Tier 8</t>
        </is>
      </c>
      <c r="C412" s="115" t="inlineStr">
        <is>
          <t>Escudo do Guarda Menor</t>
        </is>
      </c>
      <c r="D412" s="115" t="inlineStr">
        <is>
          <t>Orgânico / Material</t>
        </is>
      </c>
      <c r="E412" s="115" t="inlineStr">
        <is>
          <t>Acampamento Orc — dropado por monstro específico</t>
        </is>
      </c>
      <c r="F412" s="115" t="inlineStr">
        <is>
          <t>Loot de monstro (não coletável no mundo)</t>
        </is>
      </c>
      <c r="G412" s="115" t="inlineStr">
        <is>
          <t>—</t>
        </is>
      </c>
      <c r="H412" s="115" t="inlineStr">
        <is>
          <t>Comum (Médio rendimento)</t>
        </is>
      </c>
      <c r="I412" s="115" t="inlineStr">
        <is>
          <t>Ingrediente de Escudo do Guardião do Estandarte Menor (Acessório Tier 8)</t>
        </is>
      </c>
      <c r="K412" s="115" t="inlineStr">
        <is>
          <t>Escudo do Guarda do Estandarte Menor, escolhido pra morrer protegendo o estandarte se preciso.</t>
        </is>
      </c>
    </row>
    <row r="413">
      <c r="A413" s="115" t="n">
        <v>411</v>
      </c>
      <c r="B413" s="115" t="inlineStr">
        <is>
          <t>Tier 8</t>
        </is>
      </c>
      <c r="C413" s="115" t="inlineStr">
        <is>
          <t>Presa de Lobo Jovem</t>
        </is>
      </c>
      <c r="D413" s="115" t="inlineStr">
        <is>
          <t>Orgânico</t>
        </is>
      </c>
      <c r="E413" s="115" t="inlineStr">
        <is>
          <t>Acampamento Orc — dropado por monstro específico</t>
        </is>
      </c>
      <c r="F413" s="115" t="inlineStr">
        <is>
          <t>Loot de monstro (não coletável no mundo)</t>
        </is>
      </c>
      <c r="G413" s="115" t="inlineStr">
        <is>
          <t>—</t>
        </is>
      </c>
      <c r="H413" s="115" t="inlineStr">
        <is>
          <t>Comum (Médio rendimento)</t>
        </is>
      </c>
      <c r="I413" s="115" t="inlineStr">
        <is>
          <t>Ingrediente de Amuleto do Lobo Solitário (Acessório Tier 8)</t>
        </is>
      </c>
      <c r="K413" s="115" t="inlineStr">
        <is>
          <t>Presa do Lobo de Guerra Jovem, ainda não corrompido por completo.</t>
        </is>
      </c>
    </row>
    <row r="414">
      <c r="A414" s="115" t="n">
        <v>412</v>
      </c>
      <c r="B414" s="115" t="inlineStr">
        <is>
          <t>Tier 8</t>
        </is>
      </c>
      <c r="C414" s="115" t="inlineStr">
        <is>
          <t>Arco Improvisado de Batedor Menor</t>
        </is>
      </c>
      <c r="D414" s="115" t="inlineStr">
        <is>
          <t>Orgânico / Material</t>
        </is>
      </c>
      <c r="E414" s="115" t="inlineStr">
        <is>
          <t>Acampamento Orc — dropado por monstro específico</t>
        </is>
      </c>
      <c r="F414" s="115" t="inlineStr">
        <is>
          <t>Loot de monstro (não coletável no mundo)</t>
        </is>
      </c>
      <c r="G414" s="115" t="inlineStr">
        <is>
          <t>—</t>
        </is>
      </c>
      <c r="H414" s="115" t="inlineStr">
        <is>
          <t>Comum (Médio rendimento)</t>
        </is>
      </c>
      <c r="I414" s="115" t="inlineStr">
        <is>
          <t>Ingrediente de Arco do Batedor Menor (Acessório Tier 8)</t>
        </is>
      </c>
      <c r="K414" s="115" t="inlineStr">
        <is>
          <t>Arco improvisado do Batedor Orc Menor, menos experiente que o Orc Batedor original.</t>
        </is>
      </c>
    </row>
    <row r="415">
      <c r="A415" s="115" t="n">
        <v>413</v>
      </c>
      <c r="B415" s="115" t="inlineStr">
        <is>
          <t>Tier 8</t>
        </is>
      </c>
      <c r="C415" s="115" t="inlineStr">
        <is>
          <t>Placa do Aspirante ao Estandarte</t>
        </is>
      </c>
      <c r="D415" s="115" t="inlineStr">
        <is>
          <t>Orgânico / Material</t>
        </is>
      </c>
      <c r="E415" s="115" t="inlineStr">
        <is>
          <t>Acampamento Orc — dropado por monstro específico</t>
        </is>
      </c>
      <c r="F415" s="115" t="inlineStr">
        <is>
          <t>Loot de monstro (não coletável no mundo)</t>
        </is>
      </c>
      <c r="G415" s="115" t="inlineStr">
        <is>
          <t>—</t>
        </is>
      </c>
      <c r="H415" s="115" t="inlineStr">
        <is>
          <t>Comum (Médio rendimento)</t>
        </is>
      </c>
      <c r="I415" s="115" t="inlineStr">
        <is>
          <t>Ingrediente de Escudo do Guardião do Estandarte Menor (Acessório Tier 8)</t>
        </is>
      </c>
      <c r="K415" s="115" t="inlineStr">
        <is>
          <t>Placa do Guarda Menor do Estandarte, aspirante a proteger o símbolo do bando.</t>
        </is>
      </c>
    </row>
    <row r="416">
      <c r="A416" s="115" t="n">
        <v>414</v>
      </c>
      <c r="B416" s="115" t="inlineStr">
        <is>
          <t>Tier 8</t>
        </is>
      </c>
      <c r="C416" s="115" t="inlineStr">
        <is>
          <t>Faro Treinado do Rastreador Jovem</t>
        </is>
      </c>
      <c r="D416" s="115" t="inlineStr">
        <is>
          <t>Orgânico / Material</t>
        </is>
      </c>
      <c r="E416" s="115" t="inlineStr">
        <is>
          <t>Acampamento Orc — dropado por monstro específico</t>
        </is>
      </c>
      <c r="F416" s="115" t="inlineStr">
        <is>
          <t>Loot de monstro (não coletável no mundo)</t>
        </is>
      </c>
      <c r="G416" s="115" t="inlineStr">
        <is>
          <t>—</t>
        </is>
      </c>
      <c r="H416" s="115" t="inlineStr">
        <is>
          <t>Comum (Médio rendimento)</t>
        </is>
      </c>
      <c r="I416" s="115" t="inlineStr">
        <is>
          <t>Ingrediente de Faro do Rastreador (Acessório Tier 8)</t>
        </is>
      </c>
      <c r="K416" s="115" t="inlineStr">
        <is>
          <t>Faro do Orc Rastreador Jovem, ainda aprendendo a farejar presas feridas.</t>
        </is>
      </c>
    </row>
    <row r="417">
      <c r="A417" s="115" t="n">
        <v>415</v>
      </c>
      <c r="B417" s="115" t="inlineStr">
        <is>
          <t>Tier 8</t>
        </is>
      </c>
      <c r="C417" s="115" t="inlineStr">
        <is>
          <t>Cicatriz de Orc Veterano</t>
        </is>
      </c>
      <c r="D417" s="115" t="inlineStr">
        <is>
          <t>Orgânico / Material</t>
        </is>
      </c>
      <c r="E417" s="115" t="inlineStr">
        <is>
          <t>Acampamento Orc — dropado por monstro específico</t>
        </is>
      </c>
      <c r="F417" s="115" t="inlineStr">
        <is>
          <t>Loot de monstro (não coletável no mundo)</t>
        </is>
      </c>
      <c r="G417" s="115" t="inlineStr">
        <is>
          <t>—</t>
        </is>
      </c>
      <c r="H417" s="115" t="inlineStr">
        <is>
          <t>Incomum (Médio rendimento)</t>
        </is>
      </c>
      <c r="I417" s="115" t="inlineStr">
        <is>
          <t>Ingrediente de Amuleto do Orc Ferido (Acessório Tier 8)</t>
        </is>
      </c>
      <c r="K417" s="115" t="inlineStr">
        <is>
          <t>Cicatriz do Orc Veterano, que sobreviveu a mais batalhas que qualquer outro do bando.</t>
        </is>
      </c>
    </row>
    <row r="418">
      <c r="A418" s="115" t="n">
        <v>416</v>
      </c>
      <c r="B418" s="115" t="inlineStr">
        <is>
          <t>Tier 8</t>
        </is>
      </c>
      <c r="C418" s="115" t="inlineStr">
        <is>
          <t>Faro Treinado do Rastreador</t>
        </is>
      </c>
      <c r="D418" s="115" t="inlineStr">
        <is>
          <t>Orgânico / Material</t>
        </is>
      </c>
      <c r="E418" s="115" t="inlineStr">
        <is>
          <t>Acampamento Orc — dropado por monstro específico</t>
        </is>
      </c>
      <c r="F418" s="115" t="inlineStr">
        <is>
          <t>Loot de monstro (não coletável no mundo)</t>
        </is>
      </c>
      <c r="G418" s="115" t="inlineStr">
        <is>
          <t>—</t>
        </is>
      </c>
      <c r="H418" s="115" t="inlineStr">
        <is>
          <t>Incomum (Médio rendimento)</t>
        </is>
      </c>
      <c r="I418" s="115" t="inlineStr">
        <is>
          <t>Ingrediente de Faro do Rastreador (Acessório Tier 8)</t>
        </is>
      </c>
      <c r="K418" s="115" t="inlineStr">
        <is>
          <t>Faro do Orc Rastreador, que encontra qualquer um que sangre pro resto do bando finalizar.</t>
        </is>
      </c>
    </row>
    <row r="419">
      <c r="A419" s="115" t="n">
        <v>417</v>
      </c>
      <c r="B419" s="115" t="inlineStr">
        <is>
          <t>Tier 8</t>
        </is>
      </c>
      <c r="C419" s="115" t="inlineStr">
        <is>
          <t>Corrente de Contenção do Berserker</t>
        </is>
      </c>
      <c r="D419" s="115" t="inlineStr">
        <is>
          <t>Orgânico / Material</t>
        </is>
      </c>
      <c r="E419" s="115" t="inlineStr">
        <is>
          <t>Acampamento Orc — dropado por monstro específico</t>
        </is>
      </c>
      <c r="F419" s="115" t="inlineStr">
        <is>
          <t>Loot de monstro (não coletável no mundo)</t>
        </is>
      </c>
      <c r="G419" s="115" t="inlineStr">
        <is>
          <t>—</t>
        </is>
      </c>
      <c r="H419" s="115" t="inlineStr">
        <is>
          <t>Comum (Médio rendimento)</t>
        </is>
      </c>
      <c r="I419" s="115" t="inlineStr">
        <is>
          <t>Ingrediente de Corrente do Berserker Contido (Acessório Tier 8)</t>
        </is>
      </c>
      <c r="K419" s="115" t="inlineStr">
        <is>
          <t>Corrente do Berserker Contido, que aprendeu a controlar a fúria mas só até certo ponto.</t>
        </is>
      </c>
    </row>
    <row r="420">
      <c r="A420" s="115" t="n">
        <v>418</v>
      </c>
      <c r="B420" s="115" t="inlineStr">
        <is>
          <t>Tier 8</t>
        </is>
      </c>
      <c r="C420" s="115" t="inlineStr">
        <is>
          <t>Bandagem de Veterano Ferido</t>
        </is>
      </c>
      <c r="D420" s="115" t="inlineStr">
        <is>
          <t>Orgânico</t>
        </is>
      </c>
      <c r="E420" s="115" t="inlineStr">
        <is>
          <t>Acampamento Orc — dropado por monstro específico</t>
        </is>
      </c>
      <c r="F420" s="115" t="inlineStr">
        <is>
          <t>Loot de monstro (não coletável no mundo)</t>
        </is>
      </c>
      <c r="G420" s="115" t="inlineStr">
        <is>
          <t>—</t>
        </is>
      </c>
      <c r="H420" s="115" t="inlineStr">
        <is>
          <t>Comum (Médio rendimento)</t>
        </is>
      </c>
      <c r="I420" s="115" t="inlineStr">
        <is>
          <t>Ingrediente de Corrente do Berserker Contido (Acessório Tier 8)</t>
        </is>
      </c>
      <c r="K420" s="115" t="inlineStr">
        <is>
          <t>Bandagem do Orc Veterano Ferido, que já não tem tanta força quanto antes.</t>
        </is>
      </c>
    </row>
    <row r="421">
      <c r="A421" s="115" t="n">
        <v>419</v>
      </c>
      <c r="B421" s="115" t="inlineStr">
        <is>
          <t>Tier 8</t>
        </is>
      </c>
      <c r="C421" s="115" t="inlineStr">
        <is>
          <t>Marca Forçada do Recruta</t>
        </is>
      </c>
      <c r="D421" s="115" t="inlineStr">
        <is>
          <t>Orgânico / Material</t>
        </is>
      </c>
      <c r="E421" s="115" t="inlineStr">
        <is>
          <t>Acampamento Orc — dropado por monstro específico</t>
        </is>
      </c>
      <c r="F421" s="115" t="inlineStr">
        <is>
          <t>Loot de monstro (não coletável no mundo)</t>
        </is>
      </c>
      <c r="G421" s="115" t="inlineStr">
        <is>
          <t>—</t>
        </is>
      </c>
      <c r="H421" s="115" t="inlineStr">
        <is>
          <t>Incomum (Baixo rendimento)</t>
        </is>
      </c>
      <c r="I421" s="115" t="inlineStr">
        <is>
          <t>Ingrediente de Corda do Recruta Hesitante (Acessório Tier 8)</t>
        </is>
      </c>
      <c r="K421" s="115" t="inlineStr">
        <is>
          <t>Marca forçada do Orc Recruta Marcado pelo pacto do chefe com a Mão — ainda não perdeu tudo, pode ser convencido a fugir.</t>
        </is>
      </c>
    </row>
    <row r="422">
      <c r="A422" s="115" t="n">
        <v>420</v>
      </c>
      <c r="B422" s="115" t="inlineStr">
        <is>
          <t>Tier 8</t>
        </is>
      </c>
      <c r="C422" s="115" t="inlineStr">
        <is>
          <t>Pelagem Corrompida de Lobo</t>
        </is>
      </c>
      <c r="D422" s="115" t="inlineStr">
        <is>
          <t>Orgânico</t>
        </is>
      </c>
      <c r="E422" s="115" t="inlineStr">
        <is>
          <t>Acampamento Orc — dropado por monstro específico</t>
        </is>
      </c>
      <c r="F422" s="115" t="inlineStr">
        <is>
          <t>Loot de monstro (não coletável no mundo)</t>
        </is>
      </c>
      <c r="G422" s="115" t="inlineStr">
        <is>
          <t>—</t>
        </is>
      </c>
      <c r="H422" s="115" t="inlineStr">
        <is>
          <t>Incomum (Médio rendimento)</t>
        </is>
      </c>
      <c r="I422" s="115" t="inlineStr">
        <is>
          <t>Ingrediente de Amuleto do Filhote de Guerra (Acessório Tier 8)</t>
        </is>
      </c>
      <c r="K422" s="115" t="inlineStr">
        <is>
          <t>Pelagem do Lobo de Guerra Corrompido — a corrupção deixou os lobos mais rápidos e mais cruéis, mas também mais fáceis de enlouquecer.</t>
        </is>
      </c>
    </row>
    <row r="423">
      <c r="A423" s="115" t="n">
        <v>421</v>
      </c>
      <c r="B423" s="115" t="inlineStr">
        <is>
          <t>Tier 8</t>
        </is>
      </c>
      <c r="C423" s="115" t="inlineStr">
        <is>
          <t>Fragmento de Campeão Menor</t>
        </is>
      </c>
      <c r="D423" s="115" t="inlineStr">
        <is>
          <t>Troféu de Monstro</t>
        </is>
      </c>
      <c r="E423" s="115" t="inlineStr">
        <is>
          <t>Loot de Campeão Menor (Elite)</t>
        </is>
      </c>
      <c r="F423" s="115" t="inlineStr">
        <is>
          <t>Loot de monstro (não coletável no mundo)</t>
        </is>
      </c>
      <c r="G423" s="115" t="inlineStr">
        <is>
          <t>—</t>
        </is>
      </c>
      <c r="H423" s="115" t="inlineStr">
        <is>
          <t>Incomum (Baixo rendimento)</t>
        </is>
      </c>
      <c r="I423" s="115" t="inlineStr">
        <is>
          <t>Ingrediente de Amuleto do Campeão Menor (Acessório Tier 8)</t>
        </is>
      </c>
      <c r="J423" s="115" t="n">
        <v>58</v>
      </c>
      <c r="K423" s="115" t="inlineStr">
        <is>
          <t>Fragmento do Campeão Menor, que aspira ser Campeão Cicatrizado um dia.</t>
        </is>
      </c>
      <c r="M423" s="115" t="inlineStr">
        <is>
          <t>🐾</t>
        </is>
      </c>
    </row>
    <row r="424">
      <c r="A424" s="115" t="n">
        <v>422</v>
      </c>
      <c r="B424" s="115" t="inlineStr">
        <is>
          <t>Tier 8</t>
        </is>
      </c>
      <c r="C424" s="115" t="inlineStr">
        <is>
          <t>Pena Negra de Corvo de Batalha</t>
        </is>
      </c>
      <c r="D424" s="115" t="inlineStr">
        <is>
          <t>Troféu de Monstro</t>
        </is>
      </c>
      <c r="E424" s="115" t="inlineStr">
        <is>
          <t>Loot de Corvo de Batalha (Elite)</t>
        </is>
      </c>
      <c r="F424" s="115" t="inlineStr">
        <is>
          <t>Loot de monstro (não coletável no mundo)</t>
        </is>
      </c>
      <c r="G424" s="115" t="inlineStr">
        <is>
          <t>—</t>
        </is>
      </c>
      <c r="H424" s="115" t="inlineStr">
        <is>
          <t>Raro (Baixo rendimento)</t>
        </is>
      </c>
      <c r="I424" s="115" t="inlineStr">
        <is>
          <t>Ingrediente de Amuleto do Corvo de Batalha (Acessório Tier 8)</t>
        </is>
      </c>
      <c r="J424" s="115" t="n">
        <v>58</v>
      </c>
      <c r="K424" s="115" t="inlineStr">
        <is>
          <t>Pena negra do Corvo de Batalha, que segue os bandos orcs e pega o que sobra depois da matança.</t>
        </is>
      </c>
      <c r="M424" s="115" t="inlineStr">
        <is>
          <t>🐾</t>
        </is>
      </c>
    </row>
    <row r="425">
      <c r="A425" s="115" t="n">
        <v>423</v>
      </c>
      <c r="B425" s="115" t="inlineStr">
        <is>
          <t>Tier 8</t>
        </is>
      </c>
      <c r="C425" s="115" t="inlineStr">
        <is>
          <t>Fragmento de Lobo Alfa Menor</t>
        </is>
      </c>
      <c r="D425" s="115" t="inlineStr">
        <is>
          <t>Troféu de Monstro</t>
        </is>
      </c>
      <c r="E425" s="115" t="inlineStr">
        <is>
          <t>Loot de Lobo Alfa Menor (Elite)</t>
        </is>
      </c>
      <c r="F425" s="115" t="inlineStr">
        <is>
          <t>Loot de monstro (não coletável no mundo)</t>
        </is>
      </c>
      <c r="G425" s="115" t="inlineStr">
        <is>
          <t>—</t>
        </is>
      </c>
      <c r="H425" s="115" t="inlineStr">
        <is>
          <t>Incomum (Baixo rendimento)</t>
        </is>
      </c>
      <c r="I425" s="115" t="inlineStr">
        <is>
          <t>Ingrediente de Amuleto do Lobo Alfa Menor (Acessório Tier 8)</t>
        </is>
      </c>
      <c r="J425" s="115" t="n">
        <v>58</v>
      </c>
      <c r="K425" s="115" t="inlineStr">
        <is>
          <t>Fragmento do Lobo Alfa Menor, que lidera a matilha ao lado do bando orc.</t>
        </is>
      </c>
      <c r="M425" s="115" t="inlineStr">
        <is>
          <t>🐾</t>
        </is>
      </c>
    </row>
    <row r="426">
      <c r="A426" s="115" t="n">
        <v>424</v>
      </c>
      <c r="B426" s="115" t="inlineStr">
        <is>
          <t>Tier 8</t>
        </is>
      </c>
      <c r="C426" s="115" t="inlineStr">
        <is>
          <t>Fragmento de Totem Armadilhado</t>
        </is>
      </c>
      <c r="D426" s="115" t="inlineStr">
        <is>
          <t>Troféu de Monstro</t>
        </is>
      </c>
      <c r="E426" s="115" t="inlineStr">
        <is>
          <t>Loot de Totem de Guerra Falso (Elite)</t>
        </is>
      </c>
      <c r="F426" s="115" t="inlineStr">
        <is>
          <t>Loot de monstro (não coletável no mundo)</t>
        </is>
      </c>
      <c r="G426" s="115" t="inlineStr">
        <is>
          <t>—</t>
        </is>
      </c>
      <c r="H426" s="115" t="inlineStr">
        <is>
          <t>Incomum (Baixo rendimento)</t>
        </is>
      </c>
      <c r="I426" s="115" t="inlineStr">
        <is>
          <t>Ingrediente de Fechadura do Totem Falso (Acessório Tier 8)</t>
        </is>
      </c>
      <c r="J426" s="115" t="n">
        <v>58</v>
      </c>
      <c r="K426" s="115" t="inlineStr">
        <is>
          <t>Mecanismo do totem-armadilha que o bando planta nas trilhas pra pegar batedores inimigos.</t>
        </is>
      </c>
      <c r="M426" s="115" t="inlineStr">
        <is>
          <t>🐾</t>
        </is>
      </c>
    </row>
    <row r="427">
      <c r="A427" s="115" t="n">
        <v>425</v>
      </c>
      <c r="B427" s="115" t="inlineStr">
        <is>
          <t>Tier 8</t>
        </is>
      </c>
      <c r="C427" s="115" t="inlineStr">
        <is>
          <t>Fragmento do Campeão Deposto</t>
        </is>
      </c>
      <c r="D427" s="115" t="inlineStr">
        <is>
          <t>Troféu de Monstro</t>
        </is>
      </c>
      <c r="E427" s="115" t="inlineStr">
        <is>
          <t>Loot de Grok, o Que Recusou a Guerra (Nomeado) (Elite)</t>
        </is>
      </c>
      <c r="F427" s="115" t="inlineStr">
        <is>
          <t>Loot de monstro (não coletável no mundo)</t>
        </is>
      </c>
      <c r="G427" s="115" t="inlineStr">
        <is>
          <t>—</t>
        </is>
      </c>
      <c r="H427" s="115" t="inlineStr">
        <is>
          <t>Raro (Baixo rendimento - Elite Nomeado)</t>
        </is>
      </c>
      <c r="I427" s="115" t="inlineStr">
        <is>
          <t>Ingrediente de Machado Menor do Campeão Deposto (Acessório Tier 8)</t>
        </is>
      </c>
      <c r="J427" s="115" t="n">
        <v>65</v>
      </c>
      <c r="K427" s="115" t="inlineStr">
        <is>
          <t>Parte física de Grok, guardada só se ele for derrotado em vez de recrutado — parou de lutar quando entendeu o que a marca fazia com os orcs.</t>
        </is>
      </c>
      <c r="M427" s="115" t="inlineStr">
        <is>
          <t>🐾</t>
        </is>
      </c>
    </row>
    <row r="428">
      <c r="A428" s="115" t="n">
        <v>426</v>
      </c>
      <c r="B428" s="115" t="inlineStr">
        <is>
          <t>Tier 8</t>
        </is>
      </c>
      <c r="C428" s="115" t="inlineStr">
        <is>
          <t>Fragmento de Berserker Ritualizado</t>
        </is>
      </c>
      <c r="D428" s="115" t="inlineStr">
        <is>
          <t>Troféu de Monstro</t>
        </is>
      </c>
      <c r="E428" s="115" t="inlineStr">
        <is>
          <t>Loot de Orc Berserker Ritualizado (Elite)</t>
        </is>
      </c>
      <c r="F428" s="115" t="inlineStr">
        <is>
          <t>Loot de monstro (não coletável no mundo)</t>
        </is>
      </c>
      <c r="G428" s="115" t="inlineStr">
        <is>
          <t>—</t>
        </is>
      </c>
      <c r="H428" s="115" t="inlineStr">
        <is>
          <t>Incomum (Baixo rendimento)</t>
        </is>
      </c>
      <c r="I428" s="115" t="inlineStr">
        <is>
          <t>Ingrediente de Amuleto do Berserker Ritualizado (Acessório Tier 8)</t>
        </is>
      </c>
      <c r="J428" s="115" t="n">
        <v>58</v>
      </c>
      <c r="K428" s="115" t="inlineStr">
        <is>
          <t>Fragmento do Orc Berserker Ritualizado, que bebeu do ritual do Sangue Negro antes da batalha.</t>
        </is>
      </c>
      <c r="M428" s="115" t="inlineStr">
        <is>
          <t>🐾</t>
        </is>
      </c>
    </row>
    <row r="429">
      <c r="A429" s="115" t="n">
        <v>427</v>
      </c>
      <c r="B429" s="115" t="inlineStr">
        <is>
          <t>Tier 9</t>
        </is>
      </c>
      <c r="C429" s="115" t="inlineStr">
        <is>
          <t>Diário Encharcado do Náufrago</t>
        </is>
      </c>
      <c r="D429" s="115" t="inlineStr">
        <is>
          <t>Orgânico / Material</t>
        </is>
      </c>
      <c r="E429" s="115" t="inlineStr">
        <is>
          <t>Cavernas Profundas de Mithril — dropado por monstro específico</t>
        </is>
      </c>
      <c r="F429" s="115" t="inlineStr">
        <is>
          <t>Loot de monstro (não coletável no mundo)</t>
        </is>
      </c>
      <c r="G429" s="115" t="inlineStr">
        <is>
          <t>—</t>
        </is>
      </c>
      <c r="H429" s="115" t="inlineStr">
        <is>
          <t>Incomum (Baixo rendimento)</t>
        </is>
      </c>
      <c r="I429" s="115" t="inlineStr">
        <is>
          <t>Ingrediente de Diário do Náufrago (Acessório Tier 9)</t>
        </is>
      </c>
      <c r="K429" s="115" t="inlineStr">
        <is>
          <t>Diário encharcado do Náufrago Escondido, que sobrevive numa bolsa de ar há semanas evitando a assimilação.</t>
        </is>
      </c>
    </row>
    <row r="430">
      <c r="A430" s="115" t="n">
        <v>428</v>
      </c>
      <c r="B430" s="115" t="inlineStr">
        <is>
          <t>Tier 9</t>
        </is>
      </c>
      <c r="C430" s="115" t="inlineStr">
        <is>
          <t>Corda Encharcada de Marinheiro</t>
        </is>
      </c>
      <c r="D430" s="115" t="inlineStr">
        <is>
          <t>Orgânico / Material</t>
        </is>
      </c>
      <c r="E430" s="115" t="inlineStr">
        <is>
          <t>Cavernas Profundas de Mithril — dropado por monstro específico</t>
        </is>
      </c>
      <c r="F430" s="115" t="inlineStr">
        <is>
          <t>Loot de monstro (não coletável no mundo)</t>
        </is>
      </c>
      <c r="G430" s="115" t="inlineStr">
        <is>
          <t>—</t>
        </is>
      </c>
      <c r="H430" s="115" t="inlineStr">
        <is>
          <t>Comum (Médio rendimento)</t>
        </is>
      </c>
      <c r="I430" s="115" t="inlineStr">
        <is>
          <t>Ingrediente de Corda do Marinheiro Afogado (Acessório Tier 9)</t>
        </is>
      </c>
      <c r="K430" s="115" t="inlineStr">
        <is>
          <t>Corda do Marinheiro Recém-Afogado, cuja fusão ainda não terminou.</t>
        </is>
      </c>
    </row>
    <row r="431">
      <c r="A431" s="115" t="n">
        <v>429</v>
      </c>
      <c r="B431" s="115" t="inlineStr">
        <is>
          <t>Tier 9</t>
        </is>
      </c>
      <c r="C431" s="115" t="inlineStr">
        <is>
          <t>Símbolo Molhado da Fusão</t>
        </is>
      </c>
      <c r="D431" s="115" t="inlineStr">
        <is>
          <t>Orgânico / Material</t>
        </is>
      </c>
      <c r="E431" s="115" t="inlineStr">
        <is>
          <t>Cavernas Profundas de Mithril — dropado por monstro específico</t>
        </is>
      </c>
      <c r="F431" s="115" t="inlineStr">
        <is>
          <t>Loot de monstro (não coletável no mundo)</t>
        </is>
      </c>
      <c r="G431" s="115" t="inlineStr">
        <is>
          <t>—</t>
        </is>
      </c>
      <c r="H431" s="115" t="inlineStr">
        <is>
          <t>Incomum (Médio rendimento)</t>
        </is>
      </c>
      <c r="I431" s="115" t="inlineStr">
        <is>
          <t>Ingrediente de Símbolo da Fusão (Acessório Tier 9)</t>
        </is>
      </c>
      <c r="K431" s="115" t="inlineStr">
        <is>
          <t>Símbolo do Zelote da Fusão Recém-Nascido, que só existe durante a maré alta.</t>
        </is>
      </c>
    </row>
    <row r="432">
      <c r="A432" s="115" t="n">
        <v>430</v>
      </c>
      <c r="B432" s="115" t="inlineStr">
        <is>
          <t>Tier 9</t>
        </is>
      </c>
      <c r="C432" s="115" t="inlineStr">
        <is>
          <t>Fragmento de Cristal Recém-Formado</t>
        </is>
      </c>
      <c r="D432" s="115" t="inlineStr">
        <is>
          <t>Orgânico / Material</t>
        </is>
      </c>
      <c r="E432" s="115" t="inlineStr">
        <is>
          <t>Cavernas Profundas de Mithril — dropado por monstro específico</t>
        </is>
      </c>
      <c r="F432" s="115" t="inlineStr">
        <is>
          <t>Loot de monstro (não coletável no mundo)</t>
        </is>
      </c>
      <c r="G432" s="115" t="inlineStr">
        <is>
          <t>—</t>
        </is>
      </c>
      <c r="H432" s="115" t="inlineStr">
        <is>
          <t>Comum (Médio rendimento)</t>
        </is>
      </c>
      <c r="I432" s="115" t="inlineStr">
        <is>
          <t>Ingrediente de Amuleto do Cristal (Acessório Tier 9)</t>
        </is>
      </c>
      <c r="K432" s="115" t="inlineStr">
        <is>
          <t>Fragmento do Cristal Recém-Formado, ainda mais novo que o Cristal Jovem.</t>
        </is>
      </c>
    </row>
    <row r="433">
      <c r="A433" s="115" t="n">
        <v>431</v>
      </c>
      <c r="B433" s="115" t="inlineStr">
        <is>
          <t>Tier 9</t>
        </is>
      </c>
      <c r="C433" s="115" t="inlineStr">
        <is>
          <t>Manto Encharcado de Acólito Menor</t>
        </is>
      </c>
      <c r="D433" s="115" t="inlineStr">
        <is>
          <t>Orgânico</t>
        </is>
      </c>
      <c r="E433" s="115" t="inlineStr">
        <is>
          <t>Cavernas Profundas de Mithril — dropado por monstro específico</t>
        </is>
      </c>
      <c r="F433" s="115" t="inlineStr">
        <is>
          <t>Loot de monstro (não coletável no mundo)</t>
        </is>
      </c>
      <c r="G433" s="115" t="inlineStr">
        <is>
          <t>—</t>
        </is>
      </c>
      <c r="H433" s="115" t="inlineStr">
        <is>
          <t>Comum (Médio rendimento)</t>
        </is>
      </c>
      <c r="I433" s="115" t="inlineStr">
        <is>
          <t>Ingrediente de Manto do Acólito da Fusão (Acessório Tier 9)</t>
        </is>
      </c>
      <c r="K433" s="115" t="inlineStr">
        <is>
          <t>Manto encharcado do Acólito da Fusão Menor, recém-recém-convertido ao culto.</t>
        </is>
      </c>
    </row>
    <row r="434">
      <c r="A434" s="115" t="n">
        <v>432</v>
      </c>
      <c r="B434" s="115" t="inlineStr">
        <is>
          <t>Tier 9</t>
        </is>
      </c>
      <c r="C434" s="115" t="inlineStr">
        <is>
          <t>Presa Jovem de Devorador de Afogados</t>
        </is>
      </c>
      <c r="D434" s="115" t="inlineStr">
        <is>
          <t>Orgânico</t>
        </is>
      </c>
      <c r="E434" s="115" t="inlineStr">
        <is>
          <t>Cavernas Profundas de Mithril — dropado por monstro específico</t>
        </is>
      </c>
      <c r="F434" s="115" t="inlineStr">
        <is>
          <t>Loot de monstro (não coletável no mundo)</t>
        </is>
      </c>
      <c r="G434" s="115" t="inlineStr">
        <is>
          <t>—</t>
        </is>
      </c>
      <c r="H434" s="115" t="inlineStr">
        <is>
          <t>Comum (Médio rendimento)</t>
        </is>
      </c>
      <c r="I434" s="115" t="inlineStr">
        <is>
          <t>Ingrediente de Presa do Devorador de Afogados (Acessório Tier 9)</t>
        </is>
      </c>
      <c r="K434" s="115" t="inlineStr">
        <is>
          <t>Presa jovem do Devorador de Afogados Jovem, que já aprendeu a esperar por restos.</t>
        </is>
      </c>
    </row>
    <row r="435">
      <c r="A435" s="115" t="n">
        <v>433</v>
      </c>
      <c r="B435" s="115" t="inlineStr">
        <is>
          <t>Tier 9</t>
        </is>
      </c>
      <c r="C435" s="115" t="inlineStr">
        <is>
          <t>Fragmento de Cristal Vivo</t>
        </is>
      </c>
      <c r="D435" s="115" t="inlineStr">
        <is>
          <t>Orgânico / Material</t>
        </is>
      </c>
      <c r="E435" s="115" t="inlineStr">
        <is>
          <t>Cavernas Profundas de Mithril — dropado por monstro específico</t>
        </is>
      </c>
      <c r="F435" s="115" t="inlineStr">
        <is>
          <t>Loot de monstro (não coletável no mundo)</t>
        </is>
      </c>
      <c r="G435" s="115" t="inlineStr">
        <is>
          <t>—</t>
        </is>
      </c>
      <c r="H435" s="115" t="inlineStr">
        <is>
          <t>Incomum (Médio rendimento)</t>
        </is>
      </c>
      <c r="I435" s="115" t="inlineStr">
        <is>
          <t>Ingrediente de Amuleto do Cristal (Acessório Tier 9)</t>
        </is>
      </c>
      <c r="K435" s="115" t="inlineStr">
        <is>
          <t>Fragmento do Cristal Vivo, mineral que absorveu mithril dissolvido na água e brilha no escuro absoluto.</t>
        </is>
      </c>
    </row>
    <row r="436">
      <c r="A436" s="115" t="n">
        <v>434</v>
      </c>
      <c r="B436" s="115" t="inlineStr">
        <is>
          <t>Tier 9</t>
        </is>
      </c>
      <c r="C436" s="115" t="inlineStr">
        <is>
          <t>Fragmento de Cristal Jovem</t>
        </is>
      </c>
      <c r="D436" s="115" t="inlineStr">
        <is>
          <t>Orgânico / Material</t>
        </is>
      </c>
      <c r="E436" s="115" t="inlineStr">
        <is>
          <t>Cavernas Profundas de Mithril — dropado por monstro específico</t>
        </is>
      </c>
      <c r="F436" s="115" t="inlineStr">
        <is>
          <t>Loot de monstro (não coletável no mundo)</t>
        </is>
      </c>
      <c r="G436" s="115" t="inlineStr">
        <is>
          <t>—</t>
        </is>
      </c>
      <c r="H436" s="115" t="inlineStr">
        <is>
          <t>Comum (Médio rendimento)</t>
        </is>
      </c>
      <c r="I436" s="115" t="inlineStr">
        <is>
          <t>Ingrediente de Amuleto do Cristal (Acessório Tier 9)</t>
        </is>
      </c>
      <c r="K436" s="115" t="inlineStr">
        <is>
          <t>Fragmento do Cristal Jovem, ainda pequeno e mal formado.</t>
        </is>
      </c>
    </row>
    <row r="437">
      <c r="A437" s="115" t="n">
        <v>435</v>
      </c>
      <c r="B437" s="115" t="inlineStr">
        <is>
          <t>Tier 9</t>
        </is>
      </c>
      <c r="C437" s="115" t="inlineStr">
        <is>
          <t>Escama de Cardume Abissal</t>
        </is>
      </c>
      <c r="D437" s="115" t="inlineStr">
        <is>
          <t>Orgânico</t>
        </is>
      </c>
      <c r="E437" s="115" t="inlineStr">
        <is>
          <t>Cavernas Profundas de Mithril — dropado por monstro específico</t>
        </is>
      </c>
      <c r="F437" s="115" t="inlineStr">
        <is>
          <t>Loot de monstro (não coletável no mundo)</t>
        </is>
      </c>
      <c r="G437" s="115" t="inlineStr">
        <is>
          <t>—</t>
        </is>
      </c>
      <c r="H437" s="115" t="inlineStr">
        <is>
          <t>Comum (Alto rendimento)</t>
        </is>
      </c>
      <c r="I437" s="115" t="inlineStr">
        <is>
          <t>Ingrediente de Amuleto do Cardume (Acessório Tier 9)</t>
        </is>
      </c>
      <c r="K437" s="115" t="inlineStr">
        <is>
          <t>Escama de um dos peixes do Cardume Abissal, que se corromperam junto com o Peixe-Abissal maior.</t>
        </is>
      </c>
    </row>
    <row r="438">
      <c r="A438" s="115" t="n">
        <v>436</v>
      </c>
      <c r="B438" s="115" t="inlineStr">
        <is>
          <t>Tier 9</t>
        </is>
      </c>
      <c r="C438" s="115" t="inlineStr">
        <is>
          <t>Manto de Acólito da Fusão</t>
        </is>
      </c>
      <c r="D438" s="115" t="inlineStr">
        <is>
          <t>Orgânico</t>
        </is>
      </c>
      <c r="E438" s="115" t="inlineStr">
        <is>
          <t>Cavernas Profundas de Mithril — dropado por monstro específico</t>
        </is>
      </c>
      <c r="F438" s="115" t="inlineStr">
        <is>
          <t>Loot de monstro (não coletável no mundo)</t>
        </is>
      </c>
      <c r="G438" s="115" t="inlineStr">
        <is>
          <t>—</t>
        </is>
      </c>
      <c r="H438" s="115" t="inlineStr">
        <is>
          <t>Comum (Médio rendimento)</t>
        </is>
      </c>
      <c r="I438" s="115" t="inlineStr">
        <is>
          <t>Ingrediente de Manto do Acólito da Fusão (Acessório Tier 9)</t>
        </is>
      </c>
      <c r="K438" s="115" t="inlineStr">
        <is>
          <t>Manto do Acólito da Fusão, que ouviu o Profeta pregar e seguiu sem entender direito o que isso significava.</t>
        </is>
      </c>
    </row>
    <row r="439">
      <c r="A439" s="115" t="n">
        <v>437</v>
      </c>
      <c r="B439" s="115" t="inlineStr">
        <is>
          <t>Tier 9</t>
        </is>
      </c>
      <c r="C439" s="115" t="inlineStr">
        <is>
          <t>Asa de Morcego Jovem</t>
        </is>
      </c>
      <c r="D439" s="115" t="inlineStr">
        <is>
          <t>Orgânico</t>
        </is>
      </c>
      <c r="E439" s="115" t="inlineStr">
        <is>
          <t>Cavernas Profundas de Mithril — dropado por monstro específico</t>
        </is>
      </c>
      <c r="F439" s="115" t="inlineStr">
        <is>
          <t>Loot de monstro (não coletável no mundo)</t>
        </is>
      </c>
      <c r="G439" s="115" t="inlineStr">
        <is>
          <t>—</t>
        </is>
      </c>
      <c r="H439" s="115" t="inlineStr">
        <is>
          <t>Comum (Médio rendimento)</t>
        </is>
      </c>
      <c r="I439" s="115" t="inlineStr">
        <is>
          <t>Ingrediente de Sonar do Morcego (Acessório Tier 9)</t>
        </is>
      </c>
      <c r="K439" s="115" t="inlineStr">
        <is>
          <t>Asa do Morcego Jovem das Profundezas, filhote da colônia de morcegos abissais.</t>
        </is>
      </c>
    </row>
    <row r="440">
      <c r="A440" s="115" t="n">
        <v>438</v>
      </c>
      <c r="B440" s="115" t="inlineStr">
        <is>
          <t>Tier 9</t>
        </is>
      </c>
      <c r="C440" s="115" t="inlineStr">
        <is>
          <t>Carne-Raiz Menor de Marinheiro</t>
        </is>
      </c>
      <c r="D440" s="115" t="inlineStr">
        <is>
          <t>Orgânico / Material</t>
        </is>
      </c>
      <c r="E440" s="115" t="inlineStr">
        <is>
          <t>Cavernas Profundas de Mithril — dropado por monstro específico</t>
        </is>
      </c>
      <c r="F440" s="115" t="inlineStr">
        <is>
          <t>Loot de monstro (não coletável no mundo)</t>
        </is>
      </c>
      <c r="G440" s="115" t="inlineStr">
        <is>
          <t>—</t>
        </is>
      </c>
      <c r="H440" s="115" t="inlineStr">
        <is>
          <t>Incomum (Médio rendimento)</t>
        </is>
      </c>
      <c r="I440" s="115" t="inlineStr">
        <is>
          <t>Ingrediente de Vial da Carne-Raiz (Acessório Tier 9)</t>
        </is>
      </c>
      <c r="K440" s="115" t="inlineStr">
        <is>
          <t>Carne-raiz do Marinheiro Assimilado Menor, em estágio inicial de assimilação.</t>
        </is>
      </c>
    </row>
    <row r="441">
      <c r="A441" s="115" t="n">
        <v>439</v>
      </c>
      <c r="B441" s="115" t="inlineStr">
        <is>
          <t>Tier 9</t>
        </is>
      </c>
      <c r="C441" s="115" t="inlineStr">
        <is>
          <t>Escama de Cardume Menor</t>
        </is>
      </c>
      <c r="D441" s="115" t="inlineStr">
        <is>
          <t>Orgânico</t>
        </is>
      </c>
      <c r="E441" s="115" t="inlineStr">
        <is>
          <t>Cavernas Profundas de Mithril — dropado por monstro específico</t>
        </is>
      </c>
      <c r="F441" s="115" t="inlineStr">
        <is>
          <t>Loot de monstro (não coletável no mundo)</t>
        </is>
      </c>
      <c r="G441" s="115" t="inlineStr">
        <is>
          <t>—</t>
        </is>
      </c>
      <c r="H441" s="115" t="inlineStr">
        <is>
          <t>Comum (Alto rendimento)</t>
        </is>
      </c>
      <c r="I441" s="115" t="inlineStr">
        <is>
          <t>Ingrediente de Amuleto do Cardume (Acessório Tier 9)</t>
        </is>
      </c>
      <c r="K441" s="115" t="inlineStr">
        <is>
          <t>Escama de um peixe do Cardume Menor, separado do grupo principal.</t>
        </is>
      </c>
    </row>
    <row r="442">
      <c r="A442" s="115" t="n">
        <v>440</v>
      </c>
      <c r="B442" s="115" t="inlineStr">
        <is>
          <t>Tier 9</t>
        </is>
      </c>
      <c r="C442" s="115" t="inlineStr">
        <is>
          <t>Lanterna Bioluminescente Solitária</t>
        </is>
      </c>
      <c r="D442" s="115" t="inlineStr">
        <is>
          <t>Orgânico / Material</t>
        </is>
      </c>
      <c r="E442" s="115" t="inlineStr">
        <is>
          <t>Cavernas Profundas de Mithril — dropado por monstro específico</t>
        </is>
      </c>
      <c r="F442" s="115" t="inlineStr">
        <is>
          <t>Loot de monstro (não coletável no mundo)</t>
        </is>
      </c>
      <c r="G442" s="115" t="inlineStr">
        <is>
          <t>—</t>
        </is>
      </c>
      <c r="H442" s="115" t="inlineStr">
        <is>
          <t>Incomum (Médio rendimento)</t>
        </is>
      </c>
      <c r="I442" s="115" t="inlineStr">
        <is>
          <t>Ingrediente de Lanterna do Peixe-Lanterna (Acessório Tier 9)</t>
        </is>
      </c>
      <c r="K442" s="115" t="inlineStr">
        <is>
          <t>Lanterna do Peixe-Lanterna Solitário, que aprendeu a atrair presas sozinho.</t>
        </is>
      </c>
    </row>
    <row r="443">
      <c r="A443" s="115" t="n">
        <v>441</v>
      </c>
      <c r="B443" s="115" t="inlineStr">
        <is>
          <t>Tier 9</t>
        </is>
      </c>
      <c r="C443" s="115" t="inlineStr">
        <is>
          <t>Fragmento de Golem Jovem de Mithril</t>
        </is>
      </c>
      <c r="D443" s="115" t="inlineStr">
        <is>
          <t>Orgânico / Material</t>
        </is>
      </c>
      <c r="E443" s="115" t="inlineStr">
        <is>
          <t>Cavernas Profundas de Mithril — dropado por monstro específico</t>
        </is>
      </c>
      <c r="F443" s="115" t="inlineStr">
        <is>
          <t>Loot de monstro (não coletável no mundo)</t>
        </is>
      </c>
      <c r="G443" s="115" t="inlineStr">
        <is>
          <t>—</t>
        </is>
      </c>
      <c r="H443" s="115" t="inlineStr">
        <is>
          <t>Comum (Médio rendimento)</t>
        </is>
      </c>
      <c r="I443" s="115" t="inlineStr">
        <is>
          <t>Ingrediente de Amuleto do Golem de Mithril (Acessório Tier 9)</t>
        </is>
      </c>
      <c r="K443" s="115" t="inlineStr">
        <is>
          <t>Fragmento do Golem Menor de Mithril Jovem, recém-formado.</t>
        </is>
      </c>
    </row>
    <row r="444">
      <c r="A444" s="115" t="n">
        <v>442</v>
      </c>
      <c r="B444" s="115" t="inlineStr">
        <is>
          <t>Tier 9</t>
        </is>
      </c>
      <c r="C444" s="115" t="inlineStr">
        <is>
          <t>Sonar Orgânico de Morcego</t>
        </is>
      </c>
      <c r="D444" s="115" t="inlineStr">
        <is>
          <t>Orgânico / Material</t>
        </is>
      </c>
      <c r="E444" s="115" t="inlineStr">
        <is>
          <t>Cavernas Profundas de Mithril — dropado por monstro específico</t>
        </is>
      </c>
      <c r="F444" s="115" t="inlineStr">
        <is>
          <t>Loot de monstro (não coletável no mundo)</t>
        </is>
      </c>
      <c r="G444" s="115" t="inlineStr">
        <is>
          <t>—</t>
        </is>
      </c>
      <c r="H444" s="115" t="inlineStr">
        <is>
          <t>Incomum (Médio rendimento)</t>
        </is>
      </c>
      <c r="I444" s="115" t="inlineStr">
        <is>
          <t>Ingrediente de Sonar do Morcego (Acessório Tier 9)</t>
        </is>
      </c>
      <c r="K444" s="115" t="inlineStr">
        <is>
          <t>Órgão de sonar do Morcego Ecolocalizador, que guia a colônia inteira pelo som.</t>
        </is>
      </c>
    </row>
    <row r="445">
      <c r="A445" s="115" t="n">
        <v>443</v>
      </c>
      <c r="B445" s="115" t="inlineStr">
        <is>
          <t>Tier 9</t>
        </is>
      </c>
      <c r="C445" s="115" t="inlineStr">
        <is>
          <t>Lanterna Parasita Extraída</t>
        </is>
      </c>
      <c r="D445" s="115" t="inlineStr">
        <is>
          <t>Orgânico / Material</t>
        </is>
      </c>
      <c r="E445" s="115" t="inlineStr">
        <is>
          <t>Cavernas Profundas de Mithril — dropado por monstro específico</t>
        </is>
      </c>
      <c r="F445" s="115" t="inlineStr">
        <is>
          <t>Loot de monstro (não coletável no mundo)</t>
        </is>
      </c>
      <c r="G445" s="115" t="inlineStr">
        <is>
          <t>—</t>
        </is>
      </c>
      <c r="H445" s="115" t="inlineStr">
        <is>
          <t>Incomum (Baixo rendimento)</t>
        </is>
      </c>
      <c r="I445" s="115" t="inlineStr">
        <is>
          <t>Ingrediente de Lanterna do Peixe-Lanterna (Acessório Tier 9)</t>
        </is>
      </c>
      <c r="K445" s="115" t="inlineStr">
        <is>
          <t>Lanterna extraída do Peixe-Lanterna Parasita, que vive colado ao Peixe-Abissal e usa a luz dele pra atrair presas.</t>
        </is>
      </c>
    </row>
    <row r="446">
      <c r="A446" s="115" t="n">
        <v>444</v>
      </c>
      <c r="B446" s="115" t="inlineStr">
        <is>
          <t>Tier 9</t>
        </is>
      </c>
      <c r="C446" s="115" t="inlineStr">
        <is>
          <t>Fragmento de Golem Menor de Mithril</t>
        </is>
      </c>
      <c r="D446" s="115" t="inlineStr">
        <is>
          <t>Orgânico / Material</t>
        </is>
      </c>
      <c r="E446" s="115" t="inlineStr">
        <is>
          <t>Cavernas Profundas de Mithril — dropado por monstro específico</t>
        </is>
      </c>
      <c r="F446" s="115" t="inlineStr">
        <is>
          <t>Loot de monstro (não coletável no mundo)</t>
        </is>
      </c>
      <c r="G446" s="115" t="inlineStr">
        <is>
          <t>—</t>
        </is>
      </c>
      <c r="H446" s="115" t="inlineStr">
        <is>
          <t>Comum (Médio rendimento)</t>
        </is>
      </c>
      <c r="I446" s="115" t="inlineStr">
        <is>
          <t>Ingrediente de Amuleto do Golem de Mithril (Acessório Tier 9)</t>
        </is>
      </c>
      <c r="K446" s="115" t="inlineStr">
        <is>
          <t>Fragmento do Golem Menor de Mithril, pedaço pequeno do Golem de Mithril maior.</t>
        </is>
      </c>
    </row>
    <row r="447">
      <c r="A447" s="115" t="n">
        <v>445</v>
      </c>
      <c r="B447" s="115" t="inlineStr">
        <is>
          <t>Tier 9</t>
        </is>
      </c>
      <c r="C447" s="115" t="inlineStr">
        <is>
          <t>Presa de Devorador de Afogados</t>
        </is>
      </c>
      <c r="D447" s="115" t="inlineStr">
        <is>
          <t>Orgânico</t>
        </is>
      </c>
      <c r="E447" s="115" t="inlineStr">
        <is>
          <t>Cavernas Profundas de Mithril — dropado por monstro específico</t>
        </is>
      </c>
      <c r="F447" s="115" t="inlineStr">
        <is>
          <t>Loot de monstro (não coletável no mundo)</t>
        </is>
      </c>
      <c r="G447" s="115" t="inlineStr">
        <is>
          <t>—</t>
        </is>
      </c>
      <c r="H447" s="115" t="inlineStr">
        <is>
          <t>Comum (Médio rendimento)</t>
        </is>
      </c>
      <c r="I447" s="115" t="inlineStr">
        <is>
          <t>Ingrediente de Presa do Devorador de Afogados (Acessório Tier 9)</t>
        </is>
      </c>
      <c r="K447" s="115" t="inlineStr">
        <is>
          <t>Presa do Devorador de Afogados, que come o que resta de quem não sobrevive às profundezas.</t>
        </is>
      </c>
    </row>
    <row r="448">
      <c r="A448" s="115" t="n">
        <v>446</v>
      </c>
      <c r="B448" s="115" t="inlineStr">
        <is>
          <t>Tier 9</t>
        </is>
      </c>
      <c r="C448" s="115" t="inlineStr">
        <is>
          <t>Escama de Peixe-Abissal Jovem</t>
        </is>
      </c>
      <c r="D448" s="115" t="inlineStr">
        <is>
          <t>Orgânico</t>
        </is>
      </c>
      <c r="E448" s="115" t="inlineStr">
        <is>
          <t>Cavernas Profundas de Mithril — dropado por monstro específico</t>
        </is>
      </c>
      <c r="F448" s="115" t="inlineStr">
        <is>
          <t>Loot de monstro (não coletável no mundo)</t>
        </is>
      </c>
      <c r="G448" s="115" t="inlineStr">
        <is>
          <t>—</t>
        </is>
      </c>
      <c r="H448" s="115" t="inlineStr">
        <is>
          <t>Comum (Médio rendimento)</t>
        </is>
      </c>
      <c r="I448" s="115" t="inlineStr">
        <is>
          <t>Ingrediente de Amuleto do Peixe-Abissal (Acessório Tier 9)</t>
        </is>
      </c>
      <c r="K448" s="115" t="inlineStr">
        <is>
          <t>Escama do Peixe-Abissal Jovem, ainda não tão corrompido quanto os adultos.</t>
        </is>
      </c>
    </row>
    <row r="449">
      <c r="A449" s="115" t="n">
        <v>447</v>
      </c>
      <c r="B449" s="115" t="inlineStr">
        <is>
          <t>Tier 9</t>
        </is>
      </c>
      <c r="C449" s="115" t="inlineStr">
        <is>
          <t>Fragmento de Golem Rachado</t>
        </is>
      </c>
      <c r="D449" s="115" t="inlineStr">
        <is>
          <t>Orgânico / Material</t>
        </is>
      </c>
      <c r="E449" s="115" t="inlineStr">
        <is>
          <t>Cavernas Profundas de Mithril — dropado por monstro específico</t>
        </is>
      </c>
      <c r="F449" s="115" t="inlineStr">
        <is>
          <t>Loot de monstro (não coletável no mundo)</t>
        </is>
      </c>
      <c r="G449" s="115" t="inlineStr">
        <is>
          <t>—</t>
        </is>
      </c>
      <c r="H449" s="115" t="inlineStr">
        <is>
          <t>Incomum (Médio rendimento)</t>
        </is>
      </c>
      <c r="I449" s="115" t="inlineStr">
        <is>
          <t>Ingrediente de Amuleto do Golem de Mithril (Acessório Tier 9)</t>
        </is>
      </c>
      <c r="K449" s="115" t="inlineStr">
        <is>
          <t>Fragmento do Golem de Mithril Rachado, desgastado pelo tempo nas profundezas.</t>
        </is>
      </c>
    </row>
    <row r="450">
      <c r="A450" s="115" t="n">
        <v>448</v>
      </c>
      <c r="B450" s="115" t="inlineStr">
        <is>
          <t>Tier 9</t>
        </is>
      </c>
      <c r="C450" s="115" t="inlineStr">
        <is>
          <t>Escama Corrompida de Peixe-Abissal</t>
        </is>
      </c>
      <c r="D450" s="115" t="inlineStr">
        <is>
          <t>Orgânico</t>
        </is>
      </c>
      <c r="E450" s="115" t="inlineStr">
        <is>
          <t>Cavernas Profundas de Mithril — dropado por monstro específico</t>
        </is>
      </c>
      <c r="F450" s="115" t="inlineStr">
        <is>
          <t>Loot de monstro (não coletável no mundo)</t>
        </is>
      </c>
      <c r="G450" s="115" t="inlineStr">
        <is>
          <t>—</t>
        </is>
      </c>
      <c r="H450" s="115" t="inlineStr">
        <is>
          <t>Incomum (Médio rendimento)</t>
        </is>
      </c>
      <c r="I450" s="115" t="inlineStr">
        <is>
          <t>Ingrediente de Amuleto do Peixe-Abissal (Acessório Tier 9)</t>
        </is>
      </c>
      <c r="K450" s="115" t="inlineStr">
        <is>
          <t>Escama do Peixe-Abissal Corrompido, mutado pelas primeiras experiências do Culto da Assimilação jogadas na água.</t>
        </is>
      </c>
    </row>
    <row r="451">
      <c r="A451" s="115" t="n">
        <v>449</v>
      </c>
      <c r="B451" s="115" t="inlineStr">
        <is>
          <t>Tier 9</t>
        </is>
      </c>
      <c r="C451" s="115" t="inlineStr">
        <is>
          <t>Carne-Raiz de Marinheiro Assimilado</t>
        </is>
      </c>
      <c r="D451" s="115" t="inlineStr">
        <is>
          <t>Orgânico / Material</t>
        </is>
      </c>
      <c r="E451" s="115" t="inlineStr">
        <is>
          <t>Cavernas Profundas de Mithril — dropado por monstro específico</t>
        </is>
      </c>
      <c r="F451" s="115" t="inlineStr">
        <is>
          <t>Loot de monstro (não coletável no mundo)</t>
        </is>
      </c>
      <c r="G451" s="115" t="inlineStr">
        <is>
          <t>—</t>
        </is>
      </c>
      <c r="H451" s="115" t="inlineStr">
        <is>
          <t>Incomum (Médio rendimento)</t>
        </is>
      </c>
      <c r="I451" s="115" t="inlineStr">
        <is>
          <t>Ingrediente de Vial da Carne-Raiz (Acessório Tier 9)</t>
        </is>
      </c>
      <c r="K451" s="115" t="inlineStr">
        <is>
          <t>Carne-raiz do Marinheiro Assimilado, que acredita não ser vítima, mas parte do corpo supremo.</t>
        </is>
      </c>
    </row>
    <row r="452">
      <c r="A452" s="115" t="n">
        <v>450</v>
      </c>
      <c r="B452" s="115" t="inlineStr">
        <is>
          <t>Tier 9</t>
        </is>
      </c>
      <c r="C452" s="115" t="inlineStr">
        <is>
          <t>Fragmento de Cristal Ressonante</t>
        </is>
      </c>
      <c r="D452" s="115" t="inlineStr">
        <is>
          <t>Troféu de Monstro</t>
        </is>
      </c>
      <c r="E452" s="115" t="inlineStr">
        <is>
          <t>Loot de Cristal Ressonante (Elite)</t>
        </is>
      </c>
      <c r="F452" s="115" t="inlineStr">
        <is>
          <t>Loot de monstro (não coletável no mundo)</t>
        </is>
      </c>
      <c r="G452" s="115" t="inlineStr">
        <is>
          <t>—</t>
        </is>
      </c>
      <c r="H452" s="115" t="inlineStr">
        <is>
          <t>Incomum (Baixo rendimento)</t>
        </is>
      </c>
      <c r="I452" s="115" t="inlineStr">
        <is>
          <t>Ingrediente de Amuleto do Cristal Ressonante (Acessório Tier 9)</t>
        </is>
      </c>
      <c r="J452" s="115" t="n">
        <v>62</v>
      </c>
      <c r="K452" s="115" t="inlineStr">
        <is>
          <t>Fragmento do Cristal Ressonante, que vibra na mesma frequência de outros cristais próximos.</t>
        </is>
      </c>
      <c r="M452" s="115" t="inlineStr">
        <is>
          <t>🐾</t>
        </is>
      </c>
    </row>
    <row r="453">
      <c r="A453" s="115" t="n">
        <v>451</v>
      </c>
      <c r="B453" s="115" t="inlineStr">
        <is>
          <t>Tier 9</t>
        </is>
      </c>
      <c r="C453" s="115" t="inlineStr">
        <is>
          <t>Fragmento de Concha Armadilhada</t>
        </is>
      </c>
      <c r="D453" s="115" t="inlineStr">
        <is>
          <t>Troféu de Monstro</t>
        </is>
      </c>
      <c r="E453" s="115" t="inlineStr">
        <is>
          <t>Loot de Ostra-Armadilha (Elite)</t>
        </is>
      </c>
      <c r="F453" s="115" t="inlineStr">
        <is>
          <t>Loot de monstro (não coletável no mundo)</t>
        </is>
      </c>
      <c r="G453" s="115" t="inlineStr">
        <is>
          <t>—</t>
        </is>
      </c>
      <c r="H453" s="115" t="inlineStr">
        <is>
          <t>Incomum (Baixo rendimento)</t>
        </is>
      </c>
      <c r="I453" s="115" t="inlineStr">
        <is>
          <t>Ingrediente de Fechadura da Ostra Armadilhada (Acessório Tier 9)</t>
        </is>
      </c>
      <c r="J453" s="115" t="n">
        <v>62</v>
      </c>
      <c r="K453" s="115" t="inlineStr">
        <is>
          <t>Mecanismo da concha-armadilha, molusco gigante disfarçado de tesouro no fundo do lago.</t>
        </is>
      </c>
      <c r="M453" s="115" t="inlineStr">
        <is>
          <t>🐾</t>
        </is>
      </c>
    </row>
    <row r="454">
      <c r="A454" s="115" t="n">
        <v>452</v>
      </c>
      <c r="B454" s="115" t="inlineStr">
        <is>
          <t>Tier 9</t>
        </is>
      </c>
      <c r="C454" s="115" t="inlineStr">
        <is>
          <t>Escama Dourada de Peixe das Profundezas</t>
        </is>
      </c>
      <c r="D454" s="115" t="inlineStr">
        <is>
          <t>Troféu de Monstro</t>
        </is>
      </c>
      <c r="E454" s="115" t="inlineStr">
        <is>
          <t>Loot de Peixe Dourado das Profundezas (Elite)</t>
        </is>
      </c>
      <c r="F454" s="115" t="inlineStr">
        <is>
          <t>Loot de monstro (não coletável no mundo)</t>
        </is>
      </c>
      <c r="G454" s="115" t="inlineStr">
        <is>
          <t>—</t>
        </is>
      </c>
      <c r="H454" s="115" t="inlineStr">
        <is>
          <t>Raro (Baixo rendimento)</t>
        </is>
      </c>
      <c r="I454" s="115" t="inlineStr">
        <is>
          <t>Ingrediente de Amuleto do Peixe Dourado (Acessório Tier 9)</t>
        </is>
      </c>
      <c r="J454" s="115" t="n">
        <v>62</v>
      </c>
      <c r="K454" s="115" t="inlineStr">
        <is>
          <t>Escama dourada do Peixe Dourado das Profundezas, raro entre os peixes abissais — a corrupção não conseguiu apagar o brilho dele.</t>
        </is>
      </c>
      <c r="M454" s="115" t="inlineStr">
        <is>
          <t>🐾</t>
        </is>
      </c>
    </row>
    <row r="455">
      <c r="A455" s="115" t="n">
        <v>453</v>
      </c>
      <c r="B455" s="115" t="inlineStr">
        <is>
          <t>Tier 9</t>
        </is>
      </c>
      <c r="C455" s="115" t="inlineStr">
        <is>
          <t>Fragmento de Capitão Assimilado Menor</t>
        </is>
      </c>
      <c r="D455" s="115" t="inlineStr">
        <is>
          <t>Troféu de Monstro</t>
        </is>
      </c>
      <c r="E455" s="115" t="inlineStr">
        <is>
          <t>Loot de Capitão Assimilado Menor (Elite)</t>
        </is>
      </c>
      <c r="F455" s="115" t="inlineStr">
        <is>
          <t>Loot de monstro (não coletável no mundo)</t>
        </is>
      </c>
      <c r="G455" s="115" t="inlineStr">
        <is>
          <t>—</t>
        </is>
      </c>
      <c r="H455" s="115" t="inlineStr">
        <is>
          <t>Incomum (Baixo rendimento)</t>
        </is>
      </c>
      <c r="I455" s="115" t="inlineStr">
        <is>
          <t>Ingrediente de Amuleto do Capitão Assimilado (Acessório Tier 9)</t>
        </is>
      </c>
      <c r="J455" s="115" t="n">
        <v>62</v>
      </c>
      <c r="K455" s="115" t="inlineStr">
        <is>
          <t>Fragmento do Capitão Assimilado Menor, oficial de baixa patente assimilado como o resto da tripulação.</t>
        </is>
      </c>
      <c r="M455" s="115" t="inlineStr">
        <is>
          <t>🐾</t>
        </is>
      </c>
    </row>
    <row r="456">
      <c r="A456" s="115" t="n">
        <v>454</v>
      </c>
      <c r="B456" s="115" t="inlineStr">
        <is>
          <t>Tier 9</t>
        </is>
      </c>
      <c r="C456" s="115" t="inlineStr">
        <is>
          <t>Fragmento de Capitão Assimilado</t>
        </is>
      </c>
      <c r="D456" s="115" t="inlineStr">
        <is>
          <t>Troféu de Monstro</t>
        </is>
      </c>
      <c r="E456" s="115" t="inlineStr">
        <is>
          <t>Loot de Capitão Assimilado (Elite)</t>
        </is>
      </c>
      <c r="F456" s="115" t="inlineStr">
        <is>
          <t>Loot de monstro (não coletável no mundo)</t>
        </is>
      </c>
      <c r="G456" s="115" t="inlineStr">
        <is>
          <t>—</t>
        </is>
      </c>
      <c r="H456" s="115" t="inlineStr">
        <is>
          <t>Incomum (Baixo rendimento)</t>
        </is>
      </c>
      <c r="I456" s="115" t="inlineStr">
        <is>
          <t>Ingrediente de Amuleto do Capitão Assimilado (Acessório Tier 9)</t>
        </is>
      </c>
      <c r="J456" s="115" t="n">
        <v>62</v>
      </c>
      <c r="K456" s="115" t="inlineStr">
        <is>
          <t>Fragmento do Capitão Assimilado, que comandava o navio que afundou e ainda dá ordens a outra tripulação.</t>
        </is>
      </c>
      <c r="M456" s="115" t="inlineStr">
        <is>
          <t>🐾</t>
        </is>
      </c>
    </row>
    <row r="457">
      <c r="A457" s="115" t="n">
        <v>455</v>
      </c>
      <c r="B457" s="115" t="inlineStr">
        <is>
          <t>Tier 9</t>
        </is>
      </c>
      <c r="C457" s="115" t="inlineStr">
        <is>
          <t>Fragmento da Imediata Sereia</t>
        </is>
      </c>
      <c r="D457" s="115" t="inlineStr">
        <is>
          <t>Troféu de Monstro</t>
        </is>
      </c>
      <c r="E457" s="115" t="inlineStr">
        <is>
          <t>Loot de Imediata Sereia, a Que Guiou o Naufrágio de Volta (Nomeado) (Elite)</t>
        </is>
      </c>
      <c r="F457" s="115" t="inlineStr">
        <is>
          <t>Loot de monstro (não coletável no mundo)</t>
        </is>
      </c>
      <c r="G457" s="115" t="inlineStr">
        <is>
          <t>—</t>
        </is>
      </c>
      <c r="H457" s="115" t="inlineStr">
        <is>
          <t>Raro (Baixo rendimento - Elite Nomeado)</t>
        </is>
      </c>
      <c r="I457" s="115" t="inlineStr">
        <is>
          <t>Ingrediente de Bússola Menor da Última Rota (Acessório Tier 9)</t>
        </is>
      </c>
      <c r="J457" s="115" t="n">
        <v>70</v>
      </c>
      <c r="K457" s="115" t="inlineStr">
        <is>
          <t>Parte física da Imediata Sereia, guardada só se ela for interrompida em vez de deixada terminar — guiou os sobreviventes de volta à superfície antes de ser assimilada de vez.</t>
        </is>
      </c>
      <c r="M457" s="115" t="inlineStr">
        <is>
          <t>🐾</t>
        </is>
      </c>
    </row>
    <row r="458">
      <c r="A458" s="115" t="n">
        <v>456</v>
      </c>
      <c r="B458" s="115" t="inlineStr">
        <is>
          <t>Tier 10</t>
        </is>
      </c>
      <c r="C458" s="115" t="inlineStr">
        <is>
          <t>Manto Cinzento de Zelote Iniciante</t>
        </is>
      </c>
      <c r="D458" s="115" t="inlineStr">
        <is>
          <t>Orgânico / Material</t>
        </is>
      </c>
      <c r="E458" s="115" t="inlineStr">
        <is>
          <t>Fenda Vulcânica Morta — dropado por monstro específico</t>
        </is>
      </c>
      <c r="F458" s="115" t="inlineStr">
        <is>
          <t>Loot de monstro (não coletável no mundo)</t>
        </is>
      </c>
      <c r="G458" s="115" t="inlineStr">
        <is>
          <t>—</t>
        </is>
      </c>
      <c r="H458" s="115" t="inlineStr">
        <is>
          <t>Comum (Médio rendimento)</t>
        </is>
      </c>
      <c r="I458" s="115" t="inlineStr">
        <is>
          <t>Ingrediente de Manto do Zelote da Fusão (Acessório Tier 10)</t>
        </is>
      </c>
      <c r="K458" s="115" t="inlineStr">
        <is>
          <t>Manto cinzento do Zelote da Fusão Iniciante, o membro mais recente do culto na fenda morta.</t>
        </is>
      </c>
    </row>
    <row r="459">
      <c r="A459" s="115" t="n">
        <v>457</v>
      </c>
      <c r="B459" s="115" t="inlineStr">
        <is>
          <t>Tier 10</t>
        </is>
      </c>
      <c r="C459" s="115" t="inlineStr">
        <is>
          <t>Máscara Rachada de Zelote Fundido</t>
        </is>
      </c>
      <c r="D459" s="115" t="inlineStr">
        <is>
          <t>Orgânico / Material</t>
        </is>
      </c>
      <c r="E459" s="115" t="inlineStr">
        <is>
          <t>Fenda Vulcânica Morta — dropado por monstro específico</t>
        </is>
      </c>
      <c r="F459" s="115" t="inlineStr">
        <is>
          <t>Loot de monstro (não coletável no mundo)</t>
        </is>
      </c>
      <c r="G459" s="115" t="inlineStr">
        <is>
          <t>—</t>
        </is>
      </c>
      <c r="H459" s="115" t="inlineStr">
        <is>
          <t>Incomum (Médio rendimento)</t>
        </is>
      </c>
      <c r="I459" s="115" t="inlineStr">
        <is>
          <t>Ingrediente de Manto do Zelote da Fusão (Acessório Tier 10)</t>
        </is>
      </c>
      <c r="K459" s="115" t="inlineStr">
        <is>
          <t>Máscara rachada do Zelote Recém-Fundido, que passou pelo início do ritual mas ainda reconhece quem é.</t>
        </is>
      </c>
    </row>
    <row r="460">
      <c r="A460" s="115" t="n">
        <v>458</v>
      </c>
      <c r="B460" s="115" t="inlineStr">
        <is>
          <t>Tier 10</t>
        </is>
      </c>
      <c r="C460" s="115" t="inlineStr">
        <is>
          <t>Resíduo de Sombra Recém-Formada</t>
        </is>
      </c>
      <c r="D460" s="115" t="inlineStr">
        <is>
          <t>Orgânico / Material</t>
        </is>
      </c>
      <c r="E460" s="115" t="inlineStr">
        <is>
          <t>Fenda Vulcânica Morta — dropado por monstro específico</t>
        </is>
      </c>
      <c r="F460" s="115" t="inlineStr">
        <is>
          <t>Loot de monstro (não coletável no mundo)</t>
        </is>
      </c>
      <c r="G460" s="115" t="inlineStr">
        <is>
          <t>—</t>
        </is>
      </c>
      <c r="H460" s="115" t="inlineStr">
        <is>
          <t>Comum (Médio rendimento)</t>
        </is>
      </c>
      <c r="I460" s="115" t="inlineStr">
        <is>
          <t>Ingrediente de Amuleto da Sombra (Acessório Tier 10)</t>
        </is>
      </c>
      <c r="K460" s="115" t="inlineStr">
        <is>
          <t>Resíduo da Sombra Recém-Formada, mais nova ainda que a Sombra Jovem nas bordas da fenda.</t>
        </is>
      </c>
    </row>
    <row r="461">
      <c r="A461" s="115" t="n">
        <v>459</v>
      </c>
      <c r="B461" s="115" t="inlineStr">
        <is>
          <t>Tier 10</t>
        </is>
      </c>
      <c r="C461" s="115" t="inlineStr">
        <is>
          <t>Fragmento de Raiz Jovem</t>
        </is>
      </c>
      <c r="D461" s="115" t="inlineStr">
        <is>
          <t>Orgânico / Material</t>
        </is>
      </c>
      <c r="E461" s="115" t="inlineStr">
        <is>
          <t>Fenda Vulcânica Morta — dropado por monstro específico</t>
        </is>
      </c>
      <c r="F461" s="115" t="inlineStr">
        <is>
          <t>Loot de monstro (não coletável no mundo)</t>
        </is>
      </c>
      <c r="G461" s="115" t="inlineStr">
        <is>
          <t>—</t>
        </is>
      </c>
      <c r="H461" s="115" t="inlineStr">
        <is>
          <t>Comum (Médio rendimento)</t>
        </is>
      </c>
      <c r="I461" s="115" t="inlineStr">
        <is>
          <t>Ingrediente de Amuleto da Raiz (Acessório Tier 10)</t>
        </is>
      </c>
      <c r="K461" s="115" t="inlineStr">
        <is>
          <t>Fragmento da Raiz Jovem, corrupção vegetal ainda crescendo.</t>
        </is>
      </c>
    </row>
    <row r="462">
      <c r="A462" s="115" t="n">
        <v>460</v>
      </c>
      <c r="B462" s="115" t="inlineStr">
        <is>
          <t>Tier 10</t>
        </is>
      </c>
      <c r="C462" s="115" t="inlineStr">
        <is>
          <t>Núcleo de Guardião Jovem</t>
        </is>
      </c>
      <c r="D462" s="115" t="inlineStr">
        <is>
          <t>Orgânico / Material</t>
        </is>
      </c>
      <c r="E462" s="115" t="inlineStr">
        <is>
          <t>Fenda Vulcânica Morta — dropado por monstro específico</t>
        </is>
      </c>
      <c r="F462" s="115" t="inlineStr">
        <is>
          <t>Loot de monstro (não coletável no mundo)</t>
        </is>
      </c>
      <c r="G462" s="115" t="inlineStr">
        <is>
          <t>—</t>
        </is>
      </c>
      <c r="H462" s="115" t="inlineStr">
        <is>
          <t>Incomum (Médio rendimento)</t>
        </is>
      </c>
      <c r="I462" s="115" t="inlineStr">
        <is>
          <t>Ingrediente de Amuleto do Guardião da Fenda (Acessório Tier 10)</t>
        </is>
      </c>
      <c r="K462" s="115" t="inlineStr">
        <is>
          <t>Núcleo do Guardião Menor da Fenda Jovem, fragmento em miniatura do Guardião maior.</t>
        </is>
      </c>
    </row>
    <row r="463">
      <c r="A463" s="115" t="n">
        <v>461</v>
      </c>
      <c r="B463" s="115" t="inlineStr">
        <is>
          <t>Tier 10</t>
        </is>
      </c>
      <c r="C463" s="115" t="inlineStr">
        <is>
          <t>Seiva Parasita Jovem</t>
        </is>
      </c>
      <c r="D463" s="115" t="inlineStr">
        <is>
          <t>Orgânico / Material</t>
        </is>
      </c>
      <c r="E463" s="115" t="inlineStr">
        <is>
          <t>Fenda Vulcânica Morta — dropado por monstro específico</t>
        </is>
      </c>
      <c r="F463" s="115" t="inlineStr">
        <is>
          <t>Loot de monstro (não coletável no mundo)</t>
        </is>
      </c>
      <c r="G463" s="115" t="inlineStr">
        <is>
          <t>—</t>
        </is>
      </c>
      <c r="H463" s="115" t="inlineStr">
        <is>
          <t>Incomum (Baixo rendimento)</t>
        </is>
      </c>
      <c r="I463" s="115" t="inlineStr">
        <is>
          <t>Ingrediente de Vial da Seiva da Raiz Corrompida (Acessório Tier 10)</t>
        </is>
      </c>
      <c r="K463" s="115" t="inlineStr">
        <is>
          <t>Seiva do Raiz Parasita Jovem, ainda pequena e instável.</t>
        </is>
      </c>
    </row>
    <row r="464">
      <c r="A464" s="115" t="n">
        <v>462</v>
      </c>
      <c r="B464" s="115" t="inlineStr">
        <is>
          <t>Tier 10</t>
        </is>
      </c>
      <c r="C464" s="115" t="inlineStr">
        <is>
          <t>Resíduo de Sombra Vulcânica</t>
        </is>
      </c>
      <c r="D464" s="115" t="inlineStr">
        <is>
          <t>Orgânico</t>
        </is>
      </c>
      <c r="E464" s="115" t="inlineStr">
        <is>
          <t>Fenda Vulcânica Morta — dropado por monstro específico</t>
        </is>
      </c>
      <c r="F464" s="115" t="inlineStr">
        <is>
          <t>Loot de monstro (não coletável no mundo)</t>
        </is>
      </c>
      <c r="G464" s="115" t="inlineStr">
        <is>
          <t>—</t>
        </is>
      </c>
      <c r="H464" s="115" t="inlineStr">
        <is>
          <t>Comum (Alto rendimento)</t>
        </is>
      </c>
      <c r="I464" s="115" t="inlineStr">
        <is>
          <t>Ingrediente de Amuleto da Sombra (Acessório Tier 10)</t>
        </is>
      </c>
      <c r="K464" s="115" t="inlineStr">
        <is>
          <t>Resíduo da Sombra Vulcânica, nuvem de cinzas mortas que o Culto da Assimilação usa como cobertura.</t>
        </is>
      </c>
    </row>
    <row r="465">
      <c r="A465" s="115" t="n">
        <v>463</v>
      </c>
      <c r="B465" s="115" t="inlineStr">
        <is>
          <t>Tier 10</t>
        </is>
      </c>
      <c r="C465" s="115" t="inlineStr">
        <is>
          <t>Resíduo de Sombra Jovem</t>
        </is>
      </c>
      <c r="D465" s="115" t="inlineStr">
        <is>
          <t>Orgânico / Material</t>
        </is>
      </c>
      <c r="E465" s="115" t="inlineStr">
        <is>
          <t>Fenda Vulcânica Morta — dropado por monstro específico</t>
        </is>
      </c>
      <c r="F465" s="115" t="inlineStr">
        <is>
          <t>Loot de monstro (não coletável no mundo)</t>
        </is>
      </c>
      <c r="G465" s="115" t="inlineStr">
        <is>
          <t>—</t>
        </is>
      </c>
      <c r="H465" s="115" t="inlineStr">
        <is>
          <t>Comum (Médio rendimento)</t>
        </is>
      </c>
      <c r="I465" s="115" t="inlineStr">
        <is>
          <t>Ingrediente de Amuleto da Sombra (Acessório Tier 10)</t>
        </is>
      </c>
      <c r="K465" s="115" t="inlineStr">
        <is>
          <t>Resíduo da Sombra Jovem, fragmento recém-formado de cinza vulcânica corrompida.</t>
        </is>
      </c>
    </row>
    <row r="466">
      <c r="A466" s="115" t="n">
        <v>464</v>
      </c>
      <c r="B466" s="115" t="inlineStr">
        <is>
          <t>Tier 10</t>
        </is>
      </c>
      <c r="C466" s="115" t="inlineStr">
        <is>
          <t>Seiva Parasita de Raiz</t>
        </is>
      </c>
      <c r="D466" s="115" t="inlineStr">
        <is>
          <t>Orgânico / Material</t>
        </is>
      </c>
      <c r="E466" s="115" t="inlineStr">
        <is>
          <t>Fenda Vulcânica Morta — dropado por monstro específico</t>
        </is>
      </c>
      <c r="F466" s="115" t="inlineStr">
        <is>
          <t>Loot de monstro (não coletável no mundo)</t>
        </is>
      </c>
      <c r="G466" s="115" t="inlineStr">
        <is>
          <t>—</t>
        </is>
      </c>
      <c r="H466" s="115" t="inlineStr">
        <is>
          <t>Incomum (Médio rendimento)</t>
        </is>
      </c>
      <c r="I466" s="115" t="inlineStr">
        <is>
          <t>Ingrediente de Vial da Seiva da Raiz Corrompida (Acessório Tier 10)</t>
        </is>
      </c>
      <c r="K466" s="115" t="inlineStr">
        <is>
          <t>Seiva do Raiz Parasita, que vive grudada na Raiz Rastejante maior e bebe o que ela absorve.</t>
        </is>
      </c>
    </row>
    <row r="467">
      <c r="A467" s="115" t="n">
        <v>465</v>
      </c>
      <c r="B467" s="115" t="inlineStr">
        <is>
          <t>Tier 10</t>
        </is>
      </c>
      <c r="C467" s="115" t="inlineStr">
        <is>
          <t>Núcleo de Guardião Menor</t>
        </is>
      </c>
      <c r="D467" s="115" t="inlineStr">
        <is>
          <t>Orgânico / Material</t>
        </is>
      </c>
      <c r="E467" s="115" t="inlineStr">
        <is>
          <t>Fenda Vulcânica Morta — dropado por monstro específico</t>
        </is>
      </c>
      <c r="F467" s="115" t="inlineStr">
        <is>
          <t>Loot de monstro (não coletável no mundo)</t>
        </is>
      </c>
      <c r="G467" s="115" t="inlineStr">
        <is>
          <t>—</t>
        </is>
      </c>
      <c r="H467" s="115" t="inlineStr">
        <is>
          <t>Incomum (Médio rendimento)</t>
        </is>
      </c>
      <c r="I467" s="115" t="inlineStr">
        <is>
          <t>Ingrediente de Amuleto do Guardião da Fenda (Acessório Tier 10)</t>
        </is>
      </c>
      <c r="K467" s="115" t="inlineStr">
        <is>
          <t>Núcleo do Guardião Menor da Fenda, fragmento pequeno do Guardião da Fenda Morta.</t>
        </is>
      </c>
    </row>
    <row r="468">
      <c r="A468" s="115" t="n">
        <v>466</v>
      </c>
      <c r="B468" s="115" t="inlineStr">
        <is>
          <t>Tier 10</t>
        </is>
      </c>
      <c r="C468" s="115" t="inlineStr">
        <is>
          <t>Punhado de Cinza Amaldiçoada Menor</t>
        </is>
      </c>
      <c r="D468" s="115" t="inlineStr">
        <is>
          <t>Orgânico / Material</t>
        </is>
      </c>
      <c r="E468" s="115" t="inlineStr">
        <is>
          <t>Fenda Vulcânica Morta — dropado por monstro específico</t>
        </is>
      </c>
      <c r="F468" s="115" t="inlineStr">
        <is>
          <t>Loot de monstro (não coletável no mundo)</t>
        </is>
      </c>
      <c r="G468" s="115" t="inlineStr">
        <is>
          <t>—</t>
        </is>
      </c>
      <c r="H468" s="115" t="inlineStr">
        <is>
          <t>Comum (Médio rendimento)</t>
        </is>
      </c>
      <c r="I468" s="115" t="inlineStr">
        <is>
          <t>Ingrediente de Vial da Cinza Amaldiçoada (Acessório Tier 10)</t>
        </is>
      </c>
      <c r="K468" s="115" t="inlineStr">
        <is>
          <t>Punhado da Cinza Amaldiçoada Menor, variante menos concentrada da nuvem corrosiva.</t>
        </is>
      </c>
    </row>
    <row r="469">
      <c r="A469" s="115" t="n">
        <v>467</v>
      </c>
      <c r="B469" s="115" t="inlineStr">
        <is>
          <t>Tier 10</t>
        </is>
      </c>
      <c r="C469" s="115" t="inlineStr">
        <is>
          <t>Amostra de Carne Fundida Recente</t>
        </is>
      </c>
      <c r="D469" s="115" t="inlineStr">
        <is>
          <t>Orgânico / Material</t>
        </is>
      </c>
      <c r="E469" s="115" t="inlineStr">
        <is>
          <t>Fenda Vulcânica Morta — dropado por monstro específico</t>
        </is>
      </c>
      <c r="F469" s="115" t="inlineStr">
        <is>
          <t>Loot de monstro (não coletável no mundo)</t>
        </is>
      </c>
      <c r="G469" s="115" t="inlineStr">
        <is>
          <t>—</t>
        </is>
      </c>
      <c r="H469" s="115" t="inlineStr">
        <is>
          <t>Incomum (Médio rendimento)</t>
        </is>
      </c>
      <c r="I469" s="115" t="inlineStr">
        <is>
          <t>Ingrediente de Amuleto da Aberração (Acessório Tier 10)</t>
        </is>
      </c>
      <c r="K469" s="115" t="inlineStr">
        <is>
          <t>Amostra de carne da Aberração Recém-Fundida, fusão de apenas 2 corpos ainda instável.</t>
        </is>
      </c>
    </row>
    <row r="470">
      <c r="A470" s="115" t="n">
        <v>468</v>
      </c>
      <c r="B470" s="115" t="inlineStr">
        <is>
          <t>Tier 10</t>
        </is>
      </c>
      <c r="C470" s="115" t="inlineStr">
        <is>
          <t>Fragmento Espectral Menor</t>
        </is>
      </c>
      <c r="D470" s="115" t="inlineStr">
        <is>
          <t>Orgânico / Material</t>
        </is>
      </c>
      <c r="E470" s="115" t="inlineStr">
        <is>
          <t>Fenda Vulcânica Morta — dropado por monstro específico</t>
        </is>
      </c>
      <c r="F470" s="115" t="inlineStr">
        <is>
          <t>Loot de monstro (não coletável no mundo)</t>
        </is>
      </c>
      <c r="G470" s="115" t="inlineStr">
        <is>
          <t>—</t>
        </is>
      </c>
      <c r="H470" s="115" t="inlineStr">
        <is>
          <t>Incomum (Baixo rendimento)</t>
        </is>
      </c>
      <c r="I470" s="115" t="inlineStr">
        <is>
          <t>Ingrediente de Amuleto do Espectro (Acessório Tier 10)</t>
        </is>
      </c>
      <c r="K470" s="115" t="inlineStr">
        <is>
          <t>Fragmento do Espectro Fragmentado, ainda menor que o Espectro Menor de Ebano.</t>
        </is>
      </c>
    </row>
    <row r="471">
      <c r="A471" s="115" t="n">
        <v>469</v>
      </c>
      <c r="B471" s="115" t="inlineStr">
        <is>
          <t>Tier 10</t>
        </is>
      </c>
      <c r="C471" s="115" t="inlineStr">
        <is>
          <t>Foice Improvisada de Ceifador Aprendiz</t>
        </is>
      </c>
      <c r="D471" s="115" t="inlineStr">
        <is>
          <t>Orgânico / Material</t>
        </is>
      </c>
      <c r="E471" s="115" t="inlineStr">
        <is>
          <t>Fenda Vulcânica Morta — dropado por monstro específico</t>
        </is>
      </c>
      <c r="F471" s="115" t="inlineStr">
        <is>
          <t>Loot de monstro (não coletável no mundo)</t>
        </is>
      </c>
      <c r="G471" s="115" t="inlineStr">
        <is>
          <t>—</t>
        </is>
      </c>
      <c r="H471" s="115" t="inlineStr">
        <is>
          <t>Comum (Médio rendimento)</t>
        </is>
      </c>
      <c r="I471" s="115" t="inlineStr">
        <is>
          <t>Ingrediente de Foice do Ceifador Aprendiz (Acessório Tier 10)</t>
        </is>
      </c>
      <c r="K471" s="115" t="inlineStr">
        <is>
          <t>Foice improvisada do Ceifador Aprendiz, ainda aprendendo a técnica de assimilação.</t>
        </is>
      </c>
    </row>
    <row r="472">
      <c r="A472" s="115" t="n">
        <v>470</v>
      </c>
      <c r="B472" s="115" t="inlineStr">
        <is>
          <t>Tier 10</t>
        </is>
      </c>
      <c r="C472" s="115" t="inlineStr">
        <is>
          <t>Esporo Jovem de Cinza</t>
        </is>
      </c>
      <c r="D472" s="115" t="inlineStr">
        <is>
          <t>Orgânico</t>
        </is>
      </c>
      <c r="E472" s="115" t="inlineStr">
        <is>
          <t>Fenda Vulcânica Morta — dropado por monstro específico</t>
        </is>
      </c>
      <c r="F472" s="115" t="inlineStr">
        <is>
          <t>Loot de monstro (não coletável no mundo)</t>
        </is>
      </c>
      <c r="G472" s="115" t="inlineStr">
        <is>
          <t>—</t>
        </is>
      </c>
      <c r="H472" s="115" t="inlineStr">
        <is>
          <t>Comum (Médio rendimento)</t>
        </is>
      </c>
      <c r="I472" s="115" t="inlineStr">
        <is>
          <t>Ingrediente de Amuleto do Cogumelo da Cinza (Acessório Tier 10)</t>
        </is>
      </c>
      <c r="K472" s="115" t="inlineStr">
        <is>
          <t>Esporo do Cogumelo da Cinza Jovem, ainda com potência reduzida.</t>
        </is>
      </c>
    </row>
    <row r="473">
      <c r="A473" s="115" t="n">
        <v>471</v>
      </c>
      <c r="B473" s="115" t="inlineStr">
        <is>
          <t>Tier 10</t>
        </is>
      </c>
      <c r="C473" s="115" t="inlineStr">
        <is>
          <t>Punhado de Cinza Amaldiçoada</t>
        </is>
      </c>
      <c r="D473" s="115" t="inlineStr">
        <is>
          <t>Orgânico</t>
        </is>
      </c>
      <c r="E473" s="115" t="inlineStr">
        <is>
          <t>Fenda Vulcânica Morta — dropado por monstro específico</t>
        </is>
      </c>
      <c r="F473" s="115" t="inlineStr">
        <is>
          <t>Loot de monstro (não coletável no mundo)</t>
        </is>
      </c>
      <c r="G473" s="115" t="inlineStr">
        <is>
          <t>—</t>
        </is>
      </c>
      <c r="H473" s="115" t="inlineStr">
        <is>
          <t>Comum (Alto rendimento)</t>
        </is>
      </c>
      <c r="I473" s="115" t="inlineStr">
        <is>
          <t>Ingrediente de Vial da Cinza Amaldiçoada (Acessório Tier 10)</t>
        </is>
      </c>
      <c r="K473" s="115" t="inlineStr">
        <is>
          <t>Resíduo da fenda morta que absorveu resquícios da infecção — corrói tudo que toca.</t>
        </is>
      </c>
    </row>
    <row r="474">
      <c r="A474" s="115" t="n">
        <v>472</v>
      </c>
      <c r="B474" s="115" t="inlineStr">
        <is>
          <t>Tier 10</t>
        </is>
      </c>
      <c r="C474" s="115" t="inlineStr">
        <is>
          <t>Amostra de Carne Multi-Fundida</t>
        </is>
      </c>
      <c r="D474" s="115" t="inlineStr">
        <is>
          <t>Orgânico / Material</t>
        </is>
      </c>
      <c r="E474" s="115" t="inlineStr">
        <is>
          <t>Fenda Vulcânica Morta — dropado por monstro específico</t>
        </is>
      </c>
      <c r="F474" s="115" t="inlineStr">
        <is>
          <t>Loot de monstro (não coletável no mundo)</t>
        </is>
      </c>
      <c r="G474" s="115" t="inlineStr">
        <is>
          <t>—</t>
        </is>
      </c>
      <c r="H474" s="115" t="inlineStr">
        <is>
          <t>Incomum (Médio rendimento)</t>
        </is>
      </c>
      <c r="I474" s="115" t="inlineStr">
        <is>
          <t>Ingrediente de Amuleto da Aberração (Acessório Tier 10)</t>
        </is>
      </c>
      <c r="K474" s="115" t="inlineStr">
        <is>
          <t>Amostra de carne da Aberração dos Corpos Fundidos, um dos primeiros 'sucessos' toscos do Culto da Assimilação na região.</t>
        </is>
      </c>
    </row>
    <row r="475">
      <c r="A475" s="115" t="n">
        <v>473</v>
      </c>
      <c r="B475" s="115" t="inlineStr">
        <is>
          <t>Tier 10</t>
        </is>
      </c>
      <c r="C475" s="115" t="inlineStr">
        <is>
          <t>Resíduo de Cinza Rastejante</t>
        </is>
      </c>
      <c r="D475" s="115" t="inlineStr">
        <is>
          <t>Orgânico</t>
        </is>
      </c>
      <c r="E475" s="115" t="inlineStr">
        <is>
          <t>Fenda Vulcânica Morta — dropado por monstro específico</t>
        </is>
      </c>
      <c r="F475" s="115" t="inlineStr">
        <is>
          <t>Loot de monstro (não coletável no mundo)</t>
        </is>
      </c>
      <c r="G475" s="115" t="inlineStr">
        <is>
          <t>—</t>
        </is>
      </c>
      <c r="H475" s="115" t="inlineStr">
        <is>
          <t>Comum (Médio rendimento)</t>
        </is>
      </c>
      <c r="I475" s="115" t="inlineStr">
        <is>
          <t>Ingrediente de Vial da Cinza Amaldiçoada (Acessório Tier 10)</t>
        </is>
      </c>
      <c r="K475" s="115" t="inlineStr">
        <is>
          <t>Resíduo da Cinza Rastejante, variante da Cinza Amaldiçoada que aprendeu a rastejar pelo chão.</t>
        </is>
      </c>
    </row>
    <row r="476">
      <c r="A476" s="115" t="n">
        <v>474</v>
      </c>
      <c r="B476" s="115" t="inlineStr">
        <is>
          <t>Tier 10</t>
        </is>
      </c>
      <c r="C476" s="115" t="inlineStr">
        <is>
          <t>Amostra de Carne Bifundida</t>
        </is>
      </c>
      <c r="D476" s="115" t="inlineStr">
        <is>
          <t>Orgânico / Material</t>
        </is>
      </c>
      <c r="E476" s="115" t="inlineStr">
        <is>
          <t>Fenda Vulcânica Morta — dropado por monstro específico</t>
        </is>
      </c>
      <c r="F476" s="115" t="inlineStr">
        <is>
          <t>Loot de monstro (não coletável no mundo)</t>
        </is>
      </c>
      <c r="G476" s="115" t="inlineStr">
        <is>
          <t>—</t>
        </is>
      </c>
      <c r="H476" s="115" t="inlineStr">
        <is>
          <t>Incomum (Médio rendimento)</t>
        </is>
      </c>
      <c r="I476" s="115" t="inlineStr">
        <is>
          <t>Ingrediente de Amuleto da Aberração (Acessório Tier 10)</t>
        </is>
      </c>
      <c r="K476" s="115" t="inlineStr">
        <is>
          <t>Amostra de carne da Aberração Menor, fusão incompleta ainda reconhecível como já foi gente.</t>
        </is>
      </c>
    </row>
    <row r="477">
      <c r="A477" s="115" t="n">
        <v>475</v>
      </c>
      <c r="B477" s="115" t="inlineStr">
        <is>
          <t>Tier 10</t>
        </is>
      </c>
      <c r="C477" s="115" t="inlineStr">
        <is>
          <t>Fragmento Espectral de Ebano</t>
        </is>
      </c>
      <c r="D477" s="115" t="inlineStr">
        <is>
          <t>Orgânico / Material</t>
        </is>
      </c>
      <c r="E477" s="115" t="inlineStr">
        <is>
          <t>Fenda Vulcânica Morta — dropado por monstro específico</t>
        </is>
      </c>
      <c r="F477" s="115" t="inlineStr">
        <is>
          <t>Loot de monstro (não coletável no mundo)</t>
        </is>
      </c>
      <c r="G477" s="115" t="inlineStr">
        <is>
          <t>—</t>
        </is>
      </c>
      <c r="H477" s="115" t="inlineStr">
        <is>
          <t>Comum (Médio rendimento)</t>
        </is>
      </c>
      <c r="I477" s="115" t="inlineStr">
        <is>
          <t>Ingrediente de Amuleto do Espectro (Acessório Tier 10)</t>
        </is>
      </c>
      <c r="K477" s="115" t="inlineStr">
        <is>
          <t>Fragmento do Espectro Menor de Ebano, ainda se formando a partir do Espectro de Ebano maior.</t>
        </is>
      </c>
    </row>
    <row r="478">
      <c r="A478" s="115" t="n">
        <v>476</v>
      </c>
      <c r="B478" s="115" t="inlineStr">
        <is>
          <t>Tier 10</t>
        </is>
      </c>
      <c r="C478" s="115" t="inlineStr">
        <is>
          <t>Esporo Andante de Cinza</t>
        </is>
      </c>
      <c r="D478" s="115" t="inlineStr">
        <is>
          <t>Orgânico</t>
        </is>
      </c>
      <c r="E478" s="115" t="inlineStr">
        <is>
          <t>Fenda Vulcânica Morta — dropado por monstro específico</t>
        </is>
      </c>
      <c r="F478" s="115" t="inlineStr">
        <is>
          <t>Loot de monstro (não coletável no mundo)</t>
        </is>
      </c>
      <c r="G478" s="115" t="inlineStr">
        <is>
          <t>—</t>
        </is>
      </c>
      <c r="H478" s="115" t="inlineStr">
        <is>
          <t>Incomum (Médio rendimento)</t>
        </is>
      </c>
      <c r="I478" s="115" t="inlineStr">
        <is>
          <t>Ingrediente de Amuleto do Cogumelo da Cinza (Acessório Tier 10)</t>
        </is>
      </c>
      <c r="K478" s="115" t="inlineStr">
        <is>
          <t>Esporo do Cogumelo da Cinza Andante, que ganhou movimento próprio depois da corrupção.</t>
        </is>
      </c>
    </row>
    <row r="479">
      <c r="A479" s="115" t="n">
        <v>477</v>
      </c>
      <c r="B479" s="115" t="inlineStr">
        <is>
          <t>Tier 10</t>
        </is>
      </c>
      <c r="C479" s="115" t="inlineStr">
        <is>
          <t>Resíduo de Sombra Devoradora Jovem</t>
        </is>
      </c>
      <c r="D479" s="115" t="inlineStr">
        <is>
          <t>Orgânico / Material</t>
        </is>
      </c>
      <c r="E479" s="115" t="inlineStr">
        <is>
          <t>Fenda Vulcânica Morta — dropado por monstro específico</t>
        </is>
      </c>
      <c r="F479" s="115" t="inlineStr">
        <is>
          <t>Loot de monstro (não coletável no mundo)</t>
        </is>
      </c>
      <c r="G479" s="115" t="inlineStr">
        <is>
          <t>—</t>
        </is>
      </c>
      <c r="H479" s="115" t="inlineStr">
        <is>
          <t>Comum (Médio rendimento)</t>
        </is>
      </c>
      <c r="I479" s="115" t="inlineStr">
        <is>
          <t>Ingrediente de Vial da Sombra Devoradora (Acessório Tier 10)</t>
        </is>
      </c>
      <c r="K479" s="115" t="inlineStr">
        <is>
          <t>Resíduo da Sombra Devoradora Jovem, que já aprendeu a se alimentar dos caídos.</t>
        </is>
      </c>
    </row>
    <row r="480">
      <c r="A480" s="115" t="n">
        <v>478</v>
      </c>
      <c r="B480" s="115" t="inlineStr">
        <is>
          <t>Tier 10</t>
        </is>
      </c>
      <c r="C480" s="115" t="inlineStr">
        <is>
          <t>Fragmento de Raiz Rastejante</t>
        </is>
      </c>
      <c r="D480" s="115" t="inlineStr">
        <is>
          <t>Orgânico / Material</t>
        </is>
      </c>
      <c r="E480" s="115" t="inlineStr">
        <is>
          <t>Fenda Vulcânica Morta — dropado por monstro específico</t>
        </is>
      </c>
      <c r="F480" s="115" t="inlineStr">
        <is>
          <t>Loot de monstro (não coletável no mundo)</t>
        </is>
      </c>
      <c r="G480" s="115" t="inlineStr">
        <is>
          <t>—</t>
        </is>
      </c>
      <c r="H480" s="115" t="inlineStr">
        <is>
          <t>Incomum (Médio rendimento)</t>
        </is>
      </c>
      <c r="I480" s="115" t="inlineStr">
        <is>
          <t>Ingrediente de Amuleto da Raiz (Acessório Tier 10)</t>
        </is>
      </c>
      <c r="K480" s="115" t="inlineStr">
        <is>
          <t>Fragmento da Raiz Rastejante — uma vítima assimilada tão profundamente que virou quase vegetal, talvez ainda consciente lá dentro.</t>
        </is>
      </c>
    </row>
    <row r="481">
      <c r="A481" s="115" t="n">
        <v>479</v>
      </c>
      <c r="B481" s="115" t="inlineStr">
        <is>
          <t>Tier 10</t>
        </is>
      </c>
      <c r="C481" s="115" t="inlineStr">
        <is>
          <t>Resíduo de Sombra Devoradora</t>
        </is>
      </c>
      <c r="D481" s="115" t="inlineStr">
        <is>
          <t>Orgânico</t>
        </is>
      </c>
      <c r="E481" s="115" t="inlineStr">
        <is>
          <t>Fenda Vulcânica Morta — dropado por monstro específico</t>
        </is>
      </c>
      <c r="F481" s="115" t="inlineStr">
        <is>
          <t>Loot de monstro (não coletável no mundo)</t>
        </is>
      </c>
      <c r="G481" s="115" t="inlineStr">
        <is>
          <t>—</t>
        </is>
      </c>
      <c r="H481" s="115" t="inlineStr">
        <is>
          <t>Comum (Alto rendimento)</t>
        </is>
      </c>
      <c r="I481" s="115" t="inlineStr">
        <is>
          <t>Ingrediente de Vial da Sombra Devoradora (Acessório Tier 10)</t>
        </is>
      </c>
      <c r="K481" s="115" t="inlineStr">
        <is>
          <t>Resíduo da Sombra Devoradora, que come o que resta de quem a Fusão já consumiu.</t>
        </is>
      </c>
    </row>
    <row r="482">
      <c r="A482" s="115" t="n">
        <v>480</v>
      </c>
      <c r="B482" s="115" t="inlineStr">
        <is>
          <t>Tier 10</t>
        </is>
      </c>
      <c r="C482" s="115" t="inlineStr">
        <is>
          <t>Amostra de Carne do Amálgama Menor</t>
        </is>
      </c>
      <c r="D482" s="115" t="inlineStr">
        <is>
          <t>Orgânico / Material</t>
        </is>
      </c>
      <c r="E482" s="115" t="inlineStr">
        <is>
          <t>Fenda Vulcânica Morta — dropado por monstro específico</t>
        </is>
      </c>
      <c r="F482" s="115" t="inlineStr">
        <is>
          <t>Loot de monstro (não coletável no mundo)</t>
        </is>
      </c>
      <c r="G482" s="115" t="inlineStr">
        <is>
          <t>—</t>
        </is>
      </c>
      <c r="H482" s="115" t="inlineStr">
        <is>
          <t>Incomum (Médio rendimento)</t>
        </is>
      </c>
      <c r="I482" s="115" t="inlineStr">
        <is>
          <t>Ingrediente de Amuleto do Amálgama (Acessório Tier 10)</t>
        </is>
      </c>
      <c r="K482" s="115" t="inlineStr">
        <is>
          <t>Amostra de carne do Amálgama Menor, pedaço que se solta do Amálgama Original durante o ritual central.</t>
        </is>
      </c>
    </row>
    <row r="483">
      <c r="A483" s="115" t="n">
        <v>481</v>
      </c>
      <c r="B483" s="115" t="inlineStr">
        <is>
          <t>Tier 10</t>
        </is>
      </c>
      <c r="C483" s="115" t="inlineStr">
        <is>
          <t>Fragmento de Ceifador Menor</t>
        </is>
      </c>
      <c r="D483" s="115" t="inlineStr">
        <is>
          <t>Troféu de Monstro</t>
        </is>
      </c>
      <c r="E483" s="115" t="inlineStr">
        <is>
          <t>Loot de Ceifador Menor (Elite)</t>
        </is>
      </c>
      <c r="F483" s="115" t="inlineStr">
        <is>
          <t>Loot de monstro (não coletável no mundo)</t>
        </is>
      </c>
      <c r="G483" s="115" t="inlineStr">
        <is>
          <t>—</t>
        </is>
      </c>
      <c r="H483" s="115" t="inlineStr">
        <is>
          <t>Incomum (Baixo rendimento)</t>
        </is>
      </c>
      <c r="I483" s="115" t="inlineStr">
        <is>
          <t>Ingrediente de Foice do Ceifador Menor (Acessório Tier 10)</t>
        </is>
      </c>
      <c r="J483" s="115" t="n">
        <v>78</v>
      </c>
      <c r="K483" s="115" t="inlineStr">
        <is>
          <t>Fragmento do Ceifador Menor, discípulo do Ceifador da Carne Viva ainda aprendendo a técnica.</t>
        </is>
      </c>
      <c r="M483" s="115" t="inlineStr">
        <is>
          <t>🐾</t>
        </is>
      </c>
    </row>
    <row r="484">
      <c r="A484" s="115" t="n">
        <v>482</v>
      </c>
      <c r="B484" s="115" t="inlineStr">
        <is>
          <t>Tier 10</t>
        </is>
      </c>
      <c r="C484" s="115" t="inlineStr">
        <is>
          <t>Fragmento de Cofre Armadilhado</t>
        </is>
      </c>
      <c r="D484" s="115" t="inlineStr">
        <is>
          <t>Troféu de Monstro</t>
        </is>
      </c>
      <c r="E484" s="115" t="inlineStr">
        <is>
          <t>Loot de Cofre de Cinzas Falso (Elite)</t>
        </is>
      </c>
      <c r="F484" s="115" t="inlineStr">
        <is>
          <t>Loot de monstro (não coletável no mundo)</t>
        </is>
      </c>
      <c r="G484" s="115" t="inlineStr">
        <is>
          <t>—</t>
        </is>
      </c>
      <c r="H484" s="115" t="inlineStr">
        <is>
          <t>Incomum (Baixo rendimento)</t>
        </is>
      </c>
      <c r="I484" s="115" t="inlineStr">
        <is>
          <t>Ingrediente de Fechadura do Cofre de Cinzas (Acessório Tier 10)</t>
        </is>
      </c>
      <c r="J484" s="115" t="n">
        <v>78</v>
      </c>
      <c r="K484" s="115" t="inlineStr">
        <is>
          <t>Mecanismo do cofre-armadilha que os Zelotes deixam nas bordas da fenda extinta.</t>
        </is>
      </c>
      <c r="M484" s="115" t="inlineStr">
        <is>
          <t>🐾</t>
        </is>
      </c>
    </row>
    <row r="485">
      <c r="A485" s="115" t="n">
        <v>483</v>
      </c>
      <c r="B485" s="115" t="inlineStr">
        <is>
          <t>Tier 10</t>
        </is>
      </c>
      <c r="C485" s="115" t="inlineStr">
        <is>
          <t>Amostra Instável do Fragmento Fugidio</t>
        </is>
      </c>
      <c r="D485" s="115" t="inlineStr">
        <is>
          <t>Troféu de Monstro</t>
        </is>
      </c>
      <c r="E485" s="115" t="inlineStr">
        <is>
          <t>Loot de Fragmento Fugidio do Amálgama (Elite)</t>
        </is>
      </c>
      <c r="F485" s="115" t="inlineStr">
        <is>
          <t>Loot de monstro (não coletável no mundo)</t>
        </is>
      </c>
      <c r="G485" s="115" t="inlineStr">
        <is>
          <t>—</t>
        </is>
      </c>
      <c r="H485" s="115" t="inlineStr">
        <is>
          <t>Raro (Baixo rendimento)</t>
        </is>
      </c>
      <c r="I485" s="115" t="inlineStr">
        <is>
          <t>Ingrediente de Amuleto do Fragmento Fugidio (Acessório Tier 10)</t>
        </is>
      </c>
      <c r="J485" s="115" t="n">
        <v>78</v>
      </c>
      <c r="K485" s="115" t="inlineStr">
        <is>
          <t>Amostra instável do Fragmento Fugidio do Amálgama, pedaço solto do Amálgama Original que tenta escapar antes de ser reabsorvido.</t>
        </is>
      </c>
      <c r="M485" s="115" t="inlineStr">
        <is>
          <t>🐾</t>
        </is>
      </c>
    </row>
    <row r="486">
      <c r="A486" s="115" t="n">
        <v>484</v>
      </c>
      <c r="B486" s="115" t="inlineStr">
        <is>
          <t>Tier 10</t>
        </is>
      </c>
      <c r="C486" s="115" t="inlineStr">
        <is>
          <t>Fragmento de Amálgama Fragmentário</t>
        </is>
      </c>
      <c r="D486" s="115" t="inlineStr">
        <is>
          <t>Troféu de Monstro</t>
        </is>
      </c>
      <c r="E486" s="115" t="inlineStr">
        <is>
          <t>Loot de Amálgama Fragmentário (Elite)</t>
        </is>
      </c>
      <c r="F486" s="115" t="inlineStr">
        <is>
          <t>Loot de monstro (não coletável no mundo)</t>
        </is>
      </c>
      <c r="G486" s="115" t="inlineStr">
        <is>
          <t>—</t>
        </is>
      </c>
      <c r="H486" s="115" t="inlineStr">
        <is>
          <t>Incomum (Baixo rendimento)</t>
        </is>
      </c>
      <c r="I486" s="115" t="inlineStr">
        <is>
          <t>Ingrediente de Amuleto do Amálgama Fragmentário (Acessório Tier 10)</t>
        </is>
      </c>
      <c r="J486" s="115" t="n">
        <v>78</v>
      </c>
      <c r="K486" s="115" t="inlineStr">
        <is>
          <t>Fragmento do Amálgama Fragmentário, pedaço ainda menor do Amálgama Original.</t>
        </is>
      </c>
      <c r="M486" s="115" t="inlineStr">
        <is>
          <t>🐾</t>
        </is>
      </c>
    </row>
    <row r="487">
      <c r="A487" s="115" t="n">
        <v>485</v>
      </c>
      <c r="B487" s="115" t="inlineStr">
        <is>
          <t>Tier 10</t>
        </is>
      </c>
      <c r="C487" s="115" t="inlineStr">
        <is>
          <t>Fragmento de Irmã Vashti</t>
        </is>
      </c>
      <c r="D487" s="115" t="inlineStr">
        <is>
          <t>Troféu de Monstro</t>
        </is>
      </c>
      <c r="E487" s="115" t="inlineStr">
        <is>
          <t>Loot de Irmã Vashti, a Que Se Recusou a Se Fundir (Nomeado) (Elite)</t>
        </is>
      </c>
      <c r="F487" s="115" t="inlineStr">
        <is>
          <t>Loot de monstro (não coletável no mundo)</t>
        </is>
      </c>
      <c r="G487" s="115" t="inlineStr">
        <is>
          <t>—</t>
        </is>
      </c>
      <c r="H487" s="115" t="inlineStr">
        <is>
          <t>Raro (Baixo rendimento - Elite Nomeado)</t>
        </is>
      </c>
      <c r="I487" s="115" t="inlineStr">
        <is>
          <t>Ingrediente de Broche Menor da Última Resistência (Acessório Tier 10)</t>
        </is>
      </c>
      <c r="J487" s="115" t="n">
        <v>85</v>
      </c>
      <c r="K487" s="115" t="inlineStr">
        <is>
          <t>Parte física de Irmã Vashti, guardada se ela for derrotada em vez de recrutada — era a segunda no comando do culto e se recusou a completar o próprio ritual.</t>
        </is>
      </c>
      <c r="M487" s="115" t="inlineStr">
        <is>
          <t>🐾</t>
        </is>
      </c>
    </row>
    <row r="488">
      <c r="A488" s="115" t="n">
        <v>486</v>
      </c>
      <c r="B488" s="115" t="inlineStr">
        <is>
          <t>Tier 11</t>
        </is>
      </c>
      <c r="C488" s="115" t="inlineStr">
        <is>
          <t>Fragmento de Golem Muito Menor</t>
        </is>
      </c>
      <c r="D488" s="115" t="inlineStr">
        <is>
          <t>Orgânico / Material</t>
        </is>
      </c>
      <c r="E488" s="115" t="inlineStr">
        <is>
          <t>Alto Bastião dos Caçadores — dropado por monstro específico</t>
        </is>
      </c>
      <c r="F488" s="115" t="inlineStr">
        <is>
          <t>Loot de monstro (não coletável no mundo)</t>
        </is>
      </c>
      <c r="G488" s="115" t="inlineStr">
        <is>
          <t>—</t>
        </is>
      </c>
      <c r="H488" s="115" t="inlineStr">
        <is>
          <t>Comum (Médio rendimento)</t>
        </is>
      </c>
      <c r="I488" s="115" t="inlineStr">
        <is>
          <t>Ingrediente de Amuleto do Golem de Guerra (Acessório Tier 11)</t>
        </is>
      </c>
      <c r="K488" s="115" t="inlineStr">
        <is>
          <t>Fragmento do Golem Muito Menor de Guerra, miniatura do Golem de Guerra original da Ordem.</t>
        </is>
      </c>
    </row>
    <row r="489">
      <c r="A489" s="115" t="n">
        <v>487</v>
      </c>
      <c r="B489" s="115" t="inlineStr">
        <is>
          <t>Tier 11</t>
        </is>
      </c>
      <c r="C489" s="115" t="inlineStr">
        <is>
          <t>Presa Jovem de Devorador de Cavaleiros</t>
        </is>
      </c>
      <c r="D489" s="115" t="inlineStr">
        <is>
          <t>Orgânico</t>
        </is>
      </c>
      <c r="E489" s="115" t="inlineStr">
        <is>
          <t>Alto Bastião dos Caçadores — dropado por monstro específico</t>
        </is>
      </c>
      <c r="F489" s="115" t="inlineStr">
        <is>
          <t>Loot de monstro (não coletável no mundo)</t>
        </is>
      </c>
      <c r="G489" s="115" t="inlineStr">
        <is>
          <t>—</t>
        </is>
      </c>
      <c r="H489" s="115" t="inlineStr">
        <is>
          <t>Comum (Médio rendimento)</t>
        </is>
      </c>
      <c r="I489" s="115" t="inlineStr">
        <is>
          <t>Ingrediente de Amuleto do Devorador de Cavaleiros (Acessório Tier 11)</t>
        </is>
      </c>
      <c r="K489" s="115" t="inlineStr">
        <is>
          <t>Presa jovem do Devorador de Cavaleiros Jovem, que já aprendeu a esperar pelos caídos.</t>
        </is>
      </c>
    </row>
    <row r="490">
      <c r="A490" s="115" t="n">
        <v>488</v>
      </c>
      <c r="B490" s="115" t="inlineStr">
        <is>
          <t>Tier 11</t>
        </is>
      </c>
      <c r="C490" s="115" t="inlineStr">
        <is>
          <t>Brasão Manchado de Cavaleiro Ferido</t>
        </is>
      </c>
      <c r="D490" s="115" t="inlineStr">
        <is>
          <t>Orgânico / Material</t>
        </is>
      </c>
      <c r="E490" s="115" t="inlineStr">
        <is>
          <t>Alto Bastião dos Caçadores — dropado por monstro específico</t>
        </is>
      </c>
      <c r="F490" s="115" t="inlineStr">
        <is>
          <t>Loot de monstro (não coletável no mundo)</t>
        </is>
      </c>
      <c r="G490" s="115" t="inlineStr">
        <is>
          <t>—</t>
        </is>
      </c>
      <c r="H490" s="115" t="inlineStr">
        <is>
          <t>Incomum (Médio rendimento)</t>
        </is>
      </c>
      <c r="I490" s="115" t="inlineStr">
        <is>
          <t>Ingrediente de Brasão do Cavaleiro (Acessório Tier 11)</t>
        </is>
      </c>
      <c r="K490" s="115" t="inlineStr">
        <is>
          <t>Brasão manchado do Cavaleiro Fiel Ferido, debilitado por ferimentos anteriores.</t>
        </is>
      </c>
    </row>
    <row r="491">
      <c r="A491" s="115" t="n">
        <v>489</v>
      </c>
      <c r="B491" s="115" t="inlineStr">
        <is>
          <t>Tier 11</t>
        </is>
      </c>
      <c r="C491" s="115" t="inlineStr">
        <is>
          <t>Fragmento de Golem Menor de Guerra</t>
        </is>
      </c>
      <c r="D491" s="115" t="inlineStr">
        <is>
          <t>Orgânico / Material</t>
        </is>
      </c>
      <c r="E491" s="115" t="inlineStr">
        <is>
          <t>Alto Bastião dos Caçadores — dropado por monstro específico</t>
        </is>
      </c>
      <c r="F491" s="115" t="inlineStr">
        <is>
          <t>Loot de monstro (não coletável no mundo)</t>
        </is>
      </c>
      <c r="G491" s="115" t="inlineStr">
        <is>
          <t>—</t>
        </is>
      </c>
      <c r="H491" s="115" t="inlineStr">
        <is>
          <t>Comum (Médio rendimento)</t>
        </is>
      </c>
      <c r="I491" s="115" t="inlineStr">
        <is>
          <t>Ingrediente de Amuleto do Golem de Guerra (Acessório Tier 11)</t>
        </is>
      </c>
      <c r="K491" s="115" t="inlineStr">
        <is>
          <t>Fragmento do Golem Menor de Guerra, ainda funcional apesar do tempo.</t>
        </is>
      </c>
    </row>
    <row r="492">
      <c r="A492" s="115" t="n">
        <v>490</v>
      </c>
      <c r="B492" s="115" t="inlineStr">
        <is>
          <t>Tier 11</t>
        </is>
      </c>
      <c r="C492" s="115" t="inlineStr">
        <is>
          <t>Brasão do Cavaleiro Fiel</t>
        </is>
      </c>
      <c r="D492" s="115" t="inlineStr">
        <is>
          <t>Orgânico / Material</t>
        </is>
      </c>
      <c r="E492" s="115" t="inlineStr">
        <is>
          <t>Alto Bastião dos Caçadores — dropado por monstro específico</t>
        </is>
      </c>
      <c r="F492" s="115" t="inlineStr">
        <is>
          <t>Loot de monstro (não coletável no mundo)</t>
        </is>
      </c>
      <c r="G492" s="115" t="inlineStr">
        <is>
          <t>—</t>
        </is>
      </c>
      <c r="H492" s="115" t="inlineStr">
        <is>
          <t>Incomum (Médio rendimento)</t>
        </is>
      </c>
      <c r="I492" s="115" t="inlineStr">
        <is>
          <t>Ingrediente de Brasão do Cavaleiro (Acessório Tier 11)</t>
        </is>
      </c>
      <c r="K492" s="115" t="inlineStr">
        <is>
          <t>Brasão do Cavaleiro Fiel, que não abandonou o juramento original mesmo sem saber mais o que restou pra defender.</t>
        </is>
      </c>
    </row>
    <row r="493">
      <c r="A493" s="115" t="n">
        <v>491</v>
      </c>
      <c r="B493" s="115" t="inlineStr">
        <is>
          <t>Tier 11</t>
        </is>
      </c>
      <c r="C493" s="115" t="inlineStr">
        <is>
          <t>Presa de Devorador de Cavaleiros Caídos</t>
        </is>
      </c>
      <c r="D493" s="115" t="inlineStr">
        <is>
          <t>Orgânico</t>
        </is>
      </c>
      <c r="E493" s="115" t="inlineStr">
        <is>
          <t>Alto Bastião dos Caçadores — dropado por monstro específico</t>
        </is>
      </c>
      <c r="F493" s="115" t="inlineStr">
        <is>
          <t>Loot de monstro (não coletável no mundo)</t>
        </is>
      </c>
      <c r="G493" s="115" t="inlineStr">
        <is>
          <t>—</t>
        </is>
      </c>
      <c r="H493" s="115" t="inlineStr">
        <is>
          <t>Comum (Alto rendimento)</t>
        </is>
      </c>
      <c r="I493" s="115" t="inlineStr">
        <is>
          <t>Ingrediente de Amuleto do Devorador de Cavaleiros (Acessório Tier 11)</t>
        </is>
      </c>
      <c r="K493" s="115" t="inlineStr">
        <is>
          <t>Presa do Devorador de Cavaleiros Caídos, que se alimenta do que resta na Forja dos Titãs.</t>
        </is>
      </c>
    </row>
    <row r="494">
      <c r="A494" s="115" t="n">
        <v>492</v>
      </c>
      <c r="B494" s="115" t="inlineStr">
        <is>
          <t>Tier 11</t>
        </is>
      </c>
      <c r="C494" s="115" t="inlineStr">
        <is>
          <t>Amuleto do Sacerdote Iniciante</t>
        </is>
      </c>
      <c r="D494" s="115" t="inlineStr">
        <is>
          <t>Orgânico / Material</t>
        </is>
      </c>
      <c r="E494" s="115" t="inlineStr">
        <is>
          <t>Alto Bastião dos Caçadores — dropado por monstro específico</t>
        </is>
      </c>
      <c r="F494" s="115" t="inlineStr">
        <is>
          <t>Loot de monstro (não coletável no mundo)</t>
        </is>
      </c>
      <c r="G494" s="115" t="inlineStr">
        <is>
          <t>—</t>
        </is>
      </c>
      <c r="H494" s="115" t="inlineStr">
        <is>
          <t>Incomum (Baixo rendimento)</t>
        </is>
      </c>
      <c r="I494" s="115" t="inlineStr">
        <is>
          <t>Ingrediente de Amuleto do Sacerdote da Heresia (Acessório Tier 11)</t>
        </is>
      </c>
      <c r="K494" s="115" t="inlineStr">
        <is>
          <t>Amuleto do Sacerdote Menor Iniciante, o membro mais novo nos rituais da Heresia.</t>
        </is>
      </c>
    </row>
    <row r="495">
      <c r="A495" s="115" t="n">
        <v>493</v>
      </c>
      <c r="B495" s="115" t="inlineStr">
        <is>
          <t>Tier 11</t>
        </is>
      </c>
      <c r="C495" s="115" t="inlineStr">
        <is>
          <t>Fragmento de Rachadura Jovem</t>
        </is>
      </c>
      <c r="D495" s="115" t="inlineStr">
        <is>
          <t>Orgânico / Material</t>
        </is>
      </c>
      <c r="E495" s="115" t="inlineStr">
        <is>
          <t>Alto Bastião dos Caçadores — dropado por monstro específico</t>
        </is>
      </c>
      <c r="F495" s="115" t="inlineStr">
        <is>
          <t>Loot de monstro (não coletável no mundo)</t>
        </is>
      </c>
      <c r="G495" s="115" t="inlineStr">
        <is>
          <t>—</t>
        </is>
      </c>
      <c r="H495" s="115" t="inlineStr">
        <is>
          <t>Incomum (Baixo rendimento)</t>
        </is>
      </c>
      <c r="I495" s="115" t="inlineStr">
        <is>
          <t>Ingrediente de Amuleto da Rachadura (Acessório Tier 11)</t>
        </is>
      </c>
      <c r="K495" s="115" t="inlineStr">
        <is>
          <t>Fragmento da Rachadura Jovem da Placa, parasita jovem menos desenvolvido.</t>
        </is>
      </c>
    </row>
    <row r="496">
      <c r="A496" s="115" t="n">
        <v>494</v>
      </c>
      <c r="B496" s="115" t="inlineStr">
        <is>
          <t>Tier 11</t>
        </is>
      </c>
      <c r="C496" s="115" t="inlineStr">
        <is>
          <t>Máscara Jovem de Herege</t>
        </is>
      </c>
      <c r="D496" s="115" t="inlineStr">
        <is>
          <t>Orgânico / Material</t>
        </is>
      </c>
      <c r="E496" s="115" t="inlineStr">
        <is>
          <t>Alto Bastião dos Caçadores — dropado por monstro específico</t>
        </is>
      </c>
      <c r="F496" s="115" t="inlineStr">
        <is>
          <t>Loot de monstro (não coletável no mundo)</t>
        </is>
      </c>
      <c r="G496" s="115" t="inlineStr">
        <is>
          <t>—</t>
        </is>
      </c>
      <c r="H496" s="115" t="inlineStr">
        <is>
          <t>Comum (Médio rendimento)</t>
        </is>
      </c>
      <c r="I496" s="115" t="inlineStr">
        <is>
          <t>Ingrediente de Máscara do Herege (Acessório Tier 11)</t>
        </is>
      </c>
      <c r="K496" s="115" t="inlineStr">
        <is>
          <t>Máscara do Herege Silencioso Jovem, participante mais novo dos rituais do Titã Negro.</t>
        </is>
      </c>
    </row>
    <row r="497">
      <c r="A497" s="115" t="n">
        <v>495</v>
      </c>
      <c r="B497" s="115" t="inlineStr">
        <is>
          <t>Tier 11</t>
        </is>
      </c>
      <c r="C497" s="115" t="inlineStr">
        <is>
          <t>Manto Novo de Devoto Recém-Convertido</t>
        </is>
      </c>
      <c r="D497" s="115" t="inlineStr">
        <is>
          <t>Orgânico / Material</t>
        </is>
      </c>
      <c r="E497" s="115" t="inlineStr">
        <is>
          <t>Alto Bastião dos Caçadores — dropado por monstro específico</t>
        </is>
      </c>
      <c r="F497" s="115" t="inlineStr">
        <is>
          <t>Loot de monstro (não coletável no mundo)</t>
        </is>
      </c>
      <c r="G497" s="115" t="inlineStr">
        <is>
          <t>—</t>
        </is>
      </c>
      <c r="H497" s="115" t="inlineStr">
        <is>
          <t>Comum (Médio rendimento)</t>
        </is>
      </c>
      <c r="I497" s="115" t="inlineStr">
        <is>
          <t>Ingrediente de Manto do Devoto da Heresia (Acessório Tier 11)</t>
        </is>
      </c>
      <c r="K497" s="115" t="inlineStr">
        <is>
          <t>Manto novo do Devoto Recém-Convertido da Heresia, ainda aprendendo os cânticos.</t>
        </is>
      </c>
    </row>
    <row r="498">
      <c r="A498" s="115" t="n">
        <v>496</v>
      </c>
      <c r="B498" s="115" t="inlineStr">
        <is>
          <t>Tier 11</t>
        </is>
      </c>
      <c r="C498" s="115" t="inlineStr">
        <is>
          <t>Fragmento de Rachadura Viva</t>
        </is>
      </c>
      <c r="D498" s="115" t="inlineStr">
        <is>
          <t>Orgânico / Material</t>
        </is>
      </c>
      <c r="E498" s="115" t="inlineStr">
        <is>
          <t>Alto Bastião dos Caçadores — dropado por monstro específico</t>
        </is>
      </c>
      <c r="F498" s="115" t="inlineStr">
        <is>
          <t>Loot de monstro (não coletável no mundo)</t>
        </is>
      </c>
      <c r="G498" s="115" t="inlineStr">
        <is>
          <t>—</t>
        </is>
      </c>
      <c r="H498" s="115" t="inlineStr">
        <is>
          <t>Incomum (Médio rendimento)</t>
        </is>
      </c>
      <c r="I498" s="115" t="inlineStr">
        <is>
          <t>Ingrediente de Amuleto da Rachadura (Acessório Tier 11)</t>
        </is>
      </c>
      <c r="K498" s="115" t="inlineStr">
        <is>
          <t>Fragmento da Rachadura Viva da Placa, que cresce nas rachaduras dos constructos titânicos.</t>
        </is>
      </c>
    </row>
    <row r="499">
      <c r="A499" s="115" t="n">
        <v>497</v>
      </c>
      <c r="B499" s="115" t="inlineStr">
        <is>
          <t>Tier 11</t>
        </is>
      </c>
      <c r="C499" s="115" t="inlineStr">
        <is>
          <t>Máscara de Herege Silencioso</t>
        </is>
      </c>
      <c r="D499" s="115" t="inlineStr">
        <is>
          <t>Orgânico / Material</t>
        </is>
      </c>
      <c r="E499" s="115" t="inlineStr">
        <is>
          <t>Alto Bastião dos Caçadores — dropado por monstro específico</t>
        </is>
      </c>
      <c r="F499" s="115" t="inlineStr">
        <is>
          <t>Loot de monstro (não coletável no mundo)</t>
        </is>
      </c>
      <c r="G499" s="115" t="inlineStr">
        <is>
          <t>—</t>
        </is>
      </c>
      <c r="H499" s="115" t="inlineStr">
        <is>
          <t>Comum (Médio rendimento)</t>
        </is>
      </c>
      <c r="I499" s="115" t="inlineStr">
        <is>
          <t>Ingrediente de Máscara do Herege (Acessório Tier 11)</t>
        </is>
      </c>
      <c r="K499" s="115" t="inlineStr">
        <is>
          <t>Máscara do Herege Silencioso, que só age quando o Heresiarca conduz a cerimônia completa.</t>
        </is>
      </c>
    </row>
    <row r="500">
      <c r="A500" s="115" t="n">
        <v>498</v>
      </c>
      <c r="B500" s="115" t="inlineStr">
        <is>
          <t>Tier 11</t>
        </is>
      </c>
      <c r="C500" s="115" t="inlineStr">
        <is>
          <t>Manto Jovem de Devoto</t>
        </is>
      </c>
      <c r="D500" s="115" t="inlineStr">
        <is>
          <t>Orgânico / Material</t>
        </is>
      </c>
      <c r="E500" s="115" t="inlineStr">
        <is>
          <t>Alto Bastião dos Caçadores — dropado por monstro específico</t>
        </is>
      </c>
      <c r="F500" s="115" t="inlineStr">
        <is>
          <t>Loot de monstro (não coletável no mundo)</t>
        </is>
      </c>
      <c r="G500" s="115" t="inlineStr">
        <is>
          <t>—</t>
        </is>
      </c>
      <c r="H500" s="115" t="inlineStr">
        <is>
          <t>Comum (Médio rendimento)</t>
        </is>
      </c>
      <c r="I500" s="115" t="inlineStr">
        <is>
          <t>Ingrediente de Manto do Devoto da Heresia (Acessório Tier 11)</t>
        </is>
      </c>
      <c r="K500" s="115" t="inlineStr">
        <is>
          <t>Manto do Devoto da Heresia Jovem, convertido muito recente ao culto.</t>
        </is>
      </c>
    </row>
    <row r="501">
      <c r="A501" s="115" t="n">
        <v>499</v>
      </c>
      <c r="B501" s="115" t="inlineStr">
        <is>
          <t>Tier 11</t>
        </is>
      </c>
      <c r="C501" s="115" t="inlineStr">
        <is>
          <t>Amostra de Carne-Metal Jovem</t>
        </is>
      </c>
      <c r="D501" s="115" t="inlineStr">
        <is>
          <t>Orgânico / Material</t>
        </is>
      </c>
      <c r="E501" s="115" t="inlineStr">
        <is>
          <t>Alto Bastião dos Caçadores — dropado por monstro específico</t>
        </is>
      </c>
      <c r="F501" s="115" t="inlineStr">
        <is>
          <t>Loot de monstro (não coletável no mundo)</t>
        </is>
      </c>
      <c r="G501" s="115" t="inlineStr">
        <is>
          <t>—</t>
        </is>
      </c>
      <c r="H501" s="115" t="inlineStr">
        <is>
          <t>Incomum (Médio rendimento)</t>
        </is>
      </c>
      <c r="I501" s="115" t="inlineStr">
        <is>
          <t>Ingrediente de Amuleto da Carne-Metal (Acessório Tier 11)</t>
        </is>
      </c>
      <c r="K501" s="115" t="inlineStr">
        <is>
          <t>Amostra da Carne-Metal Jovem, fusão de metal e carne ainda instável e recente.</t>
        </is>
      </c>
    </row>
    <row r="502">
      <c r="A502" s="115" t="n">
        <v>500</v>
      </c>
      <c r="B502" s="115" t="inlineStr">
        <is>
          <t>Tier 11</t>
        </is>
      </c>
      <c r="C502" s="115" t="inlineStr">
        <is>
          <t>Fragmento de Constructo Muito Menor</t>
        </is>
      </c>
      <c r="D502" s="115" t="inlineStr">
        <is>
          <t>Orgânico / Material</t>
        </is>
      </c>
      <c r="E502" s="115" t="inlineStr">
        <is>
          <t>Alto Bastião dos Caçadores — dropado por monstro específico</t>
        </is>
      </c>
      <c r="F502" s="115" t="inlineStr">
        <is>
          <t>Loot de monstro (não coletável no mundo)</t>
        </is>
      </c>
      <c r="G502" s="115" t="inlineStr">
        <is>
          <t>—</t>
        </is>
      </c>
      <c r="H502" s="115" t="inlineStr">
        <is>
          <t>Comum (Médio rendimento)</t>
        </is>
      </c>
      <c r="I502" s="115" t="inlineStr">
        <is>
          <t>Ingrediente de Núcleo do Constructo Titânico (Acessório Tier 11)</t>
        </is>
      </c>
      <c r="K502" s="115" t="inlineStr">
        <is>
          <t>Fragmento do Constructo Titânico Muito Menor, miniatura do Constructo Titânico Menor.</t>
        </is>
      </c>
    </row>
    <row r="503">
      <c r="A503" s="115" t="n">
        <v>501</v>
      </c>
      <c r="B503" s="115" t="inlineStr">
        <is>
          <t>Tier 11</t>
        </is>
      </c>
      <c r="C503" s="115" t="inlineStr">
        <is>
          <t>Amostra de Carne-Metal Rastejante</t>
        </is>
      </c>
      <c r="D503" s="115" t="inlineStr">
        <is>
          <t>Orgânico / Material</t>
        </is>
      </c>
      <c r="E503" s="115" t="inlineStr">
        <is>
          <t>Alto Bastião dos Caçadores — dropado por monstro específico</t>
        </is>
      </c>
      <c r="F503" s="115" t="inlineStr">
        <is>
          <t>Loot de monstro (não coletável no mundo)</t>
        </is>
      </c>
      <c r="G503" s="115" t="inlineStr">
        <is>
          <t>—</t>
        </is>
      </c>
      <c r="H503" s="115" t="inlineStr">
        <is>
          <t>Incomum (Médio rendimento)</t>
        </is>
      </c>
      <c r="I503" s="115" t="inlineStr">
        <is>
          <t>Ingrediente de Amuleto da Carne-Metal (Acessório Tier 11)</t>
        </is>
      </c>
      <c r="K503" s="115" t="inlineStr">
        <is>
          <t>Amostra da Carne-Metal Rastejante, fusão mais antiga onde o metal já cresceu fundo na carne.</t>
        </is>
      </c>
    </row>
    <row r="504">
      <c r="A504" s="115" t="n">
        <v>502</v>
      </c>
      <c r="B504" s="115" t="inlineStr">
        <is>
          <t>Tier 11</t>
        </is>
      </c>
      <c r="C504" s="115" t="inlineStr">
        <is>
          <t>Placa Roubada de Golem de Guerra</t>
        </is>
      </c>
      <c r="D504" s="115" t="inlineStr">
        <is>
          <t>Orgânico / Material</t>
        </is>
      </c>
      <c r="E504" s="115" t="inlineStr">
        <is>
          <t>Alto Bastião dos Caçadores — dropado por monstro específico</t>
        </is>
      </c>
      <c r="F504" s="115" t="inlineStr">
        <is>
          <t>Loot de monstro (não coletável no mundo)</t>
        </is>
      </c>
      <c r="G504" s="115" t="inlineStr">
        <is>
          <t>—</t>
        </is>
      </c>
      <c r="H504" s="115" t="inlineStr">
        <is>
          <t>Comum (Médio rendimento)</t>
        </is>
      </c>
      <c r="I504" s="115" t="inlineStr">
        <is>
          <t>Ingrediente de Amuleto do Golem de Guerra (Acessório Tier 11)</t>
        </is>
      </c>
      <c r="K504" s="115" t="inlineStr">
        <is>
          <t>Placa do Golem de Guerra, construído pela Ordem dos Cavaleiros pra treinar recrutas antes de ser roubado pela Heresia.</t>
        </is>
      </c>
    </row>
    <row r="505">
      <c r="A505" s="115" t="n">
        <v>503</v>
      </c>
      <c r="B505" s="115" t="inlineStr">
        <is>
          <t>Tier 11</t>
        </is>
      </c>
      <c r="C505" s="115" t="inlineStr">
        <is>
          <t>Placa Renegada de Cavaleiro</t>
        </is>
      </c>
      <c r="D505" s="115" t="inlineStr">
        <is>
          <t>Orgânico / Material</t>
        </is>
      </c>
      <c r="E505" s="115" t="inlineStr">
        <is>
          <t>Alto Bastião dos Caçadores — dropado por monstro específico</t>
        </is>
      </c>
      <c r="F505" s="115" t="inlineStr">
        <is>
          <t>Loot de monstro (não coletável no mundo)</t>
        </is>
      </c>
      <c r="G505" s="115" t="inlineStr">
        <is>
          <t>—</t>
        </is>
      </c>
      <c r="H505" s="115" t="inlineStr">
        <is>
          <t>Comum (Médio rendimento)</t>
        </is>
      </c>
      <c r="I505" s="115" t="inlineStr">
        <is>
          <t>Ingrediente de Brasão do Cavaleiro (Acessório Tier 11)</t>
        </is>
      </c>
      <c r="K505" s="115" t="inlineStr">
        <is>
          <t>Placa do Cavaleiro Renegado, que se juntou à Heresia acreditando que reviver o Titã é a única defesa real contra a Mão.</t>
        </is>
      </c>
    </row>
    <row r="506">
      <c r="A506" s="115" t="n">
        <v>504</v>
      </c>
      <c r="B506" s="115" t="inlineStr">
        <is>
          <t>Tier 11</t>
        </is>
      </c>
      <c r="C506" s="115" t="inlineStr">
        <is>
          <t>Placa Ferida de Renegado</t>
        </is>
      </c>
      <c r="D506" s="115" t="inlineStr">
        <is>
          <t>Orgânico / Material</t>
        </is>
      </c>
      <c r="E506" s="115" t="inlineStr">
        <is>
          <t>Alto Bastião dos Caçadores — dropado por monstro específico</t>
        </is>
      </c>
      <c r="F506" s="115" t="inlineStr">
        <is>
          <t>Loot de monstro (não coletável no mundo)</t>
        </is>
      </c>
      <c r="G506" s="115" t="inlineStr">
        <is>
          <t>—</t>
        </is>
      </c>
      <c r="H506" s="115" t="inlineStr">
        <is>
          <t>Comum (Médio rendimento)</t>
        </is>
      </c>
      <c r="I506" s="115" t="inlineStr">
        <is>
          <t>Ingrediente de Brasão do Cavaleiro (Acessório Tier 11)</t>
        </is>
      </c>
      <c r="K506" s="115" t="inlineStr">
        <is>
          <t>Placa do Cavaleiro Renegado Ferido, desertor já ferido antes do confronto.</t>
        </is>
      </c>
    </row>
    <row r="507">
      <c r="A507" s="115" t="n">
        <v>505</v>
      </c>
      <c r="B507" s="115" t="inlineStr">
        <is>
          <t>Tier 11</t>
        </is>
      </c>
      <c r="C507" s="115" t="inlineStr">
        <is>
          <t>Manto do Devoto da Heresia</t>
        </is>
      </c>
      <c r="D507" s="115" t="inlineStr">
        <is>
          <t>Orgânico / Material</t>
        </is>
      </c>
      <c r="E507" s="115" t="inlineStr">
        <is>
          <t>Alto Bastião dos Caçadores — dropado por monstro específico</t>
        </is>
      </c>
      <c r="F507" s="115" t="inlineStr">
        <is>
          <t>Loot de monstro (não coletável no mundo)</t>
        </is>
      </c>
      <c r="G507" s="115" t="inlineStr">
        <is>
          <t>—</t>
        </is>
      </c>
      <c r="H507" s="115" t="inlineStr">
        <is>
          <t>Comum (Médio rendimento)</t>
        </is>
      </c>
      <c r="I507" s="115" t="inlineStr">
        <is>
          <t>Ingrediente de Manto do Devoto da Heresia (Acessório Tier 11)</t>
        </is>
      </c>
      <c r="K507" s="115" t="inlineStr">
        <is>
          <t>Manto do Devoto da Heresia, que acredita que fundir carne viva à armadura antiga vai reviver o guardião supremo.</t>
        </is>
      </c>
    </row>
    <row r="508">
      <c r="A508" s="115" t="n">
        <v>506</v>
      </c>
      <c r="B508" s="115" t="inlineStr">
        <is>
          <t>Tier 11</t>
        </is>
      </c>
      <c r="C508" s="115" t="inlineStr">
        <is>
          <t>Fragmento de Campeão Menor Adamantino</t>
        </is>
      </c>
      <c r="D508" s="115" t="inlineStr">
        <is>
          <t>Orgânico / Material</t>
        </is>
      </c>
      <c r="E508" s="115" t="inlineStr">
        <is>
          <t>Alto Bastião dos Caçadores — dropado por monstro específico</t>
        </is>
      </c>
      <c r="F508" s="115" t="inlineStr">
        <is>
          <t>Loot de monstro (não coletável no mundo)</t>
        </is>
      </c>
      <c r="G508" s="115" t="inlineStr">
        <is>
          <t>—</t>
        </is>
      </c>
      <c r="H508" s="115" t="inlineStr">
        <is>
          <t>Incomum (Médio rendimento)</t>
        </is>
      </c>
      <c r="I508" s="115" t="inlineStr">
        <is>
          <t>Ingrediente de Amuleto do Campeão Adamantino Menor (Acessório Tier 11)</t>
        </is>
      </c>
      <c r="K508" s="115" t="inlineStr">
        <is>
          <t>Fragmento do Campeão Adamantino Menor, aspirante que ainda não provou o próprio valor em combate real.</t>
        </is>
      </c>
    </row>
    <row r="509">
      <c r="A509" s="115" t="n">
        <v>507</v>
      </c>
      <c r="B509" s="115" t="inlineStr">
        <is>
          <t>Tier 11</t>
        </is>
      </c>
      <c r="C509" s="115" t="inlineStr">
        <is>
          <t>Placa Ferida de Campeão</t>
        </is>
      </c>
      <c r="D509" s="115" t="inlineStr">
        <is>
          <t>Orgânico / Material</t>
        </is>
      </c>
      <c r="E509" s="115" t="inlineStr">
        <is>
          <t>Alto Bastião dos Caçadores — dropado por monstro específico</t>
        </is>
      </c>
      <c r="F509" s="115" t="inlineStr">
        <is>
          <t>Loot de monstro (não coletável no mundo)</t>
        </is>
      </c>
      <c r="G509" s="115" t="inlineStr">
        <is>
          <t>—</t>
        </is>
      </c>
      <c r="H509" s="115" t="inlineStr">
        <is>
          <t>Incomum (Médio rendimento)</t>
        </is>
      </c>
      <c r="I509" s="115" t="inlineStr">
        <is>
          <t>Ingrediente de Amuleto do Campeão Adamantino Menor (Acessório Tier 11)</t>
        </is>
      </c>
      <c r="K509" s="115" t="inlineStr">
        <is>
          <t>Placa do Campeão Adamantino Ferido, já desgastado por combates anteriores.</t>
        </is>
      </c>
    </row>
    <row r="510">
      <c r="A510" s="115" t="n">
        <v>508</v>
      </c>
      <c r="B510" s="115" t="inlineStr">
        <is>
          <t>Tier 11</t>
        </is>
      </c>
      <c r="C510" s="115" t="inlineStr">
        <is>
          <t>Amostra de Carne-Metal Andante</t>
        </is>
      </c>
      <c r="D510" s="115" t="inlineStr">
        <is>
          <t>Orgânico / Material</t>
        </is>
      </c>
      <c r="E510" s="115" t="inlineStr">
        <is>
          <t>Alto Bastião dos Caçadores — dropado por monstro específico</t>
        </is>
      </c>
      <c r="F510" s="115" t="inlineStr">
        <is>
          <t>Loot de monstro (não coletável no mundo)</t>
        </is>
      </c>
      <c r="G510" s="115" t="inlineStr">
        <is>
          <t>—</t>
        </is>
      </c>
      <c r="H510" s="115" t="inlineStr">
        <is>
          <t>Incomum (Médio rendimento)</t>
        </is>
      </c>
      <c r="I510" s="115" t="inlineStr">
        <is>
          <t>Ingrediente de Amuleto da Carne-Metal (Acessório Tier 11)</t>
        </is>
      </c>
      <c r="K510" s="115" t="inlineStr">
        <is>
          <t>Amostra da Carne-Metal Andante, experimento da Heresia fundindo carne viva a placas de adamantina.</t>
        </is>
      </c>
    </row>
    <row r="511">
      <c r="A511" s="115" t="n">
        <v>509</v>
      </c>
      <c r="B511" s="115" t="inlineStr">
        <is>
          <t>Tier 11</t>
        </is>
      </c>
      <c r="C511" s="115" t="inlineStr">
        <is>
          <t>Fragmento de Golem Fragmentado Menor</t>
        </is>
      </c>
      <c r="D511" s="115" t="inlineStr">
        <is>
          <t>Troféu de Monstro</t>
        </is>
      </c>
      <c r="E511" s="115" t="inlineStr">
        <is>
          <t>Loot de Golem Fragmentado Menor (Elite)</t>
        </is>
      </c>
      <c r="F511" s="115" t="inlineStr">
        <is>
          <t>Loot de monstro (não coletável no mundo)</t>
        </is>
      </c>
      <c r="G511" s="115" t="inlineStr">
        <is>
          <t>—</t>
        </is>
      </c>
      <c r="H511" s="115" t="inlineStr">
        <is>
          <t>Incomum (Baixo rendimento)</t>
        </is>
      </c>
      <c r="I511" s="115" t="inlineStr">
        <is>
          <t>Ingrediente de Núcleo do Golem Fragmentado (Acessório Tier 11)</t>
        </is>
      </c>
      <c r="J511" s="115" t="n">
        <v>92</v>
      </c>
      <c r="K511" s="115" t="inlineStr">
        <is>
          <t>Fragmento do Golem Fragmentado Menor, versão menor e mais instável do Golem Fragmentado de Adamantina.</t>
        </is>
      </c>
      <c r="M511" s="115" t="inlineStr">
        <is>
          <t>🐾</t>
        </is>
      </c>
    </row>
    <row r="512">
      <c r="A512" s="115" t="n">
        <v>510</v>
      </c>
      <c r="B512" s="115" t="inlineStr">
        <is>
          <t>Tier 11</t>
        </is>
      </c>
      <c r="C512" s="115" t="inlineStr">
        <is>
          <t>Fragmento de Golem Fragmentado de Adamantina</t>
        </is>
      </c>
      <c r="D512" s="115" t="inlineStr">
        <is>
          <t>Troféu de Monstro</t>
        </is>
      </c>
      <c r="E512" s="115" t="inlineStr">
        <is>
          <t>Loot de Golem Fragmentado de Adamantina (Elite)</t>
        </is>
      </c>
      <c r="F512" s="115" t="inlineStr">
        <is>
          <t>Loot de monstro (não coletável no mundo)</t>
        </is>
      </c>
      <c r="G512" s="115" t="inlineStr">
        <is>
          <t>—</t>
        </is>
      </c>
      <c r="H512" s="115" t="inlineStr">
        <is>
          <t>Incomum (Baixo rendimento)</t>
        </is>
      </c>
      <c r="I512" s="115" t="inlineStr">
        <is>
          <t>Ingrediente de Núcleo do Golem Fragmentado (Acessório Tier 11)</t>
        </is>
      </c>
      <c r="J512" s="115" t="n">
        <v>92</v>
      </c>
      <c r="K512" s="115" t="inlineStr">
        <is>
          <t>Fragmento do Golem Fragmentado de Adamantina, golem grande demais pra Infecção controlar direito.</t>
        </is>
      </c>
      <c r="M512" s="115" t="inlineStr">
        <is>
          <t>🐾</t>
        </is>
      </c>
    </row>
    <row r="513">
      <c r="A513" s="115" t="n">
        <v>511</v>
      </c>
      <c r="B513" s="115" t="inlineStr">
        <is>
          <t>Tier 11</t>
        </is>
      </c>
      <c r="C513" s="115" t="inlineStr">
        <is>
          <t>Núcleo de Constructo Titânico Menor</t>
        </is>
      </c>
      <c r="D513" s="115" t="inlineStr">
        <is>
          <t>Troféu de Monstro</t>
        </is>
      </c>
      <c r="E513" s="115" t="inlineStr">
        <is>
          <t>Loot de Constructo Titânico Menor (Elite)</t>
        </is>
      </c>
      <c r="F513" s="115" t="inlineStr">
        <is>
          <t>Loot de monstro (não coletável no mundo)</t>
        </is>
      </c>
      <c r="G513" s="115" t="inlineStr">
        <is>
          <t>—</t>
        </is>
      </c>
      <c r="H513" s="115" t="inlineStr">
        <is>
          <t>Incomum (Baixo rendimento)</t>
        </is>
      </c>
      <c r="I513" s="115" t="inlineStr">
        <is>
          <t>Ingrediente de Núcleo do Constructo Titânico (Acessório Tier 11)</t>
        </is>
      </c>
      <c r="J513" s="115" t="n">
        <v>92</v>
      </c>
      <c r="K513" s="115" t="inlineStr">
        <is>
          <t>Núcleo do Constructo Titânico Menor, fragmento funcional do Constructo Titânico Corrompido maior.</t>
        </is>
      </c>
      <c r="M513" s="115" t="inlineStr">
        <is>
          <t>🐾</t>
        </is>
      </c>
    </row>
    <row r="514">
      <c r="A514" s="115" t="n">
        <v>512</v>
      </c>
      <c r="B514" s="115" t="inlineStr">
        <is>
          <t>Tier 11</t>
        </is>
      </c>
      <c r="C514" s="115" t="inlineStr">
        <is>
          <t>Fragmento de Sacerdote Menor da Heresia</t>
        </is>
      </c>
      <c r="D514" s="115" t="inlineStr">
        <is>
          <t>Troféu de Monstro</t>
        </is>
      </c>
      <c r="E514" s="115" t="inlineStr">
        <is>
          <t>Loot de Sacerdote Menor da Heresia (Elite)</t>
        </is>
      </c>
      <c r="F514" s="115" t="inlineStr">
        <is>
          <t>Loot de monstro (não coletável no mundo)</t>
        </is>
      </c>
      <c r="G514" s="115" t="inlineStr">
        <is>
          <t>—</t>
        </is>
      </c>
      <c r="H514" s="115" t="inlineStr">
        <is>
          <t>Incomum (Baixo rendimento)</t>
        </is>
      </c>
      <c r="I514" s="115" t="inlineStr">
        <is>
          <t>Ingrediente de Amuleto do Sacerdote da Heresia (Acessório Tier 11)</t>
        </is>
      </c>
      <c r="J514" s="115" t="n">
        <v>92</v>
      </c>
      <c r="K514" s="115" t="inlineStr">
        <is>
          <t>Fragmento do Sacerdote Menor da Heresia, discípulo direto do Heresiarca do Titã Negro.</t>
        </is>
      </c>
      <c r="M514" s="115" t="inlineStr">
        <is>
          <t>🐾</t>
        </is>
      </c>
    </row>
    <row r="515">
      <c r="A515" s="115" t="n">
        <v>513</v>
      </c>
      <c r="B515" s="115" t="inlineStr">
        <is>
          <t>Tier 11</t>
        </is>
      </c>
      <c r="C515" s="115" t="inlineStr">
        <is>
          <t>Fragmento de Cofre-Titã Armadilhado</t>
        </is>
      </c>
      <c r="D515" s="115" t="inlineStr">
        <is>
          <t>Troféu de Monstro</t>
        </is>
      </c>
      <c r="E515" s="115" t="inlineStr">
        <is>
          <t>Loot de Cofre-Titã Falso (Elite)</t>
        </is>
      </c>
      <c r="F515" s="115" t="inlineStr">
        <is>
          <t>Loot de monstro (não coletável no mundo)</t>
        </is>
      </c>
      <c r="G515" s="115" t="inlineStr">
        <is>
          <t>—</t>
        </is>
      </c>
      <c r="H515" s="115" t="inlineStr">
        <is>
          <t>Incomum (Baixo rendimento)</t>
        </is>
      </c>
      <c r="I515" s="115" t="inlineStr">
        <is>
          <t>Ingrediente de Fechadura do Cofre-Titã (Acessório Tier 11)</t>
        </is>
      </c>
      <c r="J515" s="115" t="n">
        <v>92</v>
      </c>
      <c r="K515" s="115" t="inlineStr">
        <is>
          <t>Mecanismo do cofre-armadilha disfarçado de relíquia titânica que a Heresia planta pra pegar caçadores de tesouro.</t>
        </is>
      </c>
      <c r="M515" s="115" t="inlineStr">
        <is>
          <t>🐾</t>
        </is>
      </c>
    </row>
    <row r="516">
      <c r="A516" s="115" t="n">
        <v>514</v>
      </c>
      <c r="B516" s="115" t="inlineStr">
        <is>
          <t>Tier 11</t>
        </is>
      </c>
      <c r="C516" s="115" t="inlineStr">
        <is>
          <t>Amostra Pura de Fragmento Fugidio</t>
        </is>
      </c>
      <c r="D516" s="115" t="inlineStr">
        <is>
          <t>Troféu de Monstro</t>
        </is>
      </c>
      <c r="E516" s="115" t="inlineStr">
        <is>
          <t>Loot de Fragmento Fugidio de Adamantina (Elite)</t>
        </is>
      </c>
      <c r="F516" s="115" t="inlineStr">
        <is>
          <t>Loot de monstro (não coletável no mundo)</t>
        </is>
      </c>
      <c r="G516" s="115" t="inlineStr">
        <is>
          <t>—</t>
        </is>
      </c>
      <c r="H516" s="115" t="inlineStr">
        <is>
          <t>Raro (Baixo rendimento)</t>
        </is>
      </c>
      <c r="I516" s="115" t="inlineStr">
        <is>
          <t>Ingrediente de Amuleto do Fragmento Fugidio de Adamantina (Acessório Tier 11)</t>
        </is>
      </c>
      <c r="J516" s="115" t="n">
        <v>92</v>
      </c>
      <c r="K516" s="115" t="inlineStr">
        <is>
          <t>Amostra quase pura do Fragmento Fugidio de Adamantina, raro pedaço que ainda não foi corrompido de vez.</t>
        </is>
      </c>
      <c r="M516" s="115" t="inlineStr">
        <is>
          <t>🐾</t>
        </is>
      </c>
    </row>
    <row r="517">
      <c r="A517" s="115" t="n">
        <v>515</v>
      </c>
      <c r="B517" s="115" t="inlineStr">
        <is>
          <t>Tier 11</t>
        </is>
      </c>
      <c r="C517" s="115" t="inlineStr">
        <is>
          <t>Fragmento de Sir Aldric</t>
        </is>
      </c>
      <c r="D517" s="115" t="inlineStr">
        <is>
          <t>Troféu de Monstro</t>
        </is>
      </c>
      <c r="E517" s="115" t="inlineStr">
        <is>
          <t>Loot de Sir Aldric, o Cavaleiro Que Guarda um Túmulo Vazio (Nomeado) (Elite)</t>
        </is>
      </c>
      <c r="F517" s="115" t="inlineStr">
        <is>
          <t>Loot de monstro (não coletável no mundo)</t>
        </is>
      </c>
      <c r="G517" s="115" t="inlineStr">
        <is>
          <t>—</t>
        </is>
      </c>
      <c r="H517" s="115" t="inlineStr">
        <is>
          <t>Raro (Baixo rendimento - Elite Nomeado)</t>
        </is>
      </c>
      <c r="I517" s="115" t="inlineStr">
        <is>
          <t>Ingrediente de Brasão Menor do Juramento Quebrado (Acessório Tier 11)</t>
        </is>
      </c>
      <c r="J517" s="115" t="n">
        <v>100</v>
      </c>
      <c r="K517" s="115" t="inlineStr">
        <is>
          <t>Parte física de Sir Aldric, guardada se ele for derrotado em vez de convencido — jurou proteger um túmulo vazio há anos e nunca aceitou a verdade.</t>
        </is>
      </c>
      <c r="M517" s="115" t="inlineStr">
        <is>
          <t>🐾</t>
        </is>
      </c>
    </row>
    <row r="518">
      <c r="A518" s="115" t="n">
        <v>516</v>
      </c>
      <c r="B518" s="115" t="inlineStr">
        <is>
          <t>Tier 12</t>
        </is>
      </c>
      <c r="C518" s="115" t="inlineStr">
        <is>
          <t>Escama Ferida de Wyrmling Jovem</t>
        </is>
      </c>
      <c r="D518" s="115" t="inlineStr">
        <is>
          <t>Orgânico</t>
        </is>
      </c>
      <c r="E518" s="115" t="inlineStr">
        <is>
          <t>Picos Fumegantes da Cordilheira Ígnea — dropado por monstro específico</t>
        </is>
      </c>
      <c r="F518" s="115" t="inlineStr">
        <is>
          <t>Loot de monstro (não coletável no mundo)</t>
        </is>
      </c>
      <c r="G518" s="115" t="inlineStr">
        <is>
          <t>—</t>
        </is>
      </c>
      <c r="H518" s="115" t="inlineStr">
        <is>
          <t>Comum (Médio rendimento)</t>
        </is>
      </c>
      <c r="I518" s="115" t="inlineStr">
        <is>
          <t>Ingrediente de Amuleto do Wyrmling (Acessório Tier 12)</t>
        </is>
      </c>
      <c r="K518" s="115" t="inlineStr">
        <is>
          <t>Escama do Wyrmling Ferido Jovem, filhote da mesma ninhada corrompida que ainda pode ser salvo.</t>
        </is>
      </c>
    </row>
    <row r="519">
      <c r="A519" s="115" t="n">
        <v>517</v>
      </c>
      <c r="B519" s="115" t="inlineStr">
        <is>
          <t>Tier 12</t>
        </is>
      </c>
      <c r="C519" s="115" t="inlineStr">
        <is>
          <t>Escama de Wyrmling Poupável</t>
        </is>
      </c>
      <c r="D519" s="115" t="inlineStr">
        <is>
          <t>Orgânico</t>
        </is>
      </c>
      <c r="E519" s="115" t="inlineStr">
        <is>
          <t>Picos Fumegantes da Cordilheira Ígnea — dropado por monstro específico</t>
        </is>
      </c>
      <c r="F519" s="115" t="inlineStr">
        <is>
          <t>Loot de monstro (não coletável no mundo)</t>
        </is>
      </c>
      <c r="G519" s="115" t="inlineStr">
        <is>
          <t>—</t>
        </is>
      </c>
      <c r="H519" s="115" t="inlineStr">
        <is>
          <t>Comum (Médio rendimento)</t>
        </is>
      </c>
      <c r="I519" s="115" t="inlineStr">
        <is>
          <t>Ingrediente de Amuleto do Wyrmling (Acessório Tier 12)</t>
        </is>
      </c>
      <c r="K519" s="115" t="inlineStr">
        <is>
          <t>Escama do Wyrmling Ferido que pode ser poupado, ferido demais pra atacar sem ser provocado.</t>
        </is>
      </c>
    </row>
    <row r="520">
      <c r="A520" s="115" t="n">
        <v>518</v>
      </c>
      <c r="B520" s="115" t="inlineStr">
        <is>
          <t>Tier 12</t>
        </is>
      </c>
      <c r="C520" s="115" t="inlineStr">
        <is>
          <t>Casca de Ovo Corrompido</t>
        </is>
      </c>
      <c r="D520" s="115" t="inlineStr">
        <is>
          <t>Orgânico / Material</t>
        </is>
      </c>
      <c r="E520" s="115" t="inlineStr">
        <is>
          <t>Picos Fumegantes da Cordilheira Ígnea — dropado por monstro específico</t>
        </is>
      </c>
      <c r="F520" s="115" t="inlineStr">
        <is>
          <t>Loot de monstro (não coletável no mundo)</t>
        </is>
      </c>
      <c r="G520" s="115" t="inlineStr">
        <is>
          <t>—</t>
        </is>
      </c>
      <c r="H520" s="115" t="inlineStr">
        <is>
          <t>Incomum (Médio rendimento)</t>
        </is>
      </c>
      <c r="I520" s="115" t="inlineStr">
        <is>
          <t>Ingrediente de Amuleto do Ovo Corrompido (Acessório Tier 12)</t>
        </is>
      </c>
      <c r="K520" s="115" t="inlineStr">
        <is>
          <t>Casca do Ovo de Wyrmling Corrompido, abandonado no ninhal mas ainda guardando uma vida dentro.</t>
        </is>
      </c>
    </row>
    <row r="521">
      <c r="A521" s="115" t="n">
        <v>519</v>
      </c>
      <c r="B521" s="115" t="inlineStr">
        <is>
          <t>Tier 12</t>
        </is>
      </c>
      <c r="C521" s="115" t="inlineStr">
        <is>
          <t>Escama de Wyrmling Muito Jovem</t>
        </is>
      </c>
      <c r="D521" s="115" t="inlineStr">
        <is>
          <t>Orgânico</t>
        </is>
      </c>
      <c r="E521" s="115" t="inlineStr">
        <is>
          <t>Picos Fumegantes da Cordilheira Ígnea — dropado por monstro específico</t>
        </is>
      </c>
      <c r="F521" s="115" t="inlineStr">
        <is>
          <t>Loot de monstro (não coletável no mundo)</t>
        </is>
      </c>
      <c r="G521" s="115" t="inlineStr">
        <is>
          <t>—</t>
        </is>
      </c>
      <c r="H521" s="115" t="inlineStr">
        <is>
          <t>Comum (Alto rendimento)</t>
        </is>
      </c>
      <c r="I521" s="115" t="inlineStr">
        <is>
          <t>Ingrediente de Amuleto do Wyrmling (Acessório Tier 12)</t>
        </is>
      </c>
      <c r="K521" s="115" t="inlineStr">
        <is>
          <t>Escama do Wyrmling Muito Jovem, recém-nascido da ninhada corrompida.</t>
        </is>
      </c>
    </row>
    <row r="522">
      <c r="A522" s="115" t="n">
        <v>520</v>
      </c>
      <c r="B522" s="115" t="inlineStr">
        <is>
          <t>Tier 12</t>
        </is>
      </c>
      <c r="C522" s="115" t="inlineStr">
        <is>
          <t>Arco Novo de Caçador Iniciante</t>
        </is>
      </c>
      <c r="D522" s="115" t="inlineStr">
        <is>
          <t>Orgânico / Material</t>
        </is>
      </c>
      <c r="E522" s="115" t="inlineStr">
        <is>
          <t>Picos Fumegantes da Cordilheira Ígnea — dropado por monstro específico</t>
        </is>
      </c>
      <c r="F522" s="115" t="inlineStr">
        <is>
          <t>Loot de monstro (não coletável no mundo)</t>
        </is>
      </c>
      <c r="G522" s="115" t="inlineStr">
        <is>
          <t>—</t>
        </is>
      </c>
      <c r="H522" s="115" t="inlineStr">
        <is>
          <t>Comum (Médio rendimento)</t>
        </is>
      </c>
      <c r="I522" s="115" t="inlineStr">
        <is>
          <t>Ingrediente de Arco do Caçador (Acessório Tier 12)</t>
        </is>
      </c>
      <c r="K522" s="115" t="inlineStr">
        <is>
          <t>Arco novo do Caçador Aprendiz Iniciante, o mais novo no ofício de caça a dragões.</t>
        </is>
      </c>
    </row>
    <row r="523">
      <c r="A523" s="115" t="n">
        <v>521</v>
      </c>
      <c r="B523" s="115" t="inlineStr">
        <is>
          <t>Tier 12</t>
        </is>
      </c>
      <c r="C523" s="115" t="inlineStr">
        <is>
          <t>Garra de Wyrmling Faminto</t>
        </is>
      </c>
      <c r="D523" s="115" t="inlineStr">
        <is>
          <t>Orgânico</t>
        </is>
      </c>
      <c r="E523" s="115" t="inlineStr">
        <is>
          <t>Picos Fumegantes da Cordilheira Ígnea — dropado por monstro específico</t>
        </is>
      </c>
      <c r="F523" s="115" t="inlineStr">
        <is>
          <t>Loot de monstro (não coletável no mundo)</t>
        </is>
      </c>
      <c r="G523" s="115" t="inlineStr">
        <is>
          <t>—</t>
        </is>
      </c>
      <c r="H523" s="115" t="inlineStr">
        <is>
          <t>Comum (Médio rendimento)</t>
        </is>
      </c>
      <c r="I523" s="115" t="inlineStr">
        <is>
          <t>Ingrediente de Amuleto do Wyrmling (Acessório Tier 12)</t>
        </is>
      </c>
      <c r="K523" s="115" t="inlineStr">
        <is>
          <t>Garra do Wyrmling Faminto, que nasceu fraco e luta por comida como se fosse a última chance.</t>
        </is>
      </c>
    </row>
    <row r="524">
      <c r="A524" s="115" t="n">
        <v>522</v>
      </c>
      <c r="B524" s="115" t="inlineStr">
        <is>
          <t>Tier 12</t>
        </is>
      </c>
      <c r="C524" s="115" t="inlineStr">
        <is>
          <t>Arco de Caçador Aprendiz</t>
        </is>
      </c>
      <c r="D524" s="115" t="inlineStr">
        <is>
          <t>Orgânico / Material</t>
        </is>
      </c>
      <c r="E524" s="115" t="inlineStr">
        <is>
          <t>Picos Fumegantes da Cordilheira Ígnea — dropado por monstro específico</t>
        </is>
      </c>
      <c r="F524" s="115" t="inlineStr">
        <is>
          <t>Loot de monstro (não coletável no mundo)</t>
        </is>
      </c>
      <c r="G524" s="115" t="inlineStr">
        <is>
          <t>—</t>
        </is>
      </c>
      <c r="H524" s="115" t="inlineStr">
        <is>
          <t>Comum (Médio rendimento)</t>
        </is>
      </c>
      <c r="I524" s="115" t="inlineStr">
        <is>
          <t>Ingrediente de Arco do Caçador (Acessório Tier 12)</t>
        </is>
      </c>
      <c r="K524" s="115" t="inlineStr">
        <is>
          <t>Arco do Caçador de Dragões Aprendiz, que segue o Caçador-Mestre aprendendo a caçar de verdade.</t>
        </is>
      </c>
    </row>
    <row r="525">
      <c r="A525" s="115" t="n">
        <v>523</v>
      </c>
      <c r="B525" s="115" t="inlineStr">
        <is>
          <t>Tier 12</t>
        </is>
      </c>
      <c r="C525" s="115" t="inlineStr">
        <is>
          <t>Véu Manchado de Serva Recém-Infectada</t>
        </is>
      </c>
      <c r="D525" s="115" t="inlineStr">
        <is>
          <t>Orgânico</t>
        </is>
      </c>
      <c r="E525" s="115" t="inlineStr">
        <is>
          <t>Picos Fumegantes da Cordilheira Ígnea — dropado por monstro específico</t>
        </is>
      </c>
      <c r="F525" s="115" t="inlineStr">
        <is>
          <t>Loot de monstro (não coletável no mundo)</t>
        </is>
      </c>
      <c r="G525" s="115" t="inlineStr">
        <is>
          <t>—</t>
        </is>
      </c>
      <c r="H525" s="115" t="inlineStr">
        <is>
          <t>Comum (Médio rendimento)</t>
        </is>
      </c>
      <c r="I525" s="115" t="inlineStr">
        <is>
          <t>Ingrediente de Véu da Peste (Acessório Tier 12)</t>
        </is>
      </c>
      <c r="K525" s="115" t="inlineStr">
        <is>
          <t>Véu da Serva Recém-Infectada da Peste — a infecção só se manifesta com força durante os surtos periódicos.</t>
        </is>
      </c>
    </row>
    <row r="526">
      <c r="A526" s="115" t="n">
        <v>524</v>
      </c>
      <c r="B526" s="115" t="inlineStr">
        <is>
          <t>Tier 12</t>
        </is>
      </c>
      <c r="C526" s="115" t="inlineStr">
        <is>
          <t>Frasco Menor de Peste</t>
        </is>
      </c>
      <c r="D526" s="115" t="inlineStr">
        <is>
          <t>Orgânico / Material</t>
        </is>
      </c>
      <c r="E526" s="115" t="inlineStr">
        <is>
          <t>Picos Fumegantes da Cordilheira Ígnea — dropado por monstro específico</t>
        </is>
      </c>
      <c r="F526" s="115" t="inlineStr">
        <is>
          <t>Loot de monstro (não coletável no mundo)</t>
        </is>
      </c>
      <c r="G526" s="115" t="inlineStr">
        <is>
          <t>—</t>
        </is>
      </c>
      <c r="H526" s="115" t="inlineStr">
        <is>
          <t>Incomum (Baixo rendimento)</t>
        </is>
      </c>
      <c r="I526" s="115" t="inlineStr">
        <is>
          <t>Ingrediente de Frasco da Peste Escarlate (Acessório Tier 12)</t>
        </is>
      </c>
      <c r="K526" s="115" t="inlineStr">
        <is>
          <t>Frasco menor de peste do Portador Menor da Peste, servo iniciante da Peste Escarlate.</t>
        </is>
      </c>
    </row>
    <row r="527">
      <c r="A527" s="115" t="n">
        <v>525</v>
      </c>
      <c r="B527" s="115" t="inlineStr">
        <is>
          <t>Tier 12</t>
        </is>
      </c>
      <c r="C527" s="115" t="inlineStr">
        <is>
          <t>Pena Doente de Fera Alada</t>
        </is>
      </c>
      <c r="D527" s="115" t="inlineStr">
        <is>
          <t>Orgânico</t>
        </is>
      </c>
      <c r="E527" s="115" t="inlineStr">
        <is>
          <t>Picos Fumegantes da Cordilheira Ígnea — dropado por monstro específico</t>
        </is>
      </c>
      <c r="F527" s="115" t="inlineStr">
        <is>
          <t>Loot de monstro (não coletável no mundo)</t>
        </is>
      </c>
      <c r="G527" s="115" t="inlineStr">
        <is>
          <t>—</t>
        </is>
      </c>
      <c r="H527" s="115" t="inlineStr">
        <is>
          <t>Comum (Médio rendimento)</t>
        </is>
      </c>
      <c r="I527" s="115" t="inlineStr">
        <is>
          <t>Ingrediente de Amuleto da Fera Alada (Acessório Tier 12)</t>
        </is>
      </c>
      <c r="K527" s="115" t="inlineStr">
        <is>
          <t>Pena da Fera Alada Muito Doente, variante em estágio mais avançado da doença.</t>
        </is>
      </c>
    </row>
    <row r="528">
      <c r="A528" s="115" t="n">
        <v>526</v>
      </c>
      <c r="B528" s="115" t="inlineStr">
        <is>
          <t>Tier 12</t>
        </is>
      </c>
      <c r="C528" s="115" t="inlineStr">
        <is>
          <t>Presa Jovem de Devorador de Ossos</t>
        </is>
      </c>
      <c r="D528" s="115" t="inlineStr">
        <is>
          <t>Orgânico</t>
        </is>
      </c>
      <c r="E528" s="115" t="inlineStr">
        <is>
          <t>Picos Fumegantes da Cordilheira Ígnea — dropado por monstro específico</t>
        </is>
      </c>
      <c r="F528" s="115" t="inlineStr">
        <is>
          <t>Loot de monstro (não coletável no mundo)</t>
        </is>
      </c>
      <c r="G528" s="115" t="inlineStr">
        <is>
          <t>—</t>
        </is>
      </c>
      <c r="H528" s="115" t="inlineStr">
        <is>
          <t>Comum (Médio rendimento)</t>
        </is>
      </c>
      <c r="I528" s="115" t="inlineStr">
        <is>
          <t>Ingrediente de Presa do Devorador de Ossos (Acessório Tier 12)</t>
        </is>
      </c>
      <c r="K528" s="115" t="inlineStr">
        <is>
          <t>Presa jovem do Devorador de Ossos Jovem, criatura do ossuário do Pilar de Ossos.</t>
        </is>
      </c>
    </row>
    <row r="529">
      <c r="A529" s="115" t="n">
        <v>527</v>
      </c>
      <c r="B529" s="115" t="inlineStr">
        <is>
          <t>Tier 12</t>
        </is>
      </c>
      <c r="C529" s="115" t="inlineStr">
        <is>
          <t>Segmento Jovem de Verme da Peste</t>
        </is>
      </c>
      <c r="D529" s="115" t="inlineStr">
        <is>
          <t>Orgânico / Material</t>
        </is>
      </c>
      <c r="E529" s="115" t="inlineStr">
        <is>
          <t>Picos Fumegantes da Cordilheira Ígnea — dropado por monstro específico</t>
        </is>
      </c>
      <c r="F529" s="115" t="inlineStr">
        <is>
          <t>Loot de monstro (não coletável no mundo)</t>
        </is>
      </c>
      <c r="G529" s="115" t="inlineStr">
        <is>
          <t>—</t>
        </is>
      </c>
      <c r="H529" s="115" t="inlineStr">
        <is>
          <t>Incomum (Médio rendimento)</t>
        </is>
      </c>
      <c r="I529" s="115" t="inlineStr">
        <is>
          <t>Ingrediente de Segmento do Verme da Peste (Acessório Tier 12)</t>
        </is>
      </c>
      <c r="K529" s="115" t="inlineStr">
        <is>
          <t>Segmento do Verme Jovem da Peste, parasita jovem que ainda é pequeno.</t>
        </is>
      </c>
    </row>
    <row r="530">
      <c r="A530" s="115" t="n">
        <v>528</v>
      </c>
      <c r="B530" s="115" t="inlineStr">
        <is>
          <t>Tier 12</t>
        </is>
      </c>
      <c r="C530" s="115" t="inlineStr">
        <is>
          <t>Fragmento de Guardião Muito Menor do Pilar</t>
        </is>
      </c>
      <c r="D530" s="115" t="inlineStr">
        <is>
          <t>Orgânico / Material</t>
        </is>
      </c>
      <c r="E530" s="115" t="inlineStr">
        <is>
          <t>Picos Fumegantes da Cordilheira Ígnea — dropado por monstro específico</t>
        </is>
      </c>
      <c r="F530" s="115" t="inlineStr">
        <is>
          <t>Loot de monstro (não coletável no mundo)</t>
        </is>
      </c>
      <c r="G530" s="115" t="inlineStr">
        <is>
          <t>—</t>
        </is>
      </c>
      <c r="H530" s="115" t="inlineStr">
        <is>
          <t>Comum (Médio rendimento)</t>
        </is>
      </c>
      <c r="I530" s="115" t="inlineStr">
        <is>
          <t>Ingrediente de Amuleto do Guardião do Pilar (Acessório Tier 12)</t>
        </is>
      </c>
      <c r="K530" s="115" t="inlineStr">
        <is>
          <t>Fragmento do Guardião Muito Menor do Pilar, miniatura do Guardião Menor do Pilar.</t>
        </is>
      </c>
    </row>
    <row r="531">
      <c r="A531" s="115" t="n">
        <v>529</v>
      </c>
      <c r="B531" s="115" t="inlineStr">
        <is>
          <t>Tier 12</t>
        </is>
      </c>
      <c r="C531" s="115" t="inlineStr">
        <is>
          <t>Insígnia Vendida do Caçador Corrompido</t>
        </is>
      </c>
      <c r="D531" s="115" t="inlineStr">
        <is>
          <t>Orgânico / Material</t>
        </is>
      </c>
      <c r="E531" s="115" t="inlineStr">
        <is>
          <t>Picos Fumegantes da Cordilheira Ígnea — dropado por monstro específico</t>
        </is>
      </c>
      <c r="F531" s="115" t="inlineStr">
        <is>
          <t>Loot de monstro (não coletável no mundo)</t>
        </is>
      </c>
      <c r="G531" s="115" t="inlineStr">
        <is>
          <t>—</t>
        </is>
      </c>
      <c r="H531" s="115" t="inlineStr">
        <is>
          <t>Incomum (Médio rendimento)</t>
        </is>
      </c>
      <c r="I531" s="115" t="inlineStr">
        <is>
          <t>Ingrediente de Arco do Caçador (Acessório Tier 12)</t>
        </is>
      </c>
      <c r="K531" s="115" t="inlineStr">
        <is>
          <t>Insígnia do Caçador de Dragões Corrompido, ex-caçador da Ordem que vendeu localizações de ninhos protegidos à Heresia.</t>
        </is>
      </c>
    </row>
    <row r="532">
      <c r="A532" s="115" t="n">
        <v>530</v>
      </c>
      <c r="B532" s="115" t="inlineStr">
        <is>
          <t>Tier 12</t>
        </is>
      </c>
      <c r="C532" s="115" t="inlineStr">
        <is>
          <t>Frasco de Peste</t>
        </is>
      </c>
      <c r="D532" s="115" t="inlineStr">
        <is>
          <t>Orgânico / Material</t>
        </is>
      </c>
      <c r="E532" s="115" t="inlineStr">
        <is>
          <t>Picos Fumegantes da Cordilheira Ígnea — dropado por monstro específico</t>
        </is>
      </c>
      <c r="F532" s="115" t="inlineStr">
        <is>
          <t>Loot de monstro (não coletável no mundo)</t>
        </is>
      </c>
      <c r="G532" s="115" t="inlineStr">
        <is>
          <t>—</t>
        </is>
      </c>
      <c r="H532" s="115" t="inlineStr">
        <is>
          <t>Comum (Médio rendimento)</t>
        </is>
      </c>
      <c r="I532" s="115" t="inlineStr">
        <is>
          <t>Ingrediente de Frasco da Peste Escarlate (Acessório Tier 12)</t>
        </is>
      </c>
      <c r="K532" s="115" t="inlineStr">
        <is>
          <t>Frasco de peste do Portador da Peste, que espalha a doença por onde passa.</t>
        </is>
      </c>
    </row>
    <row r="533">
      <c r="A533" s="115" t="n">
        <v>531</v>
      </c>
      <c r="B533" s="115" t="inlineStr">
        <is>
          <t>Tier 12</t>
        </is>
      </c>
      <c r="C533" s="115" t="inlineStr">
        <is>
          <t>Pena Enfraquecida de Fera Alada</t>
        </is>
      </c>
      <c r="D533" s="115" t="inlineStr">
        <is>
          <t>Orgânico</t>
        </is>
      </c>
      <c r="E533" s="115" t="inlineStr">
        <is>
          <t>Picos Fumegantes da Cordilheira Ígnea — dropado por monstro específico</t>
        </is>
      </c>
      <c r="F533" s="115" t="inlineStr">
        <is>
          <t>Loot de monstro (não coletável no mundo)</t>
        </is>
      </c>
      <c r="G533" s="115" t="inlineStr">
        <is>
          <t>—</t>
        </is>
      </c>
      <c r="H533" s="115" t="inlineStr">
        <is>
          <t>Comum (Médio rendimento)</t>
        </is>
      </c>
      <c r="I533" s="115" t="inlineStr">
        <is>
          <t>Ingrediente de Amuleto da Fera Alada (Acessório Tier 12)</t>
        </is>
      </c>
      <c r="K533" s="115" t="inlineStr">
        <is>
          <t>Pena da Fera Alada Enfraquecida, doente há mais tempo que a variante comum.</t>
        </is>
      </c>
    </row>
    <row r="534">
      <c r="A534" s="115" t="n">
        <v>532</v>
      </c>
      <c r="B534" s="115" t="inlineStr">
        <is>
          <t>Tier 12</t>
        </is>
      </c>
      <c r="C534" s="115" t="inlineStr">
        <is>
          <t>Presa de Devorador de Ossos Antigos</t>
        </is>
      </c>
      <c r="D534" s="115" t="inlineStr">
        <is>
          <t>Orgânico</t>
        </is>
      </c>
      <c r="E534" s="115" t="inlineStr">
        <is>
          <t>Picos Fumegantes da Cordilheira Ígnea — dropado por monstro específico</t>
        </is>
      </c>
      <c r="F534" s="115" t="inlineStr">
        <is>
          <t>Loot de monstro (não coletável no mundo)</t>
        </is>
      </c>
      <c r="G534" s="115" t="inlineStr">
        <is>
          <t>—</t>
        </is>
      </c>
      <c r="H534" s="115" t="inlineStr">
        <is>
          <t>Comum (Alto rendimento)</t>
        </is>
      </c>
      <c r="I534" s="115" t="inlineStr">
        <is>
          <t>Ingrediente de Presa do Devorador de Ossos (Acessório Tier 12)</t>
        </is>
      </c>
      <c r="K534" s="115" t="inlineStr">
        <is>
          <t>Presa do Devorador de Ossos Antigos, que come o que resta de dragões e caçadores igualmente.</t>
        </is>
      </c>
    </row>
    <row r="535">
      <c r="A535" s="115" t="n">
        <v>533</v>
      </c>
      <c r="B535" s="115" t="inlineStr">
        <is>
          <t>Tier 12</t>
        </is>
      </c>
      <c r="C535" s="115" t="inlineStr">
        <is>
          <t>Segmento de Verme da Peste Escarlate</t>
        </is>
      </c>
      <c r="D535" s="115" t="inlineStr">
        <is>
          <t>Orgânico / Material</t>
        </is>
      </c>
      <c r="E535" s="115" t="inlineStr">
        <is>
          <t>Picos Fumegantes da Cordilheira Ígnea — dropado por monstro específico</t>
        </is>
      </c>
      <c r="F535" s="115" t="inlineStr">
        <is>
          <t>Loot de monstro (não coletável no mundo)</t>
        </is>
      </c>
      <c r="G535" s="115" t="inlineStr">
        <is>
          <t>—</t>
        </is>
      </c>
      <c r="H535" s="115" t="inlineStr">
        <is>
          <t>Incomum (Médio rendimento)</t>
        </is>
      </c>
      <c r="I535" s="115" t="inlineStr">
        <is>
          <t>Ingrediente de Segmento do Verme da Peste (Acessório Tier 12)</t>
        </is>
      </c>
      <c r="K535" s="115" t="inlineStr">
        <is>
          <t>Segmento do Verme da Peste Escarlate, que vive dentro da carne dos servos da Peste.</t>
        </is>
      </c>
    </row>
    <row r="536">
      <c r="A536" s="115" t="n">
        <v>534</v>
      </c>
      <c r="B536" s="115" t="inlineStr">
        <is>
          <t>Tier 12</t>
        </is>
      </c>
      <c r="C536" s="115" t="inlineStr">
        <is>
          <t>Véu da Serva da Peste</t>
        </is>
      </c>
      <c r="D536" s="115" t="inlineStr">
        <is>
          <t>Orgânico / Material</t>
        </is>
      </c>
      <c r="E536" s="115" t="inlineStr">
        <is>
          <t>Picos Fumegantes da Cordilheira Ígnea — dropado por monstro específico</t>
        </is>
      </c>
      <c r="F536" s="115" t="inlineStr">
        <is>
          <t>Loot de monstro (não coletável no mundo)</t>
        </is>
      </c>
      <c r="G536" s="115" t="inlineStr">
        <is>
          <t>—</t>
        </is>
      </c>
      <c r="H536" s="115" t="inlineStr">
        <is>
          <t>Comum (Médio rendimento)</t>
        </is>
      </c>
      <c r="I536" s="115" t="inlineStr">
        <is>
          <t>Ingrediente de Véu da Peste (Acessório Tier 12)</t>
        </is>
      </c>
      <c r="K536" s="115" t="inlineStr">
        <is>
          <t>Véu da Serva da Peste Escarlate, atendente contaminada pela mesma carne apodrecendo do dragão ancião que serve.</t>
        </is>
      </c>
    </row>
    <row r="537">
      <c r="A537" s="115" t="n">
        <v>535</v>
      </c>
      <c r="B537" s="115" t="inlineStr">
        <is>
          <t>Tier 12</t>
        </is>
      </c>
      <c r="C537" s="115" t="inlineStr">
        <is>
          <t>Pena da Fera Alada Doente</t>
        </is>
      </c>
      <c r="D537" s="115" t="inlineStr">
        <is>
          <t>Orgânico</t>
        </is>
      </c>
      <c r="E537" s="115" t="inlineStr">
        <is>
          <t>Picos Fumegantes da Cordilheira Ígnea — dropado por monstro específico</t>
        </is>
      </c>
      <c r="F537" s="115" t="inlineStr">
        <is>
          <t>Loot de monstro (não coletável no mundo)</t>
        </is>
      </c>
      <c r="G537" s="115" t="inlineStr">
        <is>
          <t>—</t>
        </is>
      </c>
      <c r="H537" s="115" t="inlineStr">
        <is>
          <t>Comum (Médio rendimento)</t>
        </is>
      </c>
      <c r="I537" s="115" t="inlineStr">
        <is>
          <t>Ingrediente de Amuleto da Fera Alada (Acessório Tier 12)</t>
        </is>
      </c>
      <c r="K537" s="115" t="inlineStr">
        <is>
          <t>Pena da Fera Alada Doente, vida selvagem dos picos infectada pela pestilência do Dragão da Peste Escarlate.</t>
        </is>
      </c>
    </row>
    <row r="538">
      <c r="A538" s="115" t="n">
        <v>536</v>
      </c>
      <c r="B538" s="115" t="inlineStr">
        <is>
          <t>Tier 12</t>
        </is>
      </c>
      <c r="C538" s="115" t="inlineStr">
        <is>
          <t>Fragmento de Caçador-Mestre Ferido</t>
        </is>
      </c>
      <c r="D538" s="115" t="inlineStr">
        <is>
          <t>Troféu de Monstro</t>
        </is>
      </c>
      <c r="E538" s="115" t="inlineStr">
        <is>
          <t>Loot de Caçador-Mestre em Treinamento Ferido (Elite)</t>
        </is>
      </c>
      <c r="F538" s="115" t="inlineStr">
        <is>
          <t>Loot de monstro (não coletável no mundo)</t>
        </is>
      </c>
      <c r="G538" s="115" t="inlineStr">
        <is>
          <t>—</t>
        </is>
      </c>
      <c r="H538" s="115" t="inlineStr">
        <is>
          <t>Incomum (Baixo rendimento)</t>
        </is>
      </c>
      <c r="I538" s="115" t="inlineStr">
        <is>
          <t>Ingrediente de Amuleto do Caçador-Mestre (Acessório Tier 12)</t>
        </is>
      </c>
      <c r="J538" s="115" t="n">
        <v>108</v>
      </c>
      <c r="K538" s="115" t="inlineStr">
        <is>
          <t>Fragmento do Caçador-Mestre em Treinamento Ferido, aprendiz já debilitado em confrontos anteriores.</t>
        </is>
      </c>
      <c r="M538" s="115" t="inlineStr">
        <is>
          <t>🐾</t>
        </is>
      </c>
    </row>
    <row r="539">
      <c r="A539" s="115" t="n">
        <v>537</v>
      </c>
      <c r="B539" s="115" t="inlineStr">
        <is>
          <t>Tier 12</t>
        </is>
      </c>
      <c r="C539" s="115" t="inlineStr">
        <is>
          <t>Fragmento de Caçador-Mestre em Treinamento</t>
        </is>
      </c>
      <c r="D539" s="115" t="inlineStr">
        <is>
          <t>Troféu de Monstro</t>
        </is>
      </c>
      <c r="E539" s="115" t="inlineStr">
        <is>
          <t>Loot de Caçador-Mestre em Treinamento (Elite)</t>
        </is>
      </c>
      <c r="F539" s="115" t="inlineStr">
        <is>
          <t>Loot de monstro (não coletável no mundo)</t>
        </is>
      </c>
      <c r="G539" s="115" t="inlineStr">
        <is>
          <t>—</t>
        </is>
      </c>
      <c r="H539" s="115" t="inlineStr">
        <is>
          <t>Incomum (Baixo rendimento)</t>
        </is>
      </c>
      <c r="I539" s="115" t="inlineStr">
        <is>
          <t>Ingrediente de Amuleto do Caçador-Mestre (Acessório Tier 12)</t>
        </is>
      </c>
      <c r="J539" s="115" t="n">
        <v>108</v>
      </c>
      <c r="K539" s="115" t="inlineStr">
        <is>
          <t>Fragmento do Caçador-Mestre em Treinamento, que segue os passos do Caçador-Mestre Corrompido.</t>
        </is>
      </c>
      <c r="M539" s="115" t="inlineStr">
        <is>
          <t>🐾</t>
        </is>
      </c>
    </row>
    <row r="540">
      <c r="A540" s="115" t="n">
        <v>538</v>
      </c>
      <c r="B540" s="115" t="inlineStr">
        <is>
          <t>Tier 12</t>
        </is>
      </c>
      <c r="C540" s="115" t="inlineStr">
        <is>
          <t>Núcleo de Guardião Menor do Pilar</t>
        </is>
      </c>
      <c r="D540" s="115" t="inlineStr">
        <is>
          <t>Troféu de Monstro</t>
        </is>
      </c>
      <c r="E540" s="115" t="inlineStr">
        <is>
          <t>Loot de Guardião Menor do Pilar (Elite)</t>
        </is>
      </c>
      <c r="F540" s="115" t="inlineStr">
        <is>
          <t>Loot de monstro (não coletável no mundo)</t>
        </is>
      </c>
      <c r="G540" s="115" t="inlineStr">
        <is>
          <t>—</t>
        </is>
      </c>
      <c r="H540" s="115" t="inlineStr">
        <is>
          <t>Incomum (Baixo rendimento)</t>
        </is>
      </c>
      <c r="I540" s="115" t="inlineStr">
        <is>
          <t>Ingrediente de Amuleto do Guardião do Pilar (Acessório Tier 12)</t>
        </is>
      </c>
      <c r="J540" s="115" t="n">
        <v>108</v>
      </c>
      <c r="K540" s="115" t="inlineStr">
        <is>
          <t>Núcleo do Guardião Menor do Pilar, fragmento funcional do Guardião do Pilar de Ossos maior.</t>
        </is>
      </c>
      <c r="M540" s="115" t="inlineStr">
        <is>
          <t>🐾</t>
        </is>
      </c>
    </row>
    <row r="541">
      <c r="A541" s="115" t="n">
        <v>539</v>
      </c>
      <c r="B541" s="115" t="inlineStr">
        <is>
          <t>Tier 12</t>
        </is>
      </c>
      <c r="C541" s="115" t="inlineStr">
        <is>
          <t>Fragmento de Baú Armadilhado</t>
        </is>
      </c>
      <c r="D541" s="115" t="inlineStr">
        <is>
          <t>Troféu de Monstro</t>
        </is>
      </c>
      <c r="E541" s="115" t="inlineStr">
        <is>
          <t>Loot de Baú de Ossos Falso (Elite)</t>
        </is>
      </c>
      <c r="F541" s="115" t="inlineStr">
        <is>
          <t>Loot de monstro (não coletável no mundo)</t>
        </is>
      </c>
      <c r="G541" s="115" t="inlineStr">
        <is>
          <t>—</t>
        </is>
      </c>
      <c r="H541" s="115" t="inlineStr">
        <is>
          <t>Incomum (Baixo rendimento)</t>
        </is>
      </c>
      <c r="I541" s="115" t="inlineStr">
        <is>
          <t>Ingrediente de Fechadura do Baú de Ossos (Acessório Tier 12)</t>
        </is>
      </c>
      <c r="J541" s="115" t="n">
        <v>108</v>
      </c>
      <c r="K541" s="115" t="inlineStr">
        <is>
          <t>Mecanismo do baú-armadilha feito de ossos empilhados, que morde de volta quem tenta saquear.</t>
        </is>
      </c>
      <c r="M541" s="115" t="inlineStr">
        <is>
          <t>🐾</t>
        </is>
      </c>
    </row>
    <row r="542">
      <c r="A542" s="115" t="n">
        <v>540</v>
      </c>
      <c r="B542" s="115" t="inlineStr">
        <is>
          <t>Tier 12</t>
        </is>
      </c>
      <c r="C542" s="115" t="inlineStr">
        <is>
          <t>Escama Dourada de Wyrmling Fugidio</t>
        </is>
      </c>
      <c r="D542" s="115" t="inlineStr">
        <is>
          <t>Troféu de Monstro</t>
        </is>
      </c>
      <c r="E542" s="115" t="inlineStr">
        <is>
          <t>Loot de Wyrmling Dourado Fugidio (Elite)</t>
        </is>
      </c>
      <c r="F542" s="115" t="inlineStr">
        <is>
          <t>Loot de monstro (não coletável no mundo)</t>
        </is>
      </c>
      <c r="G542" s="115" t="inlineStr">
        <is>
          <t>—</t>
        </is>
      </c>
      <c r="H542" s="115" t="inlineStr">
        <is>
          <t>Raro (Baixo rendimento)</t>
        </is>
      </c>
      <c r="I542" s="115" t="inlineStr">
        <is>
          <t>Ingrediente de Amuleto do Wyrmling Dourado (Acessório Tier 12)</t>
        </is>
      </c>
      <c r="J542" s="115" t="n">
        <v>108</v>
      </c>
      <c r="K542" s="115" t="inlineStr">
        <is>
          <t>Escama dourada do Wyrmling Dourado Fugidio, raro entre os wyrmlings — a corrupção não apagou o brilho dele.</t>
        </is>
      </c>
      <c r="M542" s="115" t="inlineStr">
        <is>
          <t>🐾</t>
        </is>
      </c>
    </row>
    <row r="543">
      <c r="A543" s="115" t="n">
        <v>541</v>
      </c>
      <c r="B543" s="115" t="inlineStr">
        <is>
          <t>Tier 12</t>
        </is>
      </c>
      <c r="C543" s="115" t="inlineStr">
        <is>
          <t>Fragmento de Kessandra</t>
        </is>
      </c>
      <c r="D543" s="115" t="inlineStr">
        <is>
          <t>Troféu de Monstro</t>
        </is>
      </c>
      <c r="E543" s="115" t="inlineStr">
        <is>
          <t>Loot de Kessandra, a Caçadora Que Se Recusou a Trair (Nomeado) (Elite)</t>
        </is>
      </c>
      <c r="F543" s="115" t="inlineStr">
        <is>
          <t>Loot de monstro (não coletável no mundo)</t>
        </is>
      </c>
      <c r="G543" s="115" t="inlineStr">
        <is>
          <t>—</t>
        </is>
      </c>
      <c r="H543" s="115" t="inlineStr">
        <is>
          <t>Raro (Baixo rendimento - Elite Nomeado)</t>
        </is>
      </c>
      <c r="I543" s="115" t="inlineStr">
        <is>
          <t>Ingrediente de Lança Menor da Lealdade (Acessório Tier 12)</t>
        </is>
      </c>
      <c r="J543" s="115" t="n">
        <v>115</v>
      </c>
      <c r="K543" s="115" t="inlineStr">
        <is>
          <t>Parte física de Kessandra, guardada se ela for derrotada em vez de recrutada — era aprendiz do Caçador-Mestre e se recusou a trair os dragões pela recompensa da Infecção.</t>
        </is>
      </c>
      <c r="M543" s="115" t="inlineStr">
        <is>
          <t>🐾</t>
        </is>
      </c>
    </row>
    <row r="544">
      <c r="A544" s="115" t="n">
        <v>542</v>
      </c>
      <c r="B544" s="115" t="inlineStr">
        <is>
          <t>Tier 13</t>
        </is>
      </c>
      <c r="C544" s="115" t="inlineStr">
        <is>
          <t>Manto Novo de Cultista</t>
        </is>
      </c>
      <c r="D544" s="115" t="inlineStr">
        <is>
          <t>Orgânico / Material</t>
        </is>
      </c>
      <c r="E544" s="115" t="inlineStr">
        <is>
          <t>Círculo Ritualístico Daédrico — dropado por monstro específico</t>
        </is>
      </c>
      <c r="F544" s="115" t="inlineStr">
        <is>
          <t>Loot de monstro (não coletável no mundo)</t>
        </is>
      </c>
      <c r="G544" s="115" t="inlineStr">
        <is>
          <t>—</t>
        </is>
      </c>
      <c r="H544" s="115" t="inlineStr">
        <is>
          <t>Comum (Médio rendimento)</t>
        </is>
      </c>
      <c r="I544" s="115" t="inlineStr">
        <is>
          <t>Ingrediente de Manto do Cultista (Acessório Tier 13)</t>
        </is>
      </c>
      <c r="K544" s="115" t="inlineStr">
        <is>
          <t>Manto novo do Cultista Muito Novo, o membro mais recente do Círculo Daédrico.</t>
        </is>
      </c>
    </row>
    <row r="545">
      <c r="A545" s="115" t="n">
        <v>543</v>
      </c>
      <c r="B545" s="115" t="inlineStr">
        <is>
          <t>Tier 13</t>
        </is>
      </c>
      <c r="C545" s="115" t="inlineStr">
        <is>
          <t>Pena Rachada de Escriba Iniciante</t>
        </is>
      </c>
      <c r="D545" s="115" t="inlineStr">
        <is>
          <t>Orgânico / Material</t>
        </is>
      </c>
      <c r="E545" s="115" t="inlineStr">
        <is>
          <t>Círculo Ritualístico Daédrico — dropado por monstro específico</t>
        </is>
      </c>
      <c r="F545" s="115" t="inlineStr">
        <is>
          <t>Loot de monstro (não coletável no mundo)</t>
        </is>
      </c>
      <c r="G545" s="115" t="inlineStr">
        <is>
          <t>—</t>
        </is>
      </c>
      <c r="H545" s="115" t="inlineStr">
        <is>
          <t>Comum (Médio rendimento)</t>
        </is>
      </c>
      <c r="I545" s="115" t="inlineStr">
        <is>
          <t>Ingrediente de Pena do Escriba (Acessório Tier 13)</t>
        </is>
      </c>
      <c r="K545" s="115" t="inlineStr">
        <is>
          <t>Pena rachada do Escriba Iniciante, novo escriba a serviço do Arquivista.</t>
        </is>
      </c>
    </row>
    <row r="546">
      <c r="A546" s="115" t="n">
        <v>544</v>
      </c>
      <c r="B546" s="115" t="inlineStr">
        <is>
          <t>Tier 13</t>
        </is>
      </c>
      <c r="C546" s="115" t="inlineStr">
        <is>
          <t>Marca Fresca de Cultista Iniciado</t>
        </is>
      </c>
      <c r="D546" s="115" t="inlineStr">
        <is>
          <t>Orgânico / Material</t>
        </is>
      </c>
      <c r="E546" s="115" t="inlineStr">
        <is>
          <t>Círculo Ritualístico Daédrico — dropado por monstro específico</t>
        </is>
      </c>
      <c r="F546" s="115" t="inlineStr">
        <is>
          <t>Loot de monstro (não coletável no mundo)</t>
        </is>
      </c>
      <c r="G546" s="115" t="inlineStr">
        <is>
          <t>—</t>
        </is>
      </c>
      <c r="H546" s="115" t="inlineStr">
        <is>
          <t>Incomum (Baixo rendimento)</t>
        </is>
      </c>
      <c r="I546" s="115" t="inlineStr">
        <is>
          <t>Ingrediente de Manto do Cultista (Acessório Tier 13)</t>
        </is>
      </c>
      <c r="K546" s="115" t="inlineStr">
        <is>
          <t>Marca fresca do Cultista Recém-Iniciado, que entrou no Círculo há dias sem entender o que jurou.</t>
        </is>
      </c>
    </row>
    <row r="547">
      <c r="A547" s="115" t="n">
        <v>545</v>
      </c>
      <c r="B547" s="115" t="inlineStr">
        <is>
          <t>Tier 13</t>
        </is>
      </c>
      <c r="C547" s="115" t="inlineStr">
        <is>
          <t>Registro Roubado do Escriba</t>
        </is>
      </c>
      <c r="D547" s="115" t="inlineStr">
        <is>
          <t>Orgânico / Material</t>
        </is>
      </c>
      <c r="E547" s="115" t="inlineStr">
        <is>
          <t>Círculo Ritualístico Daédrico — dropado por monstro específico</t>
        </is>
      </c>
      <c r="F547" s="115" t="inlineStr">
        <is>
          <t>Loot de monstro (não coletável no mundo)</t>
        </is>
      </c>
      <c r="G547" s="115" t="inlineStr">
        <is>
          <t>—</t>
        </is>
      </c>
      <c r="H547" s="115" t="inlineStr">
        <is>
          <t>Incomum (Médio rendimento)</t>
        </is>
      </c>
      <c r="I547" s="115" t="inlineStr">
        <is>
          <t>Ingrediente de Pena do Escriba (Acessório Tier 13)</t>
        </is>
      </c>
      <c r="K547" s="115" t="inlineStr">
        <is>
          <t>Registro roubado do Escriba Renegado, que fugiu quando entendeu o que estava escrevendo pro Arquivista.</t>
        </is>
      </c>
    </row>
    <row r="548">
      <c r="A548" s="115" t="n">
        <v>546</v>
      </c>
      <c r="B548" s="115" t="inlineStr">
        <is>
          <t>Tier 13</t>
        </is>
      </c>
      <c r="C548" s="115" t="inlineStr">
        <is>
          <t>Resíduo de Horror Muito Fragmentado</t>
        </is>
      </c>
      <c r="D548" s="115" t="inlineStr">
        <is>
          <t>Orgânico / Material</t>
        </is>
      </c>
      <c r="E548" s="115" t="inlineStr">
        <is>
          <t>Círculo Ritualístico Daédrico — dropado por monstro específico</t>
        </is>
      </c>
      <c r="F548" s="115" t="inlineStr">
        <is>
          <t>Loot de monstro (não coletável no mundo)</t>
        </is>
      </c>
      <c r="G548" s="115" t="inlineStr">
        <is>
          <t>—</t>
        </is>
      </c>
      <c r="H548" s="115" t="inlineStr">
        <is>
          <t>Comum (Médio rendimento)</t>
        </is>
      </c>
      <c r="I548" s="115" t="inlineStr">
        <is>
          <t>Ingrediente de Amuleto do Horror (Acessório Tier 13)</t>
        </is>
      </c>
      <c r="K548" s="115" t="inlineStr">
        <is>
          <t>Resíduo do Horror Muito Fragmentado, pedaço mínimo de uma invocação falha.</t>
        </is>
      </c>
    </row>
    <row r="549">
      <c r="A549" s="115" t="n">
        <v>547</v>
      </c>
      <c r="B549" s="115" t="inlineStr">
        <is>
          <t>Tier 13</t>
        </is>
      </c>
      <c r="C549" s="115" t="inlineStr">
        <is>
          <t>Presa Jovem de Devorador de Sacrifícios</t>
        </is>
      </c>
      <c r="D549" s="115" t="inlineStr">
        <is>
          <t>Orgânico</t>
        </is>
      </c>
      <c r="E549" s="115" t="inlineStr">
        <is>
          <t>Círculo Ritualístico Daédrico — dropado por monstro específico</t>
        </is>
      </c>
      <c r="F549" s="115" t="inlineStr">
        <is>
          <t>Loot de monstro (não coletável no mundo)</t>
        </is>
      </c>
      <c r="G549" s="115" t="inlineStr">
        <is>
          <t>—</t>
        </is>
      </c>
      <c r="H549" s="115" t="inlineStr">
        <is>
          <t>Comum (Médio rendimento)</t>
        </is>
      </c>
      <c r="I549" s="115" t="inlineStr">
        <is>
          <t>Ingrediente de Presa do Devorador de Sacrifícios (Acessório Tier 13)</t>
        </is>
      </c>
      <c r="K549" s="115" t="inlineStr">
        <is>
          <t>Presa jovem do Devorador de Sacrifícios Jovem, que se alimenta dos restos rituais.</t>
        </is>
      </c>
    </row>
    <row r="550">
      <c r="A550" s="115" t="n">
        <v>548</v>
      </c>
      <c r="B550" s="115" t="inlineStr">
        <is>
          <t>Tier 13</t>
        </is>
      </c>
      <c r="C550" s="115" t="inlineStr">
        <is>
          <t>Fragmento Jovem do Véu</t>
        </is>
      </c>
      <c r="D550" s="115" t="inlineStr">
        <is>
          <t>Orgânico / Material</t>
        </is>
      </c>
      <c r="E550" s="115" t="inlineStr">
        <is>
          <t>Círculo Ritualístico Daédrico — dropado por monstro específico</t>
        </is>
      </c>
      <c r="F550" s="115" t="inlineStr">
        <is>
          <t>Loot de monstro (não coletável no mundo)</t>
        </is>
      </c>
      <c r="G550" s="115" t="inlineStr">
        <is>
          <t>—</t>
        </is>
      </c>
      <c r="H550" s="115" t="inlineStr">
        <is>
          <t>Incomum (Médio rendimento)</t>
        </is>
      </c>
      <c r="I550" s="115" t="inlineStr">
        <is>
          <t>Ingrediente de Fragmento do Véu (Acessório Tier 13)</t>
        </is>
      </c>
      <c r="K550" s="115" t="inlineStr">
        <is>
          <t>Fragmento do Parasita Jovem do Véu, que vive na fenda dimensional entre mundos.</t>
        </is>
      </c>
    </row>
    <row r="551">
      <c r="A551" s="115" t="n">
        <v>549</v>
      </c>
      <c r="B551" s="115" t="inlineStr">
        <is>
          <t>Tier 13</t>
        </is>
      </c>
      <c r="C551" s="115" t="inlineStr">
        <is>
          <t>Resíduo de Horror Menor</t>
        </is>
      </c>
      <c r="D551" s="115" t="inlineStr">
        <is>
          <t>Orgânico</t>
        </is>
      </c>
      <c r="E551" s="115" t="inlineStr">
        <is>
          <t>Círculo Ritualístico Daédrico — dropado por monstro específico</t>
        </is>
      </c>
      <c r="F551" s="115" t="inlineStr">
        <is>
          <t>Loot de monstro (não coletável no mundo)</t>
        </is>
      </c>
      <c r="G551" s="115" t="inlineStr">
        <is>
          <t>—</t>
        </is>
      </c>
      <c r="H551" s="115" t="inlineStr">
        <is>
          <t>Comum (Alto rendimento)</t>
        </is>
      </c>
      <c r="I551" s="115" t="inlineStr">
        <is>
          <t>Ingrediente de Amuleto do Horror (Acessório Tier 13)</t>
        </is>
      </c>
      <c r="K551" s="115" t="inlineStr">
        <is>
          <t>Resíduo do Horror Menor Invocado — cada invocação abre um pouco mais o caminho pro Portal Estelar.</t>
        </is>
      </c>
    </row>
    <row r="552">
      <c r="A552" s="115" t="n">
        <v>550</v>
      </c>
      <c r="B552" s="115" t="inlineStr">
        <is>
          <t>Tier 13</t>
        </is>
      </c>
      <c r="C552" s="115" t="inlineStr">
        <is>
          <t>Resíduo de Horror Fragmentado</t>
        </is>
      </c>
      <c r="D552" s="115" t="inlineStr">
        <is>
          <t>Orgânico / Material</t>
        </is>
      </c>
      <c r="E552" s="115" t="inlineStr">
        <is>
          <t>Círculo Ritualístico Daédrico — dropado por monstro específico</t>
        </is>
      </c>
      <c r="F552" s="115" t="inlineStr">
        <is>
          <t>Loot de monstro (não coletável no mundo)</t>
        </is>
      </c>
      <c r="G552" s="115" t="inlineStr">
        <is>
          <t>—</t>
        </is>
      </c>
      <c r="H552" s="115" t="inlineStr">
        <is>
          <t>Comum (Médio rendimento)</t>
        </is>
      </c>
      <c r="I552" s="115" t="inlineStr">
        <is>
          <t>Ingrediente de Amuleto do Horror (Acessório Tier 13)</t>
        </is>
      </c>
      <c r="K552" s="115" t="inlineStr">
        <is>
          <t>Resíduo do Horror Fragmentado, invocação incompleta que só trouxe um pedaço do que deveria vir.</t>
        </is>
      </c>
    </row>
    <row r="553">
      <c r="A553" s="115" t="n">
        <v>551</v>
      </c>
      <c r="B553" s="115" t="inlineStr">
        <is>
          <t>Tier 13</t>
        </is>
      </c>
      <c r="C553" s="115" t="inlineStr">
        <is>
          <t>Presa de Devorador de Sacrifícios</t>
        </is>
      </c>
      <c r="D553" s="115" t="inlineStr">
        <is>
          <t>Orgânico</t>
        </is>
      </c>
      <c r="E553" s="115" t="inlineStr">
        <is>
          <t>Círculo Ritualístico Daédrico — dropado por monstro específico</t>
        </is>
      </c>
      <c r="F553" s="115" t="inlineStr">
        <is>
          <t>Loot de monstro (não coletável no mundo)</t>
        </is>
      </c>
      <c r="G553" s="115" t="inlineStr">
        <is>
          <t>—</t>
        </is>
      </c>
      <c r="H553" s="115" t="inlineStr">
        <is>
          <t>Comum (Alto rendimento)</t>
        </is>
      </c>
      <c r="I553" s="115" t="inlineStr">
        <is>
          <t>Ingrediente de Presa do Devorador de Sacrifícios (Acessório Tier 13)</t>
        </is>
      </c>
      <c r="K553" s="115" t="inlineStr">
        <is>
          <t>Presa do Devorador de Sacrifícios, que vive do que sobra dos rituais do Círculo.</t>
        </is>
      </c>
    </row>
    <row r="554">
      <c r="A554" s="115" t="n">
        <v>552</v>
      </c>
      <c r="B554" s="115" t="inlineStr">
        <is>
          <t>Tier 13</t>
        </is>
      </c>
      <c r="C554" s="115" t="inlineStr">
        <is>
          <t>Fragmento do Véu</t>
        </is>
      </c>
      <c r="D554" s="115" t="inlineStr">
        <is>
          <t>Orgânico / Material</t>
        </is>
      </c>
      <c r="E554" s="115" t="inlineStr">
        <is>
          <t>Círculo Ritualístico Daédrico — dropado por monstro específico</t>
        </is>
      </c>
      <c r="F554" s="115" t="inlineStr">
        <is>
          <t>Loot de monstro (não coletável no mundo)</t>
        </is>
      </c>
      <c r="G554" s="115" t="inlineStr">
        <is>
          <t>—</t>
        </is>
      </c>
      <c r="H554" s="115" t="inlineStr">
        <is>
          <t>Incomum (Médio rendimento)</t>
        </is>
      </c>
      <c r="I554" s="115" t="inlineStr">
        <is>
          <t>Ingrediente de Fragmento do Véu (Acessório Tier 13)</t>
        </is>
      </c>
      <c r="K554" s="115" t="inlineStr">
        <is>
          <t>Fragmento do Parasita do Véu, que vive na fenda que o Horror Sem Rosto abre.</t>
        </is>
      </c>
    </row>
    <row r="555">
      <c r="A555" s="115" t="n">
        <v>553</v>
      </c>
      <c r="B555" s="115" t="inlineStr">
        <is>
          <t>Tier 13</t>
        </is>
      </c>
      <c r="C555" s="115" t="inlineStr">
        <is>
          <t>Resíduo de Sombra Sem Rosto Muito Menor</t>
        </is>
      </c>
      <c r="D555" s="115" t="inlineStr">
        <is>
          <t>Orgânico / Material</t>
        </is>
      </c>
      <c r="E555" s="115" t="inlineStr">
        <is>
          <t>Círculo Ritualístico Daédrico — dropado por monstro específico</t>
        </is>
      </c>
      <c r="F555" s="115" t="inlineStr">
        <is>
          <t>Loot de monstro (não coletável no mundo)</t>
        </is>
      </c>
      <c r="G555" s="115" t="inlineStr">
        <is>
          <t>—</t>
        </is>
      </c>
      <c r="H555" s="115" t="inlineStr">
        <is>
          <t>Incomum (Baixo rendimento)</t>
        </is>
      </c>
      <c r="I555" s="115" t="inlineStr">
        <is>
          <t>Ingrediente de Amuleto da Sombra Sem Rosto (Acessório Tier 13)</t>
        </is>
      </c>
      <c r="K555" s="115" t="inlineStr">
        <is>
          <t>Resíduo da Sombra Sem Rosto Muito Menor, pedaço mínimo do Horror maior.</t>
        </is>
      </c>
    </row>
    <row r="556">
      <c r="A556" s="115" t="n">
        <v>554</v>
      </c>
      <c r="B556" s="115" t="inlineStr">
        <is>
          <t>Tier 13</t>
        </is>
      </c>
      <c r="C556" s="115" t="inlineStr">
        <is>
          <t>Amuleto do Aprendiz Menor</t>
        </is>
      </c>
      <c r="D556" s="115" t="inlineStr">
        <is>
          <t>Orgânico / Material</t>
        </is>
      </c>
      <c r="E556" s="115" t="inlineStr">
        <is>
          <t>Círculo Ritualístico Daédrico — dropado por monstro específico</t>
        </is>
      </c>
      <c r="F556" s="115" t="inlineStr">
        <is>
          <t>Loot de monstro (não coletável no mundo)</t>
        </is>
      </c>
      <c r="G556" s="115" t="inlineStr">
        <is>
          <t>—</t>
        </is>
      </c>
      <c r="H556" s="115" t="inlineStr">
        <is>
          <t>Incomum (Baixo rendimento)</t>
        </is>
      </c>
      <c r="I556" s="115" t="inlineStr">
        <is>
          <t>Ingrediente de Amuleto do Aprendiz (Acessório Tier 13)</t>
        </is>
      </c>
      <c r="K556" s="115" t="inlineStr">
        <is>
          <t>Amuleto do Aprendiz Menor do Sacerdote, iniciante absoluto nos rituais do Pacto.</t>
        </is>
      </c>
    </row>
    <row r="557">
      <c r="A557" s="115" t="n">
        <v>555</v>
      </c>
      <c r="B557" s="115" t="inlineStr">
        <is>
          <t>Tier 13</t>
        </is>
      </c>
      <c r="C557" s="115" t="inlineStr">
        <is>
          <t>Fragmento de Guardiã Muito Menor</t>
        </is>
      </c>
      <c r="D557" s="115" t="inlineStr">
        <is>
          <t>Orgânico / Material</t>
        </is>
      </c>
      <c r="E557" s="115" t="inlineStr">
        <is>
          <t>Círculo Ritualístico Daédrico — dropado por monstro específico</t>
        </is>
      </c>
      <c r="F557" s="115" t="inlineStr">
        <is>
          <t>Loot de monstro (não coletável no mundo)</t>
        </is>
      </c>
      <c r="G557" s="115" t="inlineStr">
        <is>
          <t>—</t>
        </is>
      </c>
      <c r="H557" s="115" t="inlineStr">
        <is>
          <t>Comum (Médio rendimento)</t>
        </is>
      </c>
      <c r="I557" s="115" t="inlineStr">
        <is>
          <t>Ingrediente de Amuleto da Guardiã dos Altares (Acessório Tier 13)</t>
        </is>
      </c>
      <c r="K557" s="115" t="inlineStr">
        <is>
          <t>Fragmento da Guardiã Muito Menor dos Altares, miniatura da Guardiã Menor.</t>
        </is>
      </c>
    </row>
    <row r="558">
      <c r="A558" s="115" t="n">
        <v>556</v>
      </c>
      <c r="B558" s="115" t="inlineStr">
        <is>
          <t>Tier 13</t>
        </is>
      </c>
      <c r="C558" s="115" t="inlineStr">
        <is>
          <t>Resíduo de Sombra Sem Rosto Menor</t>
        </is>
      </c>
      <c r="D558" s="115" t="inlineStr">
        <is>
          <t>Orgânico / Material</t>
        </is>
      </c>
      <c r="E558" s="115" t="inlineStr">
        <is>
          <t>Círculo Ritualístico Daédrico — dropado por monstro específico</t>
        </is>
      </c>
      <c r="F558" s="115" t="inlineStr">
        <is>
          <t>Loot de monstro (não coletável no mundo)</t>
        </is>
      </c>
      <c r="G558" s="115" t="inlineStr">
        <is>
          <t>—</t>
        </is>
      </c>
      <c r="H558" s="115" t="inlineStr">
        <is>
          <t>Incomum (Médio rendimento)</t>
        </is>
      </c>
      <c r="I558" s="115" t="inlineStr">
        <is>
          <t>Ingrediente de Amuleto da Sombra Sem Rosto (Acessório Tier 13)</t>
        </is>
      </c>
      <c r="K558" s="115" t="inlineStr">
        <is>
          <t>Resíduo da Sombra Sem Rosto Menor, fragmento do Horror Sem Rosto do Abismo ainda se formando.</t>
        </is>
      </c>
    </row>
    <row r="559">
      <c r="A559" s="115" t="n">
        <v>557</v>
      </c>
      <c r="B559" s="115" t="inlineStr">
        <is>
          <t>Tier 13</t>
        </is>
      </c>
      <c r="C559" s="115" t="inlineStr">
        <is>
          <t>Amuleto do Aprendiz do Pacto</t>
        </is>
      </c>
      <c r="D559" s="115" t="inlineStr">
        <is>
          <t>Orgânico / Material</t>
        </is>
      </c>
      <c r="E559" s="115" t="inlineStr">
        <is>
          <t>Círculo Ritualístico Daédrico — dropado por monstro específico</t>
        </is>
      </c>
      <c r="F559" s="115" t="inlineStr">
        <is>
          <t>Loot de monstro (não coletável no mundo)</t>
        </is>
      </c>
      <c r="G559" s="115" t="inlineStr">
        <is>
          <t>—</t>
        </is>
      </c>
      <c r="H559" s="115" t="inlineStr">
        <is>
          <t>Incomum (Médio rendimento)</t>
        </is>
      </c>
      <c r="I559" s="115" t="inlineStr">
        <is>
          <t>Ingrediente de Amuleto do Aprendiz (Acessório Tier 13)</t>
        </is>
      </c>
      <c r="K559" s="115" t="inlineStr">
        <is>
          <t>Amuleto do Aprendiz do Sacerdote do Pacto, que aprende os rituais ainda longe do poder do Sacerdote.</t>
        </is>
      </c>
    </row>
    <row r="560">
      <c r="A560" s="115" t="n">
        <v>558</v>
      </c>
      <c r="B560" s="115" t="inlineStr">
        <is>
          <t>Tier 13</t>
        </is>
      </c>
      <c r="C560" s="115" t="inlineStr">
        <is>
          <t>Eco Condicional do Sussurrante</t>
        </is>
      </c>
      <c r="D560" s="115" t="inlineStr">
        <is>
          <t>Orgânico / Material</t>
        </is>
      </c>
      <c r="E560" s="115" t="inlineStr">
        <is>
          <t>Círculo Ritualístico Daédrico — dropado por monstro específico</t>
        </is>
      </c>
      <c r="F560" s="115" t="inlineStr">
        <is>
          <t>Loot de monstro (não coletável no mundo)</t>
        </is>
      </c>
      <c r="G560" s="115" t="inlineStr">
        <is>
          <t>—</t>
        </is>
      </c>
      <c r="H560" s="115" t="inlineStr">
        <is>
          <t>Raro (Baixo rendimento)</t>
        </is>
      </c>
      <c r="I560" s="115" t="inlineStr">
        <is>
          <t>Ingrediente de Eco do Sussurrante (Acessório Tier 13)</t>
        </is>
      </c>
      <c r="K560" s="115" t="inlineStr">
        <is>
          <t>Eco do Sussurrante Que Só Se Manifesta em Ritual, que só ganha forma quando o Círculo completa um ritual inteiro.</t>
        </is>
      </c>
    </row>
    <row r="561">
      <c r="A561" s="115" t="n">
        <v>559</v>
      </c>
      <c r="B561" s="115" t="inlineStr">
        <is>
          <t>Tier 13</t>
        </is>
      </c>
      <c r="C561" s="115" t="inlineStr">
        <is>
          <t>Eco do Terceiro Sussurrante</t>
        </is>
      </c>
      <c r="D561" s="115" t="inlineStr">
        <is>
          <t>Orgânico / Material</t>
        </is>
      </c>
      <c r="E561" s="115" t="inlineStr">
        <is>
          <t>Círculo Ritualístico Daédrico — dropado por monstro específico</t>
        </is>
      </c>
      <c r="F561" s="115" t="inlineStr">
        <is>
          <t>Loot de monstro (não coletável no mundo)</t>
        </is>
      </c>
      <c r="G561" s="115" t="inlineStr">
        <is>
          <t>—</t>
        </is>
      </c>
      <c r="H561" s="115" t="inlineStr">
        <is>
          <t>Incomum (Médio rendimento)</t>
        </is>
      </c>
      <c r="I561" s="115" t="inlineStr">
        <is>
          <t>Ingrediente de Eco do Sussurrante (Acessório Tier 13)</t>
        </is>
      </c>
      <c r="K561" s="115" t="inlineStr">
        <is>
          <t>Eco do Terceiro Sussurrante, fragmento vocal ainda mais atrasado que o Segundo.</t>
        </is>
      </c>
    </row>
    <row r="562">
      <c r="A562" s="115" t="n">
        <v>560</v>
      </c>
      <c r="B562" s="115" t="inlineStr">
        <is>
          <t>Tier 13</t>
        </is>
      </c>
      <c r="C562" s="115" t="inlineStr">
        <is>
          <t>Eco do Segundo Sussurrante</t>
        </is>
      </c>
      <c r="D562" s="115" t="inlineStr">
        <is>
          <t>Orgânico / Material</t>
        </is>
      </c>
      <c r="E562" s="115" t="inlineStr">
        <is>
          <t>Círculo Ritualístico Daédrico — dropado por monstro específico</t>
        </is>
      </c>
      <c r="F562" s="115" t="inlineStr">
        <is>
          <t>Loot de monstro (não coletável no mundo)</t>
        </is>
      </c>
      <c r="G562" s="115" t="inlineStr">
        <is>
          <t>—</t>
        </is>
      </c>
      <c r="H562" s="115" t="inlineStr">
        <is>
          <t>Incomum (Médio rendimento)</t>
        </is>
      </c>
      <c r="I562" s="115" t="inlineStr">
        <is>
          <t>Ingrediente de Eco do Sussurrante (Acessório Tier 13)</t>
        </is>
      </c>
      <c r="K562" s="115" t="inlineStr">
        <is>
          <t>Eco do Segundo Sussurrante, que repete o que o Sussurrante do Círculo já disse, um instante atrasado.</t>
        </is>
      </c>
    </row>
    <row r="563">
      <c r="A563" s="115" t="n">
        <v>561</v>
      </c>
      <c r="B563" s="115" t="inlineStr">
        <is>
          <t>Tier 13</t>
        </is>
      </c>
      <c r="C563" s="115" t="inlineStr">
        <is>
          <t>Manto de Cultista Daédrico</t>
        </is>
      </c>
      <c r="D563" s="115" t="inlineStr">
        <is>
          <t>Orgânico / Material</t>
        </is>
      </c>
      <c r="E563" s="115" t="inlineStr">
        <is>
          <t>Círculo Ritualístico Daédrico — dropado por monstro específico</t>
        </is>
      </c>
      <c r="F563" s="115" t="inlineStr">
        <is>
          <t>Loot de monstro (não coletável no mundo)</t>
        </is>
      </c>
      <c r="G563" s="115" t="inlineStr">
        <is>
          <t>—</t>
        </is>
      </c>
      <c r="H563" s="115" t="inlineStr">
        <is>
          <t>Comum (Médio rendimento)</t>
        </is>
      </c>
      <c r="I563" s="115" t="inlineStr">
        <is>
          <t>Ingrediente de Manto do Cultista (Acessório Tier 13)</t>
        </is>
      </c>
      <c r="K563" s="115" t="inlineStr">
        <is>
          <t>Manto do Cultista Daédrico, devoto que crê que o ciclo de dor acaba quando a Mão fechar o punho sobre o mundo.</t>
        </is>
      </c>
    </row>
    <row r="564">
      <c r="A564" s="115" t="n">
        <v>562</v>
      </c>
      <c r="B564" s="115" t="inlineStr">
        <is>
          <t>Tier 13</t>
        </is>
      </c>
      <c r="C564" s="115" t="inlineStr">
        <is>
          <t>Resíduo de Horror Sem Rosto</t>
        </is>
      </c>
      <c r="D564" s="115" t="inlineStr">
        <is>
          <t>Orgânico</t>
        </is>
      </c>
      <c r="E564" s="115" t="inlineStr">
        <is>
          <t>Círculo Ritualístico Daédrico — dropado por monstro específico</t>
        </is>
      </c>
      <c r="F564" s="115" t="inlineStr">
        <is>
          <t>Loot de monstro (não coletável no mundo)</t>
        </is>
      </c>
      <c r="G564" s="115" t="inlineStr">
        <is>
          <t>—</t>
        </is>
      </c>
      <c r="H564" s="115" t="inlineStr">
        <is>
          <t>Comum (Alto rendimento)</t>
        </is>
      </c>
      <c r="I564" s="115" t="inlineStr">
        <is>
          <t>Ingrediente de Amuleto do Horror (Acessório Tier 13)</t>
        </is>
      </c>
      <c r="K564" s="115" t="inlineStr">
        <is>
          <t>Resíduo do Horror Sem Rosto do Abismo, entidade sem forma fixa que distorce a visão de quem a foca.</t>
        </is>
      </c>
    </row>
    <row r="565">
      <c r="A565" s="115" t="n">
        <v>563</v>
      </c>
      <c r="B565" s="115" t="inlineStr">
        <is>
          <t>Tier 13</t>
        </is>
      </c>
      <c r="C565" s="115" t="inlineStr">
        <is>
          <t>Eco do Sussurrante do Círculo</t>
        </is>
      </c>
      <c r="D565" s="115" t="inlineStr">
        <is>
          <t>Orgânico</t>
        </is>
      </c>
      <c r="E565" s="115" t="inlineStr">
        <is>
          <t>Círculo Ritualístico Daédrico — dropado por monstro específico</t>
        </is>
      </c>
      <c r="F565" s="115" t="inlineStr">
        <is>
          <t>Loot de monstro (não coletável no mundo)</t>
        </is>
      </c>
      <c r="G565" s="115" t="inlineStr">
        <is>
          <t>—</t>
        </is>
      </c>
      <c r="H565" s="115" t="inlineStr">
        <is>
          <t>Incomum (Médio rendimento)</t>
        </is>
      </c>
      <c r="I565" s="115" t="inlineStr">
        <is>
          <t>Ingrediente de Eco do Sussurrante (Acessório Tier 13)</t>
        </is>
      </c>
      <c r="K565" s="115" t="inlineStr">
        <is>
          <t>Eco do Sussurrante do Círculo, nascido das oferendas de sangue derramadas nos altares.</t>
        </is>
      </c>
    </row>
    <row r="566">
      <c r="A566" s="115" t="n">
        <v>564</v>
      </c>
      <c r="B566" s="115" t="inlineStr">
        <is>
          <t>Tier 13</t>
        </is>
      </c>
      <c r="C566" s="115" t="inlineStr">
        <is>
          <t>Fragmento de Altar Armadilhado</t>
        </is>
      </c>
      <c r="D566" s="115" t="inlineStr">
        <is>
          <t>Troféu de Monstro</t>
        </is>
      </c>
      <c r="E566" s="115" t="inlineStr">
        <is>
          <t>Loot de Altar Falso do Sacrifício (Elite)</t>
        </is>
      </c>
      <c r="F566" s="115" t="inlineStr">
        <is>
          <t>Loot de monstro (não coletável no mundo)</t>
        </is>
      </c>
      <c r="G566" s="115" t="inlineStr">
        <is>
          <t>—</t>
        </is>
      </c>
      <c r="H566" s="115" t="inlineStr">
        <is>
          <t>Incomum (Baixo rendimento)</t>
        </is>
      </c>
      <c r="I566" s="115" t="inlineStr">
        <is>
          <t>Ingrediente de Fechadura do Altar Falso (Acessório Tier 13)</t>
        </is>
      </c>
      <c r="J566" s="115" t="n">
        <v>130</v>
      </c>
      <c r="K566" s="115" t="inlineStr">
        <is>
          <t>Mecanismo do altar-armadilha que o Círculo planta pra pegar intrusos que tentam roubar relíquias.</t>
        </is>
      </c>
      <c r="M566" s="115" t="inlineStr">
        <is>
          <t>🐾</t>
        </is>
      </c>
    </row>
    <row r="567">
      <c r="A567" s="115" t="n">
        <v>565</v>
      </c>
      <c r="B567" s="115" t="inlineStr">
        <is>
          <t>Tier 13</t>
        </is>
      </c>
      <c r="C567" s="115" t="inlineStr">
        <is>
          <t>Resíduo Instável do Horror Fugidio</t>
        </is>
      </c>
      <c r="D567" s="115" t="inlineStr">
        <is>
          <t>Troféu de Monstro</t>
        </is>
      </c>
      <c r="E567" s="115" t="inlineStr">
        <is>
          <t>Loot de Horror Fugidio do Vazio (Elite)</t>
        </is>
      </c>
      <c r="F567" s="115" t="inlineStr">
        <is>
          <t>Loot de monstro (não coletável no mundo)</t>
        </is>
      </c>
      <c r="G567" s="115" t="inlineStr">
        <is>
          <t>—</t>
        </is>
      </c>
      <c r="H567" s="115" t="inlineStr">
        <is>
          <t>Raro (Baixo rendimento)</t>
        </is>
      </c>
      <c r="I567" s="115" t="inlineStr">
        <is>
          <t>Ingrediente de Amuleto do Horror Fugidio (Acessório Tier 13)</t>
        </is>
      </c>
      <c r="J567" s="115" t="n">
        <v>130</v>
      </c>
      <c r="K567" s="115" t="inlineStr">
        <is>
          <t>Resíduo instável do Horror Fugidio do Vazio, fragmento de invocação que tenta voltar pro próprio plano antes de ser destruído.</t>
        </is>
      </c>
      <c r="M567" s="115" t="inlineStr">
        <is>
          <t>🐾</t>
        </is>
      </c>
    </row>
    <row r="568">
      <c r="A568" s="115" t="n">
        <v>566</v>
      </c>
      <c r="B568" s="115" t="inlineStr">
        <is>
          <t>Tier 13</t>
        </is>
      </c>
      <c r="C568" s="115" t="inlineStr">
        <is>
          <t>Núcleo de Guardiã Menor dos Altares</t>
        </is>
      </c>
      <c r="D568" s="115" t="inlineStr">
        <is>
          <t>Troféu de Monstro</t>
        </is>
      </c>
      <c r="E568" s="115" t="inlineStr">
        <is>
          <t>Loot de Guardiã Menor dos Altares (Elite)</t>
        </is>
      </c>
      <c r="F568" s="115" t="inlineStr">
        <is>
          <t>Loot de monstro (não coletável no mundo)</t>
        </is>
      </c>
      <c r="G568" s="115" t="inlineStr">
        <is>
          <t>—</t>
        </is>
      </c>
      <c r="H568" s="115" t="inlineStr">
        <is>
          <t>Incomum (Baixo rendimento)</t>
        </is>
      </c>
      <c r="I568" s="115" t="inlineStr">
        <is>
          <t>Ingrediente de Amuleto da Guardiã dos Altares (Acessório Tier 13)</t>
        </is>
      </c>
      <c r="J568" s="115" t="n">
        <v>130</v>
      </c>
      <c r="K568" s="115" t="inlineStr">
        <is>
          <t>Núcleo da Guardiã Menor dos Altares, fragmento funcional da Guardiã dos Altares de Sangue maior.</t>
        </is>
      </c>
      <c r="M568" s="115" t="inlineStr">
        <is>
          <t>🐾</t>
        </is>
      </c>
    </row>
    <row r="569">
      <c r="A569" s="115" t="n">
        <v>567</v>
      </c>
      <c r="B569" s="115" t="inlineStr">
        <is>
          <t>Tier 13</t>
        </is>
      </c>
      <c r="C569" s="115" t="inlineStr">
        <is>
          <t>Fragmento de Sacerdote do Sangue Final Ferido</t>
        </is>
      </c>
      <c r="D569" s="115" t="inlineStr">
        <is>
          <t>Troféu de Monstro</t>
        </is>
      </c>
      <c r="E569" s="115" t="inlineStr">
        <is>
          <t>Loot de Sacerdote do Sangue Final Ferido (Elite)</t>
        </is>
      </c>
      <c r="F569" s="115" t="inlineStr">
        <is>
          <t>Loot de monstro (não coletável no mundo)</t>
        </is>
      </c>
      <c r="G569" s="115" t="inlineStr">
        <is>
          <t>—</t>
        </is>
      </c>
      <c r="H569" s="115" t="inlineStr">
        <is>
          <t>Incomum (Baixo rendimento)</t>
        </is>
      </c>
      <c r="I569" s="115" t="inlineStr">
        <is>
          <t>Ingrediente de Relicário Menor do Sangue Final (Acessório Tier 13)</t>
        </is>
      </c>
      <c r="J569" s="115" t="n">
        <v>130</v>
      </c>
      <c r="K569" s="115" t="inlineStr">
        <is>
          <t>Fragmento do Sacerdote do Sangue Final Ferido, debilitado por excesso de rituais anteriores.</t>
        </is>
      </c>
      <c r="M569" s="115" t="inlineStr">
        <is>
          <t>🐾</t>
        </is>
      </c>
    </row>
    <row r="570">
      <c r="A570" s="115" t="n">
        <v>568</v>
      </c>
      <c r="B570" s="115" t="inlineStr">
        <is>
          <t>Tier 13</t>
        </is>
      </c>
      <c r="C570" s="115" t="inlineStr">
        <is>
          <t>Fragmento de Irmã Coral</t>
        </is>
      </c>
      <c r="D570" s="115" t="inlineStr">
        <is>
          <t>Troféu de Monstro</t>
        </is>
      </c>
      <c r="E570" s="115" t="inlineStr">
        <is>
          <t>Loot de Irmã Coral, a Que Quebrou o Círculo (Nomeado) (Elite)</t>
        </is>
      </c>
      <c r="F570" s="115" t="inlineStr">
        <is>
          <t>Loot de monstro (não coletável no mundo)</t>
        </is>
      </c>
      <c r="G570" s="115" t="inlineStr">
        <is>
          <t>—</t>
        </is>
      </c>
      <c r="H570" s="115" t="inlineStr">
        <is>
          <t>Raro (Baixo rendimento - Elite Nomeado)</t>
        </is>
      </c>
      <c r="I570" s="115" t="inlineStr">
        <is>
          <t>Ingrediente de Punhal Menor do Círculo Quebrado (Acessório Tier 13)</t>
        </is>
      </c>
      <c r="J570" s="115" t="n">
        <v>140</v>
      </c>
      <c r="K570" s="115" t="inlineStr">
        <is>
          <t>Parte física de Irmã Coral, guardada se ela for derrotada em vez de poupada — era Sacerdotisa do Pacto e se recusou a completar o último sacrifício exigido.</t>
        </is>
      </c>
      <c r="M570" s="115" t="inlineStr">
        <is>
          <t>🐾</t>
        </is>
      </c>
    </row>
    <row r="571">
      <c r="A571" s="115" t="n">
        <v>569</v>
      </c>
      <c r="B571" s="115" t="inlineStr">
        <is>
          <t>Tier 14</t>
        </is>
      </c>
      <c r="C571" s="115" t="inlineStr">
        <is>
          <t>Diário Mudo da Testemunha</t>
        </is>
      </c>
      <c r="D571" s="115" t="inlineStr">
        <is>
          <t>Orgânico / Material</t>
        </is>
      </c>
      <c r="E571" s="115" t="inlineStr">
        <is>
          <t>Além do Portal Estelar — dropado por monstro específico</t>
        </is>
      </c>
      <c r="F571" s="115" t="inlineStr">
        <is>
          <t>Loot de monstro (não coletável no mundo)</t>
        </is>
      </c>
      <c r="G571" s="115" t="inlineStr">
        <is>
          <t>—</t>
        </is>
      </c>
      <c r="H571" s="115" t="inlineStr">
        <is>
          <t>Raro (Baixo rendimento)</t>
        </is>
      </c>
      <c r="I571" s="115" t="inlineStr">
        <is>
          <t>Ingrediente de Diário da Testemunha (Acessório Tier 14)</t>
        </is>
      </c>
      <c r="K571" s="115" t="inlineStr">
        <is>
          <t>Diário da Testemunha Silenciosa do Fim, uma das primeiras a ver o início de tudo e nunca mais falar.</t>
        </is>
      </c>
    </row>
    <row r="572">
      <c r="A572" s="115" t="n">
        <v>570</v>
      </c>
      <c r="B572" s="115" t="inlineStr">
        <is>
          <t>Tier 14</t>
        </is>
      </c>
      <c r="C572" s="115" t="inlineStr">
        <is>
          <t>Poeira de Fragmento Muito Instável</t>
        </is>
      </c>
      <c r="D572" s="115" t="inlineStr">
        <is>
          <t>Orgânico / Material</t>
        </is>
      </c>
      <c r="E572" s="115" t="inlineStr">
        <is>
          <t>Além do Portal Estelar — dropado por monstro específico</t>
        </is>
      </c>
      <c r="F572" s="115" t="inlineStr">
        <is>
          <t>Loot de monstro (não coletável no mundo)</t>
        </is>
      </c>
      <c r="G572" s="115" t="inlineStr">
        <is>
          <t>—</t>
        </is>
      </c>
      <c r="H572" s="115" t="inlineStr">
        <is>
          <t>Comum (Médio rendimento)</t>
        </is>
      </c>
      <c r="I572" s="115" t="inlineStr">
        <is>
          <t>Ingrediente de Amuleto do Fragmento Estelar (Acessório Tier 14)</t>
        </is>
      </c>
      <c r="K572" s="115" t="inlineStr">
        <is>
          <t>Poeira do Fragmento Estelar Muito Instável, mal se sustenta em forma própria.</t>
        </is>
      </c>
    </row>
    <row r="573">
      <c r="A573" s="115" t="n">
        <v>571</v>
      </c>
      <c r="B573" s="115" t="inlineStr">
        <is>
          <t>Tier 14</t>
        </is>
      </c>
      <c r="C573" s="115" t="inlineStr">
        <is>
          <t>Marca do Despertar Recente</t>
        </is>
      </c>
      <c r="D573" s="115" t="inlineStr">
        <is>
          <t>Orgânico / Material</t>
        </is>
      </c>
      <c r="E573" s="115" t="inlineStr">
        <is>
          <t>Além do Portal Estelar — dropado por monstro específico</t>
        </is>
      </c>
      <c r="F573" s="115" t="inlineStr">
        <is>
          <t>Loot de monstro (não coletável no mundo)</t>
        </is>
      </c>
      <c r="G573" s="115" t="inlineStr">
        <is>
          <t>—</t>
        </is>
      </c>
      <c r="H573" s="115" t="inlineStr">
        <is>
          <t>Incomum (Baixo rendimento)</t>
        </is>
      </c>
      <c r="I573" s="115" t="inlineStr">
        <is>
          <t>Ingrediente de Manto do Zelote Final (Acessório Tier 14)</t>
        </is>
      </c>
      <c r="K573" s="115" t="inlineStr">
        <is>
          <t>Marca do Zelote Muito Recém-Desperto, o convertido mais recente de todos, ainda em choque.</t>
        </is>
      </c>
    </row>
    <row r="574">
      <c r="A574" s="115" t="n">
        <v>572</v>
      </c>
      <c r="B574" s="115" t="inlineStr">
        <is>
          <t>Tier 14</t>
        </is>
      </c>
      <c r="C574" s="115" t="inlineStr">
        <is>
          <t>Núcleo da Sentinela Recém-Formada</t>
        </is>
      </c>
      <c r="D574" s="115" t="inlineStr">
        <is>
          <t>Orgânico / Material</t>
        </is>
      </c>
      <c r="E574" s="115" t="inlineStr">
        <is>
          <t>Além do Portal Estelar — dropado por monstro específico</t>
        </is>
      </c>
      <c r="F574" s="115" t="inlineStr">
        <is>
          <t>Loot de monstro (não coletável no mundo)</t>
        </is>
      </c>
      <c r="G574" s="115" t="inlineStr">
        <is>
          <t>—</t>
        </is>
      </c>
      <c r="H574" s="115" t="inlineStr">
        <is>
          <t>Incomum (Médio rendimento)</t>
        </is>
      </c>
      <c r="I574" s="115" t="inlineStr">
        <is>
          <t>Ingrediente de Núcleo da Sentinela da Fenda (Acessório Tier 14)</t>
        </is>
      </c>
      <c r="K574" s="115" t="inlineStr">
        <is>
          <t>Núcleo da Sentinela Recém-Formada, que se forma antes mesmo do portal abrir de vez.</t>
        </is>
      </c>
    </row>
    <row r="575">
      <c r="A575" s="115" t="n">
        <v>573</v>
      </c>
      <c r="B575" s="115" t="inlineStr">
        <is>
          <t>Tier 14</t>
        </is>
      </c>
      <c r="C575" s="115" t="inlineStr">
        <is>
          <t>Poeira de Fragmento Consciente</t>
        </is>
      </c>
      <c r="D575" s="115" t="inlineStr">
        <is>
          <t>Orgânico</t>
        </is>
      </c>
      <c r="E575" s="115" t="inlineStr">
        <is>
          <t>Além do Portal Estelar — dropado por monstro específico</t>
        </is>
      </c>
      <c r="F575" s="115" t="inlineStr">
        <is>
          <t>Loot de monstro (não coletável no mundo)</t>
        </is>
      </c>
      <c r="G575" s="115" t="inlineStr">
        <is>
          <t>—</t>
        </is>
      </c>
      <c r="H575" s="115" t="inlineStr">
        <is>
          <t>Comum (Alto rendimento)</t>
        </is>
      </c>
      <c r="I575" s="115" t="inlineStr">
        <is>
          <t>Ingrediente de Amuleto do Fragmento Estelar (Acessório Tier 14)</t>
        </is>
      </c>
      <c r="K575" s="115" t="inlineStr">
        <is>
          <t>Poeira de estrela morta que ganhou consciência ao se aproximar do Portal — só desesperada pra voltar a algum lugar que não existe mais.</t>
        </is>
      </c>
    </row>
    <row r="576">
      <c r="A576" s="115" t="n">
        <v>574</v>
      </c>
      <c r="B576" s="115" t="inlineStr">
        <is>
          <t>Tier 14</t>
        </is>
      </c>
      <c r="C576" s="115" t="inlineStr">
        <is>
          <t>Poeira de Fragmento Instável</t>
        </is>
      </c>
      <c r="D576" s="115" t="inlineStr">
        <is>
          <t>Orgânico / Material</t>
        </is>
      </c>
      <c r="E576" s="115" t="inlineStr">
        <is>
          <t>Além do Portal Estelar — dropado por monstro específico</t>
        </is>
      </c>
      <c r="F576" s="115" t="inlineStr">
        <is>
          <t>Loot de monstro (não coletável no mundo)</t>
        </is>
      </c>
      <c r="G576" s="115" t="inlineStr">
        <is>
          <t>—</t>
        </is>
      </c>
      <c r="H576" s="115" t="inlineStr">
        <is>
          <t>Comum (Médio rendimento)</t>
        </is>
      </c>
      <c r="I576" s="115" t="inlineStr">
        <is>
          <t>Ingrediente de Amuleto do Fragmento Estelar (Acessório Tier 14)</t>
        </is>
      </c>
      <c r="K576" s="115" t="inlineStr">
        <is>
          <t>Poeira do Fragmento Estelar Instável, pedaço pequeno demais pra manter forma estável.</t>
        </is>
      </c>
    </row>
    <row r="577">
      <c r="A577" s="115" t="n">
        <v>575</v>
      </c>
      <c r="B577" s="115" t="inlineStr">
        <is>
          <t>Tier 14</t>
        </is>
      </c>
      <c r="C577" s="115" t="inlineStr">
        <is>
          <t>Marca do Despertar</t>
        </is>
      </c>
      <c r="D577" s="115" t="inlineStr">
        <is>
          <t>Orgânico / Material</t>
        </is>
      </c>
      <c r="E577" s="115" t="inlineStr">
        <is>
          <t>Além do Portal Estelar — dropado por monstro específico</t>
        </is>
      </c>
      <c r="F577" s="115" t="inlineStr">
        <is>
          <t>Loot de monstro (não coletável no mundo)</t>
        </is>
      </c>
      <c r="G577" s="115" t="inlineStr">
        <is>
          <t>—</t>
        </is>
      </c>
      <c r="H577" s="115" t="inlineStr">
        <is>
          <t>Incomum (Baixo rendimento)</t>
        </is>
      </c>
      <c r="I577" s="115" t="inlineStr">
        <is>
          <t>Ingrediente de Manto do Zelote Final (Acessório Tier 14)</t>
        </is>
      </c>
      <c r="K577" s="115" t="inlineStr">
        <is>
          <t>Marca do Zelote Recém-Desperto, que acaba de testemunhar o Aspecto pela primeira vez.</t>
        </is>
      </c>
    </row>
    <row r="578">
      <c r="A578" s="115" t="n">
        <v>576</v>
      </c>
      <c r="B578" s="115" t="inlineStr">
        <is>
          <t>Tier 14</t>
        </is>
      </c>
      <c r="C578" s="115" t="inlineStr">
        <is>
          <t>Núcleo da Sentinela Silenciosa</t>
        </is>
      </c>
      <c r="D578" s="115" t="inlineStr">
        <is>
          <t>Orgânico / Material</t>
        </is>
      </c>
      <c r="E578" s="115" t="inlineStr">
        <is>
          <t>Além do Portal Estelar — dropado por monstro específico</t>
        </is>
      </c>
      <c r="F578" s="115" t="inlineStr">
        <is>
          <t>Loot de monstro (não coletável no mundo)</t>
        </is>
      </c>
      <c r="G578" s="115" t="inlineStr">
        <is>
          <t>—</t>
        </is>
      </c>
      <c r="H578" s="115" t="inlineStr">
        <is>
          <t>Incomum (Médio rendimento)</t>
        </is>
      </c>
      <c r="I578" s="115" t="inlineStr">
        <is>
          <t>Ingrediente de Núcleo da Sentinela da Fenda (Acessório Tier 14)</t>
        </is>
      </c>
      <c r="K578" s="115" t="inlineStr">
        <is>
          <t>Núcleo da Sentinela Silenciosa da Fenda, que só se manifesta com o portal aberto.</t>
        </is>
      </c>
    </row>
    <row r="579">
      <c r="A579" s="115" t="n">
        <v>577</v>
      </c>
      <c r="B579" s="115" t="inlineStr">
        <is>
          <t>Tier 14</t>
        </is>
      </c>
      <c r="C579" s="115" t="inlineStr">
        <is>
          <t>Fragmento de Vigia Muito Menor</t>
        </is>
      </c>
      <c r="D579" s="115" t="inlineStr">
        <is>
          <t>Orgânico / Material</t>
        </is>
      </c>
      <c r="E579" s="115" t="inlineStr">
        <is>
          <t>Além do Portal Estelar — dropado por monstro específico</t>
        </is>
      </c>
      <c r="F579" s="115" t="inlineStr">
        <is>
          <t>Loot de monstro (não coletável no mundo)</t>
        </is>
      </c>
      <c r="G579" s="115" t="inlineStr">
        <is>
          <t>—</t>
        </is>
      </c>
      <c r="H579" s="115" t="inlineStr">
        <is>
          <t>Comum (Médio rendimento)</t>
        </is>
      </c>
      <c r="I579" s="115" t="inlineStr">
        <is>
          <t>Ingrediente de Amuleto do Vigia do Vazio (Acessório Tier 14)</t>
        </is>
      </c>
      <c r="K579" s="115" t="inlineStr">
        <is>
          <t>Fragmento do Vigia Muito Menor do Vazio, miniatura do Vigia Menor.</t>
        </is>
      </c>
    </row>
    <row r="580">
      <c r="A580" s="115" t="n">
        <v>578</v>
      </c>
      <c r="B580" s="115" t="inlineStr">
        <is>
          <t>Tier 14</t>
        </is>
      </c>
      <c r="C580" s="115" t="inlineStr">
        <is>
          <t>Resíduo de Devorador de Luz Fraca</t>
        </is>
      </c>
      <c r="D580" s="115" t="inlineStr">
        <is>
          <t>Orgânico / Material</t>
        </is>
      </c>
      <c r="E580" s="115" t="inlineStr">
        <is>
          <t>Além do Portal Estelar — dropado por monstro específico</t>
        </is>
      </c>
      <c r="F580" s="115" t="inlineStr">
        <is>
          <t>Loot de monstro (não coletável no mundo)</t>
        </is>
      </c>
      <c r="G580" s="115" t="inlineStr">
        <is>
          <t>—</t>
        </is>
      </c>
      <c r="H580" s="115" t="inlineStr">
        <is>
          <t>Comum (Médio rendimento)</t>
        </is>
      </c>
      <c r="I580" s="115" t="inlineStr">
        <is>
          <t>Ingrediente de Amuleto do Devorador de Luz (Acessório Tier 14)</t>
        </is>
      </c>
      <c r="K580" s="115" t="inlineStr">
        <is>
          <t>Resíduo do Devorador de Luz Muito Fraca, que mal consegue se alimentar de resíduo.</t>
        </is>
      </c>
    </row>
    <row r="581">
      <c r="A581" s="115" t="n">
        <v>579</v>
      </c>
      <c r="B581" s="115" t="inlineStr">
        <is>
          <t>Tier 14</t>
        </is>
      </c>
      <c r="C581" s="115" t="inlineStr">
        <is>
          <t>Fragmento Jovem do Aspecto</t>
        </is>
      </c>
      <c r="D581" s="115" t="inlineStr">
        <is>
          <t>Orgânico / Material</t>
        </is>
      </c>
      <c r="E581" s="115" t="inlineStr">
        <is>
          <t>Além do Portal Estelar — dropado por monstro específico</t>
        </is>
      </c>
      <c r="F581" s="115" t="inlineStr">
        <is>
          <t>Loot de monstro (não coletável no mundo)</t>
        </is>
      </c>
      <c r="G581" s="115" t="inlineStr">
        <is>
          <t>—</t>
        </is>
      </c>
      <c r="H581" s="115" t="inlineStr">
        <is>
          <t>Incomum (Médio rendimento)</t>
        </is>
      </c>
      <c r="I581" s="115" t="inlineStr">
        <is>
          <t>Ingrediente de Fragmento do Aspecto (Acessório Tier 14)</t>
        </is>
      </c>
      <c r="K581" s="115" t="inlineStr">
        <is>
          <t>Fragmento do Parasita Jovem do Aspecto, ainda pequeno na corrupção cósmica.</t>
        </is>
      </c>
    </row>
    <row r="582">
      <c r="A582" s="115" t="n">
        <v>580</v>
      </c>
      <c r="B582" s="115" t="inlineStr">
        <is>
          <t>Tier 14</t>
        </is>
      </c>
      <c r="C582" s="115" t="inlineStr">
        <is>
          <t>Poeira do Fragmento Consciente Menor</t>
        </is>
      </c>
      <c r="D582" s="115" t="inlineStr">
        <is>
          <t>Orgânico / Material</t>
        </is>
      </c>
      <c r="E582" s="115" t="inlineStr">
        <is>
          <t>Além do Portal Estelar — dropado por monstro específico</t>
        </is>
      </c>
      <c r="F582" s="115" t="inlineStr">
        <is>
          <t>Loot de monstro (não coletável no mundo)</t>
        </is>
      </c>
      <c r="G582" s="115" t="inlineStr">
        <is>
          <t>—</t>
        </is>
      </c>
      <c r="H582" s="115" t="inlineStr">
        <is>
          <t>Incomum (Médio rendimento)</t>
        </is>
      </c>
      <c r="I582" s="115" t="inlineStr">
        <is>
          <t>Ingrediente de Amuleto do Fragmento Estelar (Acessório Tier 14)</t>
        </is>
      </c>
      <c r="K582" s="115" t="inlineStr">
        <is>
          <t>Poeira do Fragmento Consciente Menor, quase sem identidade própria.</t>
        </is>
      </c>
    </row>
    <row r="583">
      <c r="A583" s="115" t="n">
        <v>581</v>
      </c>
      <c r="B583" s="115" t="inlineStr">
        <is>
          <t>Tier 14</t>
        </is>
      </c>
      <c r="C583" s="115" t="inlineStr">
        <is>
          <t>Fragmento de Vigia do Vazio</t>
        </is>
      </c>
      <c r="D583" s="115" t="inlineStr">
        <is>
          <t>Orgânico</t>
        </is>
      </c>
      <c r="E583" s="115" t="inlineStr">
        <is>
          <t>Além do Portal Estelar — dropado por monstro específico</t>
        </is>
      </c>
      <c r="F583" s="115" t="inlineStr">
        <is>
          <t>Loot de monstro (não coletável no mundo)</t>
        </is>
      </c>
      <c r="G583" s="115" t="inlineStr">
        <is>
          <t>—</t>
        </is>
      </c>
      <c r="H583" s="115" t="inlineStr">
        <is>
          <t>Comum (Alto rendimento)</t>
        </is>
      </c>
      <c r="I583" s="115" t="inlineStr">
        <is>
          <t>Ingrediente de Amuleto do Vigia do Vazio (Acessório Tier 14)</t>
        </is>
      </c>
      <c r="K583" s="115" t="inlineStr">
        <is>
          <t>Fragmento do Vigia do Vazio, entidade que observa o Portal Estelar há eras e só registra quem se aproxima.</t>
        </is>
      </c>
    </row>
    <row r="584">
      <c r="A584" s="115" t="n">
        <v>582</v>
      </c>
      <c r="B584" s="115" t="inlineStr">
        <is>
          <t>Tier 14</t>
        </is>
      </c>
      <c r="C584" s="115" t="inlineStr">
        <is>
          <t>Fragmento de Vigia Menor</t>
        </is>
      </c>
      <c r="D584" s="115" t="inlineStr">
        <is>
          <t>Orgânico / Material</t>
        </is>
      </c>
      <c r="E584" s="115" t="inlineStr">
        <is>
          <t>Além do Portal Estelar — dropado por monstro específico</t>
        </is>
      </c>
      <c r="F584" s="115" t="inlineStr">
        <is>
          <t>Loot de monstro (não coletável no mundo)</t>
        </is>
      </c>
      <c r="G584" s="115" t="inlineStr">
        <is>
          <t>—</t>
        </is>
      </c>
      <c r="H584" s="115" t="inlineStr">
        <is>
          <t>Comum (Médio rendimento)</t>
        </is>
      </c>
      <c r="I584" s="115" t="inlineStr">
        <is>
          <t>Ingrediente de Amuleto do Vigia do Vazio (Acessório Tier 14)</t>
        </is>
      </c>
      <c r="K584" s="115" t="inlineStr">
        <is>
          <t>Fragmento do Vigia Menor do Vazio, que ainda não viu o suficiente pra enlouquecer de vez.</t>
        </is>
      </c>
    </row>
    <row r="585">
      <c r="A585" s="115" t="n">
        <v>583</v>
      </c>
      <c r="B585" s="115" t="inlineStr">
        <is>
          <t>Tier 14</t>
        </is>
      </c>
      <c r="C585" s="115" t="inlineStr">
        <is>
          <t>Resíduo de Devorador de Luz</t>
        </is>
      </c>
      <c r="D585" s="115" t="inlineStr">
        <is>
          <t>Orgânico</t>
        </is>
      </c>
      <c r="E585" s="115" t="inlineStr">
        <is>
          <t>Além do Portal Estelar — dropado por monstro específico</t>
        </is>
      </c>
      <c r="F585" s="115" t="inlineStr">
        <is>
          <t>Loot de monstro (não coletável no mundo)</t>
        </is>
      </c>
      <c r="G585" s="115" t="inlineStr">
        <is>
          <t>—</t>
        </is>
      </c>
      <c r="H585" s="115" t="inlineStr">
        <is>
          <t>Comum (Alto rendimento)</t>
        </is>
      </c>
      <c r="I585" s="115" t="inlineStr">
        <is>
          <t>Ingrediente de Amuleto do Devorador de Luz (Acessório Tier 14)</t>
        </is>
      </c>
      <c r="K585" s="115" t="inlineStr">
        <is>
          <t>Resíduo do Devorador de Luz Fraca, que se alimenta do que resta de energia depois de qualquer confronto.</t>
        </is>
      </c>
    </row>
    <row r="586">
      <c r="A586" s="115" t="n">
        <v>584</v>
      </c>
      <c r="B586" s="115" t="inlineStr">
        <is>
          <t>Tier 14</t>
        </is>
      </c>
      <c r="C586" s="115" t="inlineStr">
        <is>
          <t>Fragmento do Aspecto</t>
        </is>
      </c>
      <c r="D586" s="115" t="inlineStr">
        <is>
          <t>Orgânico / Material</t>
        </is>
      </c>
      <c r="E586" s="115" t="inlineStr">
        <is>
          <t>Além do Portal Estelar — dropado por monstro específico</t>
        </is>
      </c>
      <c r="F586" s="115" t="inlineStr">
        <is>
          <t>Loot de monstro (não coletável no mundo)</t>
        </is>
      </c>
      <c r="G586" s="115" t="inlineStr">
        <is>
          <t>—</t>
        </is>
      </c>
      <c r="H586" s="115" t="inlineStr">
        <is>
          <t>Incomum (Médio rendimento)</t>
        </is>
      </c>
      <c r="I586" s="115" t="inlineStr">
        <is>
          <t>Ingrediente de Fragmento do Aspecto (Acessório Tier 14)</t>
        </is>
      </c>
      <c r="K586" s="115" t="inlineStr">
        <is>
          <t>Fragmento do Parasita do Aspecto, que vive na presença do Aspecto e se alimenta da corrupção que ele irradia.</t>
        </is>
      </c>
    </row>
    <row r="587">
      <c r="A587" s="115" t="n">
        <v>585</v>
      </c>
      <c r="B587" s="115" t="inlineStr">
        <is>
          <t>Tier 14</t>
        </is>
      </c>
      <c r="C587" s="115" t="inlineStr">
        <is>
          <t>Resíduo de Terceira Ordem</t>
        </is>
      </c>
      <c r="D587" s="115" t="inlineStr">
        <is>
          <t>Orgânico / Material</t>
        </is>
      </c>
      <c r="E587" s="115" t="inlineStr">
        <is>
          <t>Além do Portal Estelar — dropado por monstro específico</t>
        </is>
      </c>
      <c r="F587" s="115" t="inlineStr">
        <is>
          <t>Loot de monstro (não coletável no mundo)</t>
        </is>
      </c>
      <c r="G587" s="115" t="inlineStr">
        <is>
          <t>—</t>
        </is>
      </c>
      <c r="H587" s="115" t="inlineStr">
        <is>
          <t>Incomum (Baixo rendimento)</t>
        </is>
      </c>
      <c r="I587" s="115" t="inlineStr">
        <is>
          <t>Ingrediente de Amuleto do Eco (Acessório Tier 14)</t>
        </is>
      </c>
      <c r="K587" s="115" t="inlineStr">
        <is>
          <t>Resíduo do Eco de um Eco de um Eco, distorção de terceira ordem quase imperceptível.</t>
        </is>
      </c>
    </row>
    <row r="588">
      <c r="A588" s="115" t="n">
        <v>586</v>
      </c>
      <c r="B588" s="115" t="inlineStr">
        <is>
          <t>Tier 14</t>
        </is>
      </c>
      <c r="C588" s="115" t="inlineStr">
        <is>
          <t>Fragmento de Vanguarda Muito Menor</t>
        </is>
      </c>
      <c r="D588" s="115" t="inlineStr">
        <is>
          <t>Orgânico / Material</t>
        </is>
      </c>
      <c r="E588" s="115" t="inlineStr">
        <is>
          <t>Além do Portal Estelar — dropado por monstro específico</t>
        </is>
      </c>
      <c r="F588" s="115" t="inlineStr">
        <is>
          <t>Loot de monstro (não coletável no mundo)</t>
        </is>
      </c>
      <c r="G588" s="115" t="inlineStr">
        <is>
          <t>—</t>
        </is>
      </c>
      <c r="H588" s="115" t="inlineStr">
        <is>
          <t>Comum (Médio rendimento)</t>
        </is>
      </c>
      <c r="I588" s="115" t="inlineStr">
        <is>
          <t>Ingrediente de Amuleto da Vanguarda do Vazio (Acessório Tier 14)</t>
        </is>
      </c>
      <c r="K588" s="115" t="inlineStr">
        <is>
          <t>Fragmento da Vanguarda Muito Menor do Vazio, quase sem forma.</t>
        </is>
      </c>
    </row>
    <row r="589">
      <c r="A589" s="115" t="n">
        <v>587</v>
      </c>
      <c r="B589" s="115" t="inlineStr">
        <is>
          <t>Tier 14</t>
        </is>
      </c>
      <c r="C589" s="115" t="inlineStr">
        <is>
          <t>Resíduo de Segunda Ordem</t>
        </is>
      </c>
      <c r="D589" s="115" t="inlineStr">
        <is>
          <t>Orgânico / Material</t>
        </is>
      </c>
      <c r="E589" s="115" t="inlineStr">
        <is>
          <t>Além do Portal Estelar — dropado por monstro específico</t>
        </is>
      </c>
      <c r="F589" s="115" t="inlineStr">
        <is>
          <t>Loot de monstro (não coletável no mundo)</t>
        </is>
      </c>
      <c r="G589" s="115" t="inlineStr">
        <is>
          <t>—</t>
        </is>
      </c>
      <c r="H589" s="115" t="inlineStr">
        <is>
          <t>Incomum (Médio rendimento)</t>
        </is>
      </c>
      <c r="I589" s="115" t="inlineStr">
        <is>
          <t>Ingrediente de Amuleto do Eco (Acessório Tier 14)</t>
        </is>
      </c>
      <c r="K589" s="115" t="inlineStr">
        <is>
          <t>Resíduo do Eco de um Eco, reflexo distorcido de um Eco Distorcido já distorcido.</t>
        </is>
      </c>
    </row>
    <row r="590">
      <c r="A590" s="115" t="n">
        <v>588</v>
      </c>
      <c r="B590" s="115" t="inlineStr">
        <is>
          <t>Tier 14</t>
        </is>
      </c>
      <c r="C590" s="115" t="inlineStr">
        <is>
          <t>Manto do Zelote Final Menor</t>
        </is>
      </c>
      <c r="D590" s="115" t="inlineStr">
        <is>
          <t>Orgânico / Material</t>
        </is>
      </c>
      <c r="E590" s="115" t="inlineStr">
        <is>
          <t>Além do Portal Estelar — dropado por monstro específico</t>
        </is>
      </c>
      <c r="F590" s="115" t="inlineStr">
        <is>
          <t>Loot de monstro (não coletável no mundo)</t>
        </is>
      </c>
      <c r="G590" s="115" t="inlineStr">
        <is>
          <t>—</t>
        </is>
      </c>
      <c r="H590" s="115" t="inlineStr">
        <is>
          <t>Comum (Médio rendimento)</t>
        </is>
      </c>
      <c r="I590" s="115" t="inlineStr">
        <is>
          <t>Ingrediente de Manto do Zelote Final (Acessório Tier 14)</t>
        </is>
      </c>
      <c r="K590" s="115" t="inlineStr">
        <is>
          <t>Manto do Zelote Final Menor, que segue o Zelote Final do Culto com fé menos absoluta.</t>
        </is>
      </c>
    </row>
    <row r="591">
      <c r="A591" s="115" t="n">
        <v>589</v>
      </c>
      <c r="B591" s="115" t="inlineStr">
        <is>
          <t>Tier 14</t>
        </is>
      </c>
      <c r="C591" s="115" t="inlineStr">
        <is>
          <t>Eco Fraco do Aspecto</t>
        </is>
      </c>
      <c r="D591" s="115" t="inlineStr">
        <is>
          <t>Orgânico / Material</t>
        </is>
      </c>
      <c r="E591" s="115" t="inlineStr">
        <is>
          <t>Além do Portal Estelar — dropado por monstro específico</t>
        </is>
      </c>
      <c r="F591" s="115" t="inlineStr">
        <is>
          <t>Loot de monstro (não coletável no mundo)</t>
        </is>
      </c>
      <c r="G591" s="115" t="inlineStr">
        <is>
          <t>—</t>
        </is>
      </c>
      <c r="H591" s="115" t="inlineStr">
        <is>
          <t>Incomum (Médio rendimento)</t>
        </is>
      </c>
      <c r="I591" s="115" t="inlineStr">
        <is>
          <t>Ingrediente de Fragmento do Aspecto (Acessório Tier 14)</t>
        </is>
      </c>
      <c r="K591" s="115" t="inlineStr">
        <is>
          <t>Eco fraco do Eco Menor do Aspecto, fragmento de energia que se desprende do próprio Aspecto da Infecção.</t>
        </is>
      </c>
    </row>
    <row r="592">
      <c r="A592" s="115" t="n">
        <v>590</v>
      </c>
      <c r="B592" s="115" t="inlineStr">
        <is>
          <t>Tier 14</t>
        </is>
      </c>
      <c r="C592" s="115" t="inlineStr">
        <is>
          <t>Resíduo de Eco Distorcido</t>
        </is>
      </c>
      <c r="D592" s="115" t="inlineStr">
        <is>
          <t>Orgânico</t>
        </is>
      </c>
      <c r="E592" s="115" t="inlineStr">
        <is>
          <t>Além do Portal Estelar — dropado por monstro específico</t>
        </is>
      </c>
      <c r="F592" s="115" t="inlineStr">
        <is>
          <t>Loot de monstro (não coletável no mundo)</t>
        </is>
      </c>
      <c r="G592" s="115" t="inlineStr">
        <is>
          <t>—</t>
        </is>
      </c>
      <c r="H592" s="115" t="inlineStr">
        <is>
          <t>Comum (Alto rendimento)</t>
        </is>
      </c>
      <c r="I592" s="115" t="inlineStr">
        <is>
          <t>Ingrediente de Amuleto do Eco (Acessório Tier 14)</t>
        </is>
      </c>
      <c r="K592" s="115" t="inlineStr">
        <is>
          <t>Resíduo do Eco Distorcido, fragmento de realidade dobrado pela proximidade do Portal — um erro no tecido do mundo tentando se corrigir.</t>
        </is>
      </c>
    </row>
    <row r="593">
      <c r="A593" s="115" t="n">
        <v>591</v>
      </c>
      <c r="B593" s="115" t="inlineStr">
        <is>
          <t>Tier 14</t>
        </is>
      </c>
      <c r="C593" s="115" t="inlineStr">
        <is>
          <t>Fragmento de Portal Menor Armadilhado</t>
        </is>
      </c>
      <c r="D593" s="115" t="inlineStr">
        <is>
          <t>Troféu de Monstro</t>
        </is>
      </c>
      <c r="E593" s="115" t="inlineStr">
        <is>
          <t>Loot de Portal Muito Menor Falso (Elite)</t>
        </is>
      </c>
      <c r="F593" s="115" t="inlineStr">
        <is>
          <t>Loot de monstro (não coletável no mundo)</t>
        </is>
      </c>
      <c r="G593" s="115" t="inlineStr">
        <is>
          <t>—</t>
        </is>
      </c>
      <c r="H593" s="115" t="inlineStr">
        <is>
          <t>Incomum (Baixo rendimento)</t>
        </is>
      </c>
      <c r="I593" s="115" t="inlineStr">
        <is>
          <t>Ingrediente de Fechadura do Portal Menor (Acessório Tier 14)</t>
        </is>
      </c>
      <c r="J593" s="115" t="n">
        <v>165</v>
      </c>
      <c r="K593" s="115" t="inlineStr">
        <is>
          <t>Mecanismo do portal-armadilha menor, plantado por zelotes de menor patente pra pegar quem tenta fugir.</t>
        </is>
      </c>
      <c r="M593" s="115" t="inlineStr">
        <is>
          <t>🐾</t>
        </is>
      </c>
    </row>
    <row r="594">
      <c r="A594" s="115" t="n">
        <v>592</v>
      </c>
      <c r="B594" s="115" t="inlineStr">
        <is>
          <t>Tier 14</t>
        </is>
      </c>
      <c r="C594" s="115" t="inlineStr">
        <is>
          <t>Poeira Instável do Fragmento Fugidio Menor</t>
        </is>
      </c>
      <c r="D594" s="115" t="inlineStr">
        <is>
          <t>Troféu de Monstro</t>
        </is>
      </c>
      <c r="E594" s="115" t="inlineStr">
        <is>
          <t>Loot de Fragmento Fugidio Menor (Elite)</t>
        </is>
      </c>
      <c r="F594" s="115" t="inlineStr">
        <is>
          <t>Loot de monstro (não coletável no mundo)</t>
        </is>
      </c>
      <c r="G594" s="115" t="inlineStr">
        <is>
          <t>—</t>
        </is>
      </c>
      <c r="H594" s="115" t="inlineStr">
        <is>
          <t>Raro (Baixo rendimento)</t>
        </is>
      </c>
      <c r="I594" s="115" t="inlineStr">
        <is>
          <t>Ingrediente de Amuleto do Fragmento Fugidio Menor (Acessório Tier 14)</t>
        </is>
      </c>
      <c r="J594" s="115" t="n">
        <v>165</v>
      </c>
      <c r="K594" s="115" t="inlineStr">
        <is>
          <t>Poeira instável do Fragmento Fugidio Menor, pequeno pedaço tentando escapar do Vazio, ainda mais assustado que o maior.</t>
        </is>
      </c>
      <c r="M594" s="115" t="inlineStr">
        <is>
          <t>🐾</t>
        </is>
      </c>
    </row>
    <row r="595">
      <c r="A595" s="115" t="n">
        <v>593</v>
      </c>
      <c r="B595" s="115" t="inlineStr">
        <is>
          <t>Tier 14</t>
        </is>
      </c>
      <c r="C595" s="115" t="inlineStr">
        <is>
          <t>Fragmento de Portal Armadilhado</t>
        </is>
      </c>
      <c r="D595" s="115" t="inlineStr">
        <is>
          <t>Troféu de Monstro</t>
        </is>
      </c>
      <c r="E595" s="115" t="inlineStr">
        <is>
          <t>Loot de Portal Falso (Elite)</t>
        </is>
      </c>
      <c r="F595" s="115" t="inlineStr">
        <is>
          <t>Loot de monstro (não coletável no mundo)</t>
        </is>
      </c>
      <c r="G595" s="115" t="inlineStr">
        <is>
          <t>—</t>
        </is>
      </c>
      <c r="H595" s="115" t="inlineStr">
        <is>
          <t>Incomum (Baixo rendimento)</t>
        </is>
      </c>
      <c r="I595" s="115" t="inlineStr">
        <is>
          <t>Ingrediente de Fechadura do Portal (Acessório Tier 14)</t>
        </is>
      </c>
      <c r="J595" s="115" t="n">
        <v>165</v>
      </c>
      <c r="K595" s="115" t="inlineStr">
        <is>
          <t>Mecanismo do portal-armadilha, que o culto final dissimula pra pegar quem tenta fugir da fenda.</t>
        </is>
      </c>
      <c r="M595" s="115" t="inlineStr">
        <is>
          <t>🐾</t>
        </is>
      </c>
    </row>
    <row r="596">
      <c r="A596" s="115" t="n">
        <v>594</v>
      </c>
      <c r="B596" s="115" t="inlineStr">
        <is>
          <t>Tier 14</t>
        </is>
      </c>
      <c r="C596" s="115" t="inlineStr">
        <is>
          <t>Resíduo Puro do Vazio Astral</t>
        </is>
      </c>
      <c r="D596" s="115" t="inlineStr">
        <is>
          <t>Troféu de Monstro</t>
        </is>
      </c>
      <c r="E596" s="115" t="inlineStr">
        <is>
          <t>Loot de Fragmento Fugidio do Vazio Astral (Elite)</t>
        </is>
      </c>
      <c r="F596" s="115" t="inlineStr">
        <is>
          <t>Loot de monstro (não coletável no mundo)</t>
        </is>
      </c>
      <c r="G596" s="115" t="inlineStr">
        <is>
          <t>—</t>
        </is>
      </c>
      <c r="H596" s="115" t="inlineStr">
        <is>
          <t>Raro (Baixo rendimento)</t>
        </is>
      </c>
      <c r="I596" s="115" t="inlineStr">
        <is>
          <t>Ingrediente de Amuleto do Vazio Astral (Acessório Tier 14)</t>
        </is>
      </c>
      <c r="J596" s="115" t="n">
        <v>165</v>
      </c>
      <c r="K596" s="115" t="inlineStr">
        <is>
          <t>Resíduo puro do Fragmento Fugidio do Vazio Astral, último pedaço a resistir à absorção total.</t>
        </is>
      </c>
      <c r="M596" s="115" t="inlineStr">
        <is>
          <t>🐾</t>
        </is>
      </c>
    </row>
    <row r="597">
      <c r="A597" s="115" t="n">
        <v>595</v>
      </c>
      <c r="B597" s="115" t="inlineStr">
        <is>
          <t>Tier 14</t>
        </is>
      </c>
      <c r="C597" s="115" t="inlineStr">
        <is>
          <t>Fragmento de Vanguarda Menor do Vazio</t>
        </is>
      </c>
      <c r="D597" s="115" t="inlineStr">
        <is>
          <t>Troféu de Monstro</t>
        </is>
      </c>
      <c r="E597" s="115" t="inlineStr">
        <is>
          <t>Loot de Vanguarda Menor do Vazio (Elite)</t>
        </is>
      </c>
      <c r="F597" s="115" t="inlineStr">
        <is>
          <t>Loot de monstro (não coletável no mundo)</t>
        </is>
      </c>
      <c r="G597" s="115" t="inlineStr">
        <is>
          <t>—</t>
        </is>
      </c>
      <c r="H597" s="115" t="inlineStr">
        <is>
          <t>Incomum (Baixo rendimento)</t>
        </is>
      </c>
      <c r="I597" s="115" t="inlineStr">
        <is>
          <t>Ingrediente de Amuleto da Vanguarda do Vazio (Acessório Tier 14)</t>
        </is>
      </c>
      <c r="J597" s="115" t="n">
        <v>165</v>
      </c>
      <c r="K597" s="115" t="inlineStr">
        <is>
          <t>Fragmento da Vanguarda Menor do Vazio, ainda ganhando forma completa.</t>
        </is>
      </c>
      <c r="M597" s="115" t="inlineStr">
        <is>
          <t>🐾</t>
        </is>
      </c>
    </row>
    <row r="598">
      <c r="A598" s="115" t="n">
        <v>596</v>
      </c>
      <c r="B598" s="115" t="inlineStr">
        <is>
          <t>Tier 14</t>
        </is>
      </c>
      <c r="C598" s="115" t="inlineStr">
        <is>
          <t>Fragmento da Última Voz</t>
        </is>
      </c>
      <c r="D598" s="115" t="inlineStr">
        <is>
          <t>Troféu de Monstro</t>
        </is>
      </c>
      <c r="E598" s="115" t="inlineStr">
        <is>
          <t>Loot de Última Voz, a Que Ainda Se Lembra de Ser Gente (Nomeado) (Elite)</t>
        </is>
      </c>
      <c r="F598" s="115" t="inlineStr">
        <is>
          <t>Loot de monstro (não coletável no mundo)</t>
        </is>
      </c>
      <c r="G598" s="115" t="inlineStr">
        <is>
          <t>—</t>
        </is>
      </c>
      <c r="H598" s="115" t="inlineStr">
        <is>
          <t>Raro (Baixo rendimento - Elite Nomeado)</t>
        </is>
      </c>
      <c r="I598" s="115" t="inlineStr">
        <is>
          <t>Ingrediente de Eco Menor da Última Voz (Acessório Tier 14)</t>
        </is>
      </c>
      <c r="J598" s="115" t="n">
        <v>180</v>
      </c>
      <c r="K598" s="115" t="inlineStr">
        <is>
          <t>Parte física da Última Voz, guardada se ela for derrotada em vez de libertada — a última prova de que havia gente antes da Infecção absoluta, e ainda se lembra do próprio nome.</t>
        </is>
      </c>
      <c r="M598" s="115" t="inlineStr">
        <is>
          <t>🐾</t>
        </is>
      </c>
    </row>
    <row r="599">
      <c r="A599" s="161" t="n">
        <v>598</v>
      </c>
      <c r="B599" s="161" t="inlineStr">
        <is>
          <t>Tier 11</t>
        </is>
      </c>
      <c r="C599" s="161" t="inlineStr">
        <is>
          <t>Brasão Manchado do Desertor</t>
        </is>
      </c>
      <c r="D599" s="161" t="inlineStr">
        <is>
          <t>Orgânico / Material</t>
        </is>
      </c>
      <c r="E599" s="161" t="inlineStr">
        <is>
          <t>Forja dos Titãs — dropado por monstro específico</t>
        </is>
      </c>
      <c r="F599" s="161" t="inlineStr">
        <is>
          <t>Loot de monstro (não coletável no mundo)</t>
        </is>
      </c>
      <c r="G599" s="161" t="inlineStr">
        <is>
          <t>—</t>
        </is>
      </c>
      <c r="H599" s="161" t="inlineStr">
        <is>
          <t>Comum (Médio rendimento)</t>
        </is>
      </c>
      <c r="I599" s="161" t="inlineStr">
        <is>
          <t>Venda (item de baixo valor, sinal de deserção)</t>
        </is>
      </c>
    </row>
    <row r="600">
      <c r="A600" s="161" t="n">
        <v>599</v>
      </c>
      <c r="B600" s="161" t="inlineStr">
        <is>
          <t>Tier 11</t>
        </is>
      </c>
      <c r="C600" s="161" t="inlineStr">
        <is>
          <t>Fragmento de Armadura Inquebrável</t>
        </is>
      </c>
      <c r="D600" s="161" t="inlineStr">
        <is>
          <t>Orgânico / Material</t>
        </is>
      </c>
      <c r="E600" s="161" t="inlineStr">
        <is>
          <t>Forja dos Titãs — dropado por monstro específico</t>
        </is>
      </c>
      <c r="F600" s="161" t="inlineStr">
        <is>
          <t>Loot de monstro (não coletável no mundo)</t>
        </is>
      </c>
      <c r="G600" s="161" t="inlineStr">
        <is>
          <t>—</t>
        </is>
      </c>
      <c r="H600" s="161" t="inlineStr">
        <is>
          <t>Comum (Médio rendimento)</t>
        </is>
      </c>
      <c r="I600" s="161" t="inlineStr">
        <is>
          <t>Venda (fragmento sem receita conectada ainda)</t>
        </is>
      </c>
    </row>
    <row r="601">
      <c r="A601" s="161" t="n">
        <v>600</v>
      </c>
      <c r="B601" s="161" t="inlineStr">
        <is>
          <t>Tier 11</t>
        </is>
      </c>
      <c r="C601" s="161" t="inlineStr">
        <is>
          <t>Placa Rachada de Adamantina</t>
        </is>
      </c>
      <c r="D601" s="161" t="inlineStr">
        <is>
          <t>Orgânico / Material</t>
        </is>
      </c>
      <c r="E601" s="161" t="inlineStr">
        <is>
          <t>Forja dos Titãs — dropado por monstro específico</t>
        </is>
      </c>
      <c r="F601" s="161" t="inlineStr">
        <is>
          <t>Loot de monstro (não coletável no mundo)</t>
        </is>
      </c>
      <c r="G601" s="161" t="inlineStr">
        <is>
          <t>—</t>
        </is>
      </c>
      <c r="H601" s="161" t="inlineStr">
        <is>
          <t>Incomum (Baixo rendimento)</t>
        </is>
      </c>
      <c r="I601" s="161" t="inlineStr">
        <is>
          <t>Ingrediente de Broquel Menor (Acessório Tier 11 — a criar)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0"/>
  </sheetPr>
  <dimension ref="A1:J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9" customWidth="1" style="115" min="1" max="1"/>
    <col width="12" customWidth="1" style="115" min="2" max="2"/>
    <col width="36.68" customWidth="1" style="115" min="3" max="3"/>
    <col width="23.74" customWidth="1" style="115" min="4" max="4"/>
    <col width="30.88" customWidth="1" style="115" min="5" max="5"/>
    <col width="38.43" customWidth="1" style="115" min="6" max="6"/>
    <col width="12.95" customWidth="1" style="115" min="7" max="7"/>
    <col width="13.08" customWidth="1" style="115" min="9" max="9"/>
  </cols>
  <sheetData>
    <row r="1" ht="15" customHeight="1" s="116">
      <c r="A1" s="117" t="inlineStr">
        <is>
          <t>Eventos de Viagem e Clima</t>
        </is>
      </c>
    </row>
    <row r="2" ht="15" customHeight="1" s="116">
      <c r="A2" s="165" t="inlineStr">
        <is>
          <t>ID</t>
        </is>
      </c>
      <c r="B2" s="165" t="inlineStr">
        <is>
          <t>Faixa (1d100)</t>
        </is>
      </c>
      <c r="C2" s="165" t="inlineStr">
        <is>
          <t>Nome do Evento / Clima</t>
        </is>
      </c>
      <c r="D2" s="165" t="inlineStr">
        <is>
          <t>Categoria</t>
        </is>
      </c>
      <c r="E2" s="165" t="inlineStr">
        <is>
          <t>Regiões &amp; Atos Afetados</t>
        </is>
      </c>
      <c r="F2" s="165" t="inlineStr">
        <is>
          <t>Teste de Atributo Requerido &amp; CD</t>
        </is>
      </c>
      <c r="G2" s="165" t="inlineStr">
        <is>
          <t>Efeito Mecânico no Sucesso</t>
        </is>
      </c>
      <c r="H2" s="165" t="inlineStr">
        <is>
          <t>Consequência na Falha</t>
        </is>
      </c>
      <c r="I2" s="165" t="inlineStr">
        <is>
          <t>Dilema Narrativo / Escolha do Grupo</t>
        </is>
      </c>
      <c r="J2" s="165" t="inlineStr">
        <is>
          <t>Descrição Narrativa &amp; Atmosfera</t>
        </is>
      </c>
    </row>
    <row r="3" ht="15" customHeight="1" s="116">
      <c r="A3" s="119" t="n">
        <v>1</v>
      </c>
      <c r="B3" s="230" t="inlineStr">
        <is>
          <t>01-05</t>
        </is>
      </c>
      <c r="C3" s="119" t="inlineStr">
        <is>
          <t>Névoa dos Dedos Rubros</t>
        </is>
      </c>
      <c r="D3" s="119" t="inlineStr">
        <is>
          <t>Anomalia da Infecção</t>
        </is>
      </c>
      <c r="E3" s="119" t="inlineStr">
        <is>
          <t>Estrada Velha &amp; Vales (Ato I-II)</t>
        </is>
      </c>
      <c r="F3" s="119" t="inlineStr">
        <is>
          <t>SAB CD 12 (Sobrevivência)</t>
        </is>
      </c>
      <c r="G3" s="119" t="inlineStr">
        <is>
          <t>Encontra abrigo seguro e coleta 1x Raiz de Sangue-Seco (+20 XP)</t>
        </is>
      </c>
      <c r="H3" s="119" t="inlineStr">
        <is>
          <t>O grupo perde 1 dia de ração e sofre alucinações auditivas (-1 em Percepção até descansar)</t>
        </is>
      </c>
      <c r="I3" s="119" t="inlineStr">
        <is>
          <t>Decidir se acampam em casa abandonada marcada de sangue ou marcham exaustos no frio</t>
        </is>
      </c>
      <c r="J3" s="119" t="inlineStr">
        <is>
          <t>Névoa espessa avermelhada que deixa poças pegajosas por onde passa.</t>
        </is>
      </c>
    </row>
    <row r="4" ht="15" customHeight="1" s="116">
      <c r="A4" s="119" t="n">
        <v>2</v>
      </c>
      <c r="B4" s="230" t="inlineStr">
        <is>
          <t>06-10</t>
        </is>
      </c>
      <c r="C4" s="119" t="inlineStr">
        <is>
          <t>A Carroça dos Refugiados Marcados</t>
        </is>
      </c>
      <c r="D4" s="119" t="inlineStr">
        <is>
          <t>Dilema Moral</t>
        </is>
      </c>
      <c r="E4" s="119" t="inlineStr">
        <is>
          <t>Fronteiras Rurais (Ato I)</t>
        </is>
      </c>
      <c r="F4" s="119" t="inlineStr">
        <is>
          <t>CAR CD 10 ou SAB CD 12</t>
        </is>
      </c>
      <c r="G4" s="119" t="inlineStr">
        <is>
          <t>Acalma os refugiados e obtém informações sobre patrulhas de bandidos à frente</t>
        </is>
      </c>
      <c r="H4" s="119" t="inlineStr">
        <is>
          <t>Conflito tenso com camponeses desesperados; perde 5 de ouro ou sofre 1 ataque de surpresa</t>
        </is>
      </c>
      <c r="I4" s="119" t="inlineStr">
        <is>
          <t>Acolher uma família com criança infectada na comitiva ou expulsá-los para proteger o grupo da praga</t>
        </is>
      </c>
      <c r="J4" s="119" t="inlineStr">
        <is>
          <t>Camponeses arrastando pertences em carroças quebradas com olhos cheios de pavor.</t>
        </is>
      </c>
    </row>
    <row r="5" ht="15" customHeight="1" s="116">
      <c r="A5" s="119" t="n">
        <v>3</v>
      </c>
      <c r="B5" s="230" t="inlineStr">
        <is>
          <t>11-15</t>
        </is>
      </c>
      <c r="C5" s="119" t="inlineStr">
        <is>
          <t>Chuva Ácida de Fuligem Vulcânica</t>
        </is>
      </c>
      <c r="D5" s="119" t="inlineStr">
        <is>
          <t>Clima Sombrio</t>
        </is>
      </c>
      <c r="E5" s="119" t="inlineStr">
        <is>
          <t>Fendas &amp; Terras Altas (Ato III-IV)</t>
        </is>
      </c>
      <c r="F5" s="119" t="inlineStr">
        <is>
          <t>CON CD 14 ou SAB CD 14</t>
        </is>
      </c>
      <c r="G5" s="119" t="inlineStr">
        <is>
          <t>Montam tendas blindadas a tempo sem sofrer danos materiais</t>
        </is>
      </c>
      <c r="H5" s="119" t="inlineStr">
        <is>
          <t>Armaduras perdem 1 de Defesa temporária até serem polidas e heróis sofrem 5 de dano de ácido</t>
        </is>
      </c>
      <c r="I5" s="119" t="inlineStr">
        <is>
          <t>Forçar marcha rápida sob a tempestade tóxica ou perder tempo precioso abrigados em caverna instável</t>
        </is>
      </c>
      <c r="J5" s="119" t="inlineStr">
        <is>
          <t>Nuvens negras derramam gotas corrosivas que queimam a vegetação e corroem metais comuns.</t>
        </is>
      </c>
    </row>
    <row r="6" ht="15" customHeight="1" s="116">
      <c r="A6" s="119" t="n">
        <v>4</v>
      </c>
      <c r="B6" s="230" t="inlineStr">
        <is>
          <t>16-20</t>
        </is>
      </c>
      <c r="C6" s="119" t="inlineStr">
        <is>
          <t>O Sino Distante na Escuridão</t>
        </is>
      </c>
      <c r="D6" s="119" t="inlineStr">
        <is>
          <t>Anomalia da Infecção</t>
        </is>
      </c>
      <c r="E6" s="119" t="inlineStr">
        <is>
          <t>Catacumbas &amp; Florestas dos Ecos (Ato II)</t>
        </is>
      </c>
      <c r="F6" s="119" t="inlineStr">
        <is>
          <t>SAB CD 14 (Concentração)</t>
        </is>
      </c>
      <c r="G6" s="119" t="inlineStr">
        <is>
          <t>Identificam que o som é uma miragem acústica e evitam o covil do Ceifador (+30 XP)</t>
        </is>
      </c>
      <c r="H6" s="119" t="inlineStr">
        <is>
          <t>Entram no raio de silêncio e não podem conjurar magias no primeiro turno do próximo combate</t>
        </is>
      </c>
      <c r="I6" s="119" t="inlineStr">
        <is>
          <t>Seguir o som do sino para resgatar sacerdotes perdidos ou tapar os ouvidos e fugir da armadilha</t>
        </is>
      </c>
      <c r="J6" s="119" t="inlineStr">
        <is>
          <t>Um badalar fúnebre ressoa no meio da noite sem que haja qualquer catedral por perto.</t>
        </is>
      </c>
    </row>
    <row r="7" ht="15" customHeight="1" s="116">
      <c r="A7" s="119" t="n">
        <v>5</v>
      </c>
      <c r="B7" s="230" t="inlineStr">
        <is>
          <t>21-25</t>
        </is>
      </c>
      <c r="C7" s="119" t="inlineStr">
        <is>
          <t>O Mascate de Relíquias Suspeito</t>
        </is>
      </c>
      <c r="D7" s="119" t="inlineStr">
        <is>
          <t>Dilema Moral / Mercado</t>
        </is>
      </c>
      <c r="E7" s="119" t="inlineStr">
        <is>
          <t>Todas as Estradas (Atos I a V)</t>
        </is>
      </c>
      <c r="F7" s="119" t="inlineStr">
        <is>
          <t>INT CD 14 ou SAB CD 14</t>
        </is>
      </c>
      <c r="G7" s="119" t="inlineStr">
        <is>
          <t>Identificam quais itens do mascate são genuínos e quais carregam maldições ocultas</t>
        </is>
      </c>
      <c r="H7" s="119" t="inlineStr">
        <is>
          <t>Compram um item amaldiçoado acreditando ser uma barganha lendária</t>
        </is>
      </c>
      <c r="I7" s="119" t="inlineStr">
        <is>
          <t>Comprar armas poderosas por metade do preço sabendo que foram saqueadas de heróis mortos</t>
        </is>
      </c>
      <c r="J7" s="119" t="inlineStr">
        <is>
          <t>Um viajante encapuzado com mãos enfaixadas empurrando uma carroça cheia de baús trancados.</t>
        </is>
      </c>
    </row>
    <row r="8" ht="15" customHeight="1" s="116">
      <c r="A8" s="119" t="n">
        <v>6</v>
      </c>
      <c r="B8" s="230" t="inlineStr">
        <is>
          <t>26-30</t>
        </is>
      </c>
      <c r="C8" s="119" t="inlineStr">
        <is>
          <t>Deslizamento no Desfiladeiro dos Zelotes</t>
        </is>
      </c>
      <c r="D8" s="119" t="inlineStr">
        <is>
          <t>Perigo de Terreno</t>
        </is>
      </c>
      <c r="E8" s="119" t="inlineStr">
        <is>
          <t>Desfiladeiros &amp; Montanhas (Ato III)</t>
        </is>
      </c>
      <c r="F8" s="119" t="inlineStr">
        <is>
          <t>DES CD 16 ou FOR CD 16</t>
        </is>
      </c>
      <c r="G8" s="119" t="inlineStr">
        <is>
          <t>O grupo salta sobre os escombros com agilidade e desobstrui a passagem (+40 XP)</t>
        </is>
      </c>
      <c r="H8" s="119" t="inlineStr">
        <is>
          <t>Sofrem 15 de dano de esmagamento e perdem 2 horas de viagem retirando pedras do caminho</t>
        </is>
      </c>
      <c r="I8" s="119" t="inlineStr">
        <is>
          <t>Escalar os paredões arriscando novas quedas ou pegar o desvio vigiado pelos Zelotes da Mão</t>
        </is>
      </c>
      <c r="J8" s="119" t="inlineStr">
        <is>
          <t>Rochas gigantescas despencam das encostas quebrando pontes e bloqueando a rota principal.</t>
        </is>
      </c>
    </row>
    <row r="9" ht="15" customHeight="1" s="116">
      <c r="A9" s="119" t="n">
        <v>7</v>
      </c>
      <c r="B9" s="230" t="inlineStr">
        <is>
          <t>31-35</t>
        </is>
      </c>
      <c r="C9" s="119" t="inlineStr">
        <is>
          <t>O Cultista Desertor Suplicante</t>
        </is>
      </c>
      <c r="D9" s="119" t="inlineStr">
        <is>
          <t>Dilema Moral</t>
        </is>
      </c>
      <c r="E9" s="119" t="inlineStr">
        <is>
          <t>Territórios de Culto (Atos III a V)</t>
        </is>
      </c>
      <c r="F9" s="119" t="inlineStr">
        <is>
          <t>CAR CD 14 ou SAB CD 14</t>
        </is>
      </c>
      <c r="G9" s="119" t="inlineStr">
        <is>
          <t>O desertor revela a localização exata de um veio secreto de minério raro da região</t>
        </is>
      </c>
      <c r="H9" s="119" t="inlineStr">
        <is>
          <t>O desertor entra em pânico atrai guardas de elite do culto para emboscar o grupo</t>
        </is>
      </c>
      <c r="I9" s="119" t="inlineStr">
        <is>
          <t>Proteger um cultista arrependido que cometeu atrocidades no passado ou entregá-lo à forca em troca de recompensa</t>
        </is>
      </c>
      <c r="J9" s="119" t="inlineStr">
        <is>
          <t>Um jovem com túnica rasgada e mãos ensanguentadas tremendo de frio atrás de uma pedra.</t>
        </is>
      </c>
    </row>
    <row r="10" ht="15" customHeight="1" s="116">
      <c r="A10" s="119" t="n">
        <v>8</v>
      </c>
      <c r="B10" s="230" t="inlineStr">
        <is>
          <t>36-40</t>
        </is>
      </c>
      <c r="C10" s="119" t="inlineStr">
        <is>
          <t>Noite do Céu Carmesim (Lua da Mão)</t>
        </is>
      </c>
      <c r="D10" s="119" t="inlineStr">
        <is>
          <t>Clima Sombrio</t>
        </is>
      </c>
      <c r="E10" s="119" t="inlineStr">
        <is>
          <t>Todo o Continente (Atos I a V)</t>
        </is>
      </c>
      <c r="F10" s="119" t="inlineStr">
        <is>
          <t>SAB CD 14 (Vontade)</t>
        </is>
      </c>
      <c r="G10" s="119" t="inlineStr">
        <is>
          <t>Mantêm o foco mental e garantem descanso completo sem pesadelos</t>
        </is>
      </c>
      <c r="H10" s="119" t="inlineStr">
        <is>
          <t>Não conseguem recuperar Mana durante o descanso devido a visões do fim do mundo</t>
        </is>
      </c>
      <c r="I10" s="119" t="inlineStr">
        <is>
          <t>Acampar sob a luz da lua vermelha aceitando o perigo de monstros fortalecidos ou marchar sem dormir</t>
        </is>
      </c>
      <c r="J10" s="119" t="inlineStr">
        <is>
          <t>A lua é coberta por uma sombra de cinco dedos estendidos avermelhando todo o horizonte.</t>
        </is>
      </c>
    </row>
    <row r="11" ht="15" customHeight="1" s="116">
      <c r="A11" s="119" t="n">
        <v>9</v>
      </c>
      <c r="B11" s="230" t="inlineStr">
        <is>
          <t>41-45</t>
        </is>
      </c>
      <c r="C11" s="119" t="inlineStr">
        <is>
          <t>O Poço Envenenado das Galerias</t>
        </is>
      </c>
      <c r="D11" s="119" t="inlineStr">
        <is>
          <t>Perigo de Terreno</t>
        </is>
      </c>
      <c r="E11" s="119" t="inlineStr">
        <is>
          <t>Minas &amp; Dungeons Subterrâneas (Ato I-II)</t>
        </is>
      </c>
      <c r="F11" s="119" t="inlineStr">
        <is>
          <t>SAB CD 12 (Purificação)</t>
        </is>
      </c>
      <c r="G11" s="119" t="inlineStr">
        <is>
          <t>Purificam a água com sucesso e coletam 1x Fungo Medicinal raro (+25 XP)</t>
        </is>
      </c>
      <c r="H11" s="119" t="inlineStr">
        <is>
          <t>O grupo bebe água tóxica e sofre envenenamento (-1 de Ataque no próximo combate)</t>
        </is>
      </c>
      <c r="I11" s="119" t="inlineStr">
        <is>
          <t>Gastar um antídoto precioso da mochila para purificar o poço para futuros viajantes ou seguir adiante</t>
        </is>
      </c>
      <c r="J11" s="119" t="inlineStr">
        <is>
          <t>A única fonte de água fresca do túnel coberta por uma camada viscosa de limo arroxeado.</t>
        </is>
      </c>
    </row>
    <row r="12" ht="15" customHeight="1" s="116">
      <c r="A12" s="119" t="n">
        <v>10</v>
      </c>
      <c r="B12" s="230" t="inlineStr">
        <is>
          <t>46-50</t>
        </is>
      </c>
      <c r="C12" s="119" t="inlineStr">
        <is>
          <t>A Procissão dos Sem-Voz</t>
        </is>
      </c>
      <c r="D12" s="119" t="inlineStr">
        <is>
          <t>Encontro Social / Tensão</t>
        </is>
      </c>
      <c r="E12" s="119" t="inlineStr">
        <is>
          <t>Criptas &amp; Catedrais Soterradas (Ato II)</t>
        </is>
      </c>
      <c r="F12" s="119" t="inlineStr">
        <is>
          <t>DES CD 14 (Furtividade)</t>
        </is>
      </c>
      <c r="G12" s="119" t="inlineStr">
        <is>
          <t>O grupo passa despercebido pelos peregrinos sem iniciar hostilidades</t>
        </is>
      </c>
      <c r="H12" s="119" t="inlineStr">
        <is>
          <t>São descobertos e forçados a lutar contra 3x Inquisidores do Silêncio em desvantagem</t>
        </is>
      </c>
      <c r="I12" s="119" t="inlineStr">
        <is>
          <t>Respeitar a procissão silenciosa sem intervir ou atacar os fanáticos para roubar suas relíquias de prata</t>
        </is>
      </c>
      <c r="J12" s="119" t="inlineStr">
        <is>
          <t>Dezenas de devotos vestidos de cinza com bocas costuradas marchando em silêncio absoluto.</t>
        </is>
      </c>
    </row>
    <row r="13" ht="15" customHeight="1" s="116">
      <c r="A13" s="119" t="n">
        <v>11</v>
      </c>
      <c r="B13" s="230" t="inlineStr">
        <is>
          <t>51-55</t>
        </is>
      </c>
      <c r="C13" s="119" t="inlineStr">
        <is>
          <t>Fenda Magmática Repentina</t>
        </is>
      </c>
      <c r="D13" s="119" t="inlineStr">
        <is>
          <t>Perigo de Terreno</t>
        </is>
      </c>
      <c r="E13" s="119" t="inlineStr">
        <is>
          <t>Fendas Vulcânicas (Ato III)</t>
        </is>
      </c>
      <c r="F13" s="119" t="inlineStr">
        <is>
          <t>DES CD 16 ou INT CD 16</t>
        </is>
      </c>
      <c r="G13" s="119" t="inlineStr">
        <is>
          <t>Criam uma ponte de rocha com magia ou saltam com maestria (+50 XP)</t>
        </is>
      </c>
      <c r="H13" s="119" t="inlineStr">
        <is>
          <t>Caem na borda da lava sofrendo 20 de dano de fogo e perdendo 1 item consumível da mochila</t>
        </is>
      </c>
      <c r="I13" s="119" t="inlineStr">
        <is>
          <t>Cruzar a fenda quente para economizar 1 dia de viagem ou dar a volta longa pelas florestas de trolls</t>
        </is>
      </c>
      <c r="J13" s="119" t="inlineStr">
        <is>
          <t>O solo racha violentamente liberando jatos de magma e enxofre sob os pés do grupo.</t>
        </is>
      </c>
    </row>
    <row r="14" ht="15" customHeight="1" s="116">
      <c r="A14" s="119" t="n">
        <v>12</v>
      </c>
      <c r="B14" s="230" t="inlineStr">
        <is>
          <t>56-60</t>
        </is>
      </c>
      <c r="C14" s="119" t="inlineStr">
        <is>
          <t>O Mensageiro Real Moribundo</t>
        </is>
      </c>
      <c r="D14" s="119" t="inlineStr">
        <is>
          <t>Dilema Moral</t>
        </is>
      </c>
      <c r="E14" s="119" t="inlineStr">
        <is>
          <t>Estradas Militares (Atos I a IV)</t>
        </is>
      </c>
      <c r="F14" s="119" t="inlineStr">
        <is>
          <t>SAB CD 14 (Primeiros Socorros)</t>
        </is>
      </c>
      <c r="G14" s="119" t="inlineStr">
        <is>
          <t>Estabilizam o mensageiro que agradece entregando um salvo-conduto militar (+50 XP)</t>
        </is>
      </c>
      <c r="H14" s="119" t="inlineStr">
        <is>
          <t>O mensageiro morre antes de falar deixando uma carta lacrada com sangue</t>
        </is>
      </c>
      <c r="I14" s="119" t="inlineStr">
        <is>
          <t>Romper o selo real da carta para descobrir segredos da corte ou entregá-la intacta ao general da fortaleza</t>
        </is>
      </c>
      <c r="J14" s="119" t="inlineStr">
        <is>
          <t>Um cavaleiro com armadura estraçalhada respirando com dificuldade encostado em um marco de pedra.</t>
        </is>
      </c>
    </row>
    <row r="15" ht="15" customHeight="1" s="116">
      <c r="A15" s="119" t="n">
        <v>13</v>
      </c>
      <c r="B15" s="230" t="inlineStr">
        <is>
          <t>61-65</t>
        </is>
      </c>
      <c r="C15" s="119" t="inlineStr">
        <is>
          <t>Vento Cortante das Altitudes Dracônicas</t>
        </is>
      </c>
      <c r="D15" s="119" t="inlineStr">
        <is>
          <t>Clima Sombrio</t>
        </is>
      </c>
      <c r="E15" s="119" t="inlineStr">
        <is>
          <t>Cordilheira Ígnea &amp; Picos (Ato IV)</t>
        </is>
      </c>
      <c r="F15" s="119" t="inlineStr">
        <is>
          <t>CON CD 18 (Resistência Física)</t>
        </is>
      </c>
      <c r="G15" s="119" t="inlineStr">
        <is>
          <t>Suportam a geada e o vento sem sofrer penalidades de estamina</t>
        </is>
      </c>
      <c r="H15" s="119" t="inlineStr">
        <is>
          <t>O grupo sofre 1 nível de exaustão (-2 em testes físicos até descansar em estalagem quente)</t>
        </is>
      </c>
      <c r="I15" s="119" t="inlineStr">
        <is>
          <t>Abandonar carga pesada para subir a montanha mais rápido ou arriscar hipotermia com todos os minérios</t>
        </is>
      </c>
      <c r="J15" s="119" t="inlineStr">
        <is>
          <t>Rajadas de vento polar carregadas de cinzas vulcânicas que cegam qualquer visão além de 2 metros.</t>
        </is>
      </c>
    </row>
    <row r="16" ht="15" customHeight="1" s="116">
      <c r="A16" s="119" t="n">
        <v>14</v>
      </c>
      <c r="B16" s="230" t="inlineStr">
        <is>
          <t>66-70</t>
        </is>
      </c>
      <c r="C16" s="119" t="inlineStr">
        <is>
          <t>A Árvore dos Enforcados Sussurrantes</t>
        </is>
      </c>
      <c r="D16" s="119" t="inlineStr">
        <is>
          <t>Anomalia da Infecção</t>
        </is>
      </c>
      <c r="E16" s="119" t="inlineStr">
        <is>
          <t>Bosques Proibidos (Ato II-III)</t>
        </is>
      </c>
      <c r="F16" s="119" t="inlineStr">
        <is>
          <t>SAB CD 16 (Ocultismo)</t>
        </is>
      </c>
      <c r="G16" s="119" t="inlineStr">
        <is>
          <t>Decifram os murmúrios dos galhos e descobrem a senha secreta de uma tumba próxima</t>
        </is>
      </c>
      <c r="H16" s="119" t="inlineStr">
        <is>
          <t>O horror da cena impõe penalidade de -2 no primeiro turno de combate por pavor</t>
        </is>
      </c>
      <c r="I16" s="119" t="inlineStr">
        <is>
          <t>Queimar a árvore sagrada para libertar os espíritos ou escutar os sussurros para obter segredos arcanos</t>
        </is>
      </c>
      <c r="J16" s="119" t="inlineStr">
        <is>
          <t>Carvalhos retorcidos cujos galhos sustentam armaduras vazias que repetem nomes de soldados caídos.</t>
        </is>
      </c>
    </row>
    <row r="17" ht="15" customHeight="1" s="116">
      <c r="A17" s="119" t="n">
        <v>15</v>
      </c>
      <c r="B17" s="230" t="inlineStr">
        <is>
          <t>71-75</t>
        </is>
      </c>
      <c r="C17" s="119" t="inlineStr">
        <is>
          <t>O Oásis de Cristal Ilusório</t>
        </is>
      </c>
      <c r="D17" s="119" t="inlineStr">
        <is>
          <t>Perigo de Terreno / Emboscada</t>
        </is>
      </c>
      <c r="E17" s="119" t="inlineStr">
        <is>
          <t>Desolação de Ébano (Ato IV)</t>
        </is>
      </c>
      <c r="F17" s="119" t="inlineStr">
        <is>
          <t>SAB CD 18 (Percepção)</t>
        </is>
      </c>
      <c r="G17" s="119" t="inlineStr">
        <is>
          <t>Percebem que a água límpida é uma armadilha mimetizada de um Amálgama (+60 XP)</t>
        </is>
      </c>
      <c r="H17" s="119" t="inlineStr">
        <is>
          <t>Caem na armadilha sofrendo 25 de dano surpresa de tentáculos de carne assimilada</t>
        </is>
      </c>
      <c r="I17" s="119" t="inlineStr">
        <is>
          <t>Destruir a aberração para proteger outros aventureiros ou contornar discretamente economizando recursos</t>
        </is>
      </c>
      <c r="J17" s="119" t="inlineStr">
        <is>
          <t>Uma fonte cristalina brilhando no meio da terra morta cercada por frutos que parecem de ouro.</t>
        </is>
      </c>
    </row>
    <row r="18" ht="15" customHeight="1" s="116">
      <c r="A18" s="119" t="n">
        <v>16</v>
      </c>
      <c r="B18" s="230" t="inlineStr">
        <is>
          <t>76-80</t>
        </is>
      </c>
      <c r="C18" s="119" t="inlineStr">
        <is>
          <t>O Altar do Viajante Esquecido</t>
        </is>
      </c>
      <c r="D18" s="119" t="inlineStr">
        <is>
          <t>Descoberta Oculta</t>
        </is>
      </c>
      <c r="E18" s="119" t="inlineStr">
        <is>
          <t>Todas as Regiões (Atos I a V)</t>
        </is>
      </c>
      <c r="F18" s="119" t="inlineStr">
        <is>
          <t>SAB CD 14 (Religião)</t>
        </is>
      </c>
      <c r="G18" s="119" t="inlineStr">
        <is>
          <t>Recebem a Bênção do Caminho Seguro (+2 de Defesa e +1 de Ataque até o próximo descanso)</t>
        </is>
      </c>
      <c r="H18" s="119" t="inlineStr">
        <is>
          <t>Não conseguem sintonizar com o altar antigo e nada acontece</t>
        </is>
      </c>
      <c r="I18" s="119" t="inlineStr">
        <is>
          <t>Deixar uma oferenda em ouro para ativar a bênção divina ou guardar o dinheiro para suprimentos</t>
        </is>
      </c>
      <c r="J18" s="119" t="inlineStr">
        <is>
          <t>Um pequeno santuário de pedra coberto de musgo erguido eras antes do primeiro ciclo da Infecção.</t>
        </is>
      </c>
    </row>
    <row r="19" ht="15" customHeight="1" s="116">
      <c r="A19" s="119" t="n">
        <v>17</v>
      </c>
      <c r="B19" s="230" t="inlineStr">
        <is>
          <t>81-85</t>
        </is>
      </c>
      <c r="C19" s="119" t="inlineStr">
        <is>
          <t>Tempestade de Relâmpagos Negros</t>
        </is>
      </c>
      <c r="D19" s="119" t="inlineStr">
        <is>
          <t>Clima Cósmico</t>
        </is>
      </c>
      <c r="E19" s="119" t="inlineStr">
        <is>
          <t>Terras Altas &amp; Fendas do Vazio (Ato IV-V)</t>
        </is>
      </c>
      <c r="F19" s="119" t="inlineStr">
        <is>
          <t>INT CD 18 ou SAB CD 18</t>
        </is>
      </c>
      <c r="G19" s="119" t="inlineStr">
        <is>
          <t>Canalizam as descargas elétricas em baterias arcanas recuperando 100 de Mana do grupo</t>
        </is>
      </c>
      <c r="H19" s="119" t="inlineStr">
        <is>
          <t>Sofrem choque de energia negativa perdendo 20 HP e 30 Mana instantaneamente</t>
        </is>
      </c>
      <c r="I19" s="119" t="inlineStr">
        <is>
          <t>Refugiar-se em ruínas antigas protegidas por golens ou enfrentar a tempestade a céu aberto</t>
        </is>
      </c>
      <c r="J19" s="119" t="inlineStr">
        <is>
          <t>Relâmpagos que não iluminam o céu mas projetam sombras densas que queimam o chão ao cair.</t>
        </is>
      </c>
    </row>
    <row r="20" ht="15" customHeight="1" s="116">
      <c r="A20" s="119" t="n">
        <v>18</v>
      </c>
      <c r="B20" s="230" t="inlineStr">
        <is>
          <t>86-90</t>
        </is>
      </c>
      <c r="C20" s="119" t="inlineStr">
        <is>
          <t>O Prisioneiro da Gaiola Suspensa</t>
        </is>
      </c>
      <c r="D20" s="119" t="inlineStr">
        <is>
          <t>Dilema Moral</t>
        </is>
      </c>
      <c r="E20" s="119" t="inlineStr">
        <is>
          <t>Desfiladeiros &amp; Fortalezas (Ato III-IV)</t>
        </is>
      </c>
      <c r="F20" s="119" t="inlineStr">
        <is>
          <t>DES CD 16 ou FOR CD 16</t>
        </is>
      </c>
      <c r="G20" s="119" t="inlineStr">
        <is>
          <t>Desarmam o mecanismo da gaiola e libertam o cativo com segurança (+80 XP)</t>
        </is>
      </c>
      <c r="H20" s="119" t="inlineStr">
        <is>
          <t>O mecanismo trava disparando dardos venenosos que causam 10 de dano ao herói</t>
        </is>
      </c>
      <c r="I20" s="119" t="inlineStr">
        <is>
          <t>Libertar um alquimista condenado por experimentos com sangue em troca de uma receita rara ou deixá-lo pagar sua pena</t>
        </is>
      </c>
      <c r="J20" s="119" t="inlineStr">
        <is>
          <t>Uma jaula de ferro pendurada por correntes sobre um abismo de cem metros de profundidade.</t>
        </is>
      </c>
    </row>
    <row r="21" ht="15" customHeight="1" s="116">
      <c r="A21" s="119" t="n">
        <v>19</v>
      </c>
      <c r="B21" s="230" t="inlineStr">
        <is>
          <t>91-95</t>
        </is>
      </c>
      <c r="C21" s="119" t="inlineStr">
        <is>
          <t>Distorção Temporal do Véu Cósmico</t>
        </is>
      </c>
      <c r="D21" s="119" t="inlineStr">
        <is>
          <t>Anomalia Cósmica</t>
        </is>
      </c>
      <c r="E21" s="119" t="inlineStr">
        <is>
          <t>Limiar do Portal Estelar (Ato V)</t>
        </is>
      </c>
      <c r="F21" s="119" t="inlineStr">
        <is>
          <t>INT CD 20 (Física Arcana)</t>
        </is>
      </c>
      <c r="G21" s="119" t="inlineStr">
        <is>
          <t>Mantêm a linha temporal estável e avançam sem perda de tempo (+100 XP)</t>
        </is>
      </c>
      <c r="H21" s="119" t="inlineStr">
        <is>
          <t>O tempo se dilata; passam-se 3 dias no mundo exterior consumindo todas as rações do grupo</t>
        </is>
      </c>
      <c r="I21" s="119" t="inlineStr">
        <is>
          <t>Arriscar um atalho através da distorção dimensional ou seguir pela rota convencional infestada de horrores</t>
        </is>
      </c>
      <c r="J21" s="119" t="inlineStr">
        <is>
          <t>As estrelas giram em espiral no céu e os próprios passos dos heróis ecoam antes de tocarem o chão.</t>
        </is>
      </c>
    </row>
    <row r="22" ht="15" customHeight="1" s="116">
      <c r="A22" s="119" t="n">
        <v>20</v>
      </c>
      <c r="B22" s="230" t="inlineStr">
        <is>
          <t>96-100</t>
        </is>
      </c>
      <c r="C22" s="119" t="inlineStr">
        <is>
          <t>Aurora Estelar Primordial (O Encontro do Destino)</t>
        </is>
      </c>
      <c r="D22" s="119" t="inlineStr">
        <is>
          <t>Descoberta Mítica</t>
        </is>
      </c>
      <c r="E22" s="119" t="inlineStr">
        <is>
          <t>Santuário Proibido &amp; Clímax (Ato V)</t>
        </is>
      </c>
      <c r="F22" s="119" t="inlineStr">
        <is>
          <t>Nenhuma Rolagem (Evento Puro de Graça Cósmica)</t>
        </is>
      </c>
      <c r="G22" s="119" t="inlineStr">
        <is>
          <t>Toda a Vida e Mana são restauradas 100% todas as maldições são limpas e cada herói ganha 1 Ponto de Destino</t>
        </is>
      </c>
      <c r="H22" s="119" t="inlineStr">
        <is>
          <t>Não há falha neste evento supremo</t>
        </is>
      </c>
      <c r="I22" s="119" t="inlineStr">
        <is>
          <t>Escolher entre receber uma visão profética do ponto fraco do Aspecto da Infecção ou restaurar totalmente seus aliados</t>
        </is>
      </c>
      <c r="J22" s="119" t="inlineStr">
        <is>
          <t>O firmamento se abre em fractais de luz dourada e pura paz; por um instante a Mão recua em todo o continente.</t>
        </is>
      </c>
    </row>
    <row r="23">
      <c r="A23" s="161" t="n">
        <v>21</v>
      </c>
      <c r="B23" s="161" t="inlineStr">
        <is>
          <t>Regional (não entra no d100 padrão)</t>
        </is>
      </c>
      <c r="C23" s="161" t="inlineStr">
        <is>
          <t>Chuva Ferrosa das Ruínas</t>
        </is>
      </c>
      <c r="D23" s="161" t="inlineStr">
        <is>
          <t>Clima Regional</t>
        </is>
      </c>
      <c r="E23" s="161" t="inlineStr">
        <is>
          <t>Ruínas da Antiga Forja &amp; Cinzenta (Ato I)</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0"/>
  </sheetPr>
  <dimension ref="A1:J55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15" min="1" max="1"/>
    <col width="14" customWidth="1" style="115" min="2" max="2"/>
    <col width="30" customWidth="1" style="115" min="3" max="3"/>
    <col width="40" customWidth="1" style="115" min="4" max="4"/>
    <col width="13" customWidth="1" style="115" min="5" max="5"/>
    <col width="32" customWidth="1" style="115" min="6" max="6"/>
    <col width="14" customWidth="1" style="115" min="7" max="7"/>
    <col width="32" customWidth="1" style="115" min="8" max="8"/>
    <col width="18" customWidth="1" style="115" min="9" max="9"/>
    <col width="12" customWidth="1" style="115" min="10" max="10"/>
  </cols>
  <sheetData>
    <row r="1" ht="15.75" customHeight="1" s="116">
      <c r="A1" s="117" t="inlineStr">
        <is>
          <t>Receitas de Crafting — materiais, custo e onde aprender</t>
        </is>
      </c>
    </row>
    <row r="2" ht="15" customHeight="1" s="116">
      <c r="A2" s="115" t="inlineStr">
        <is>
          <t>Nível 1 (Livre): só materiais base, qualquer ferreiro. Nível 2: +Essência do tier + Receita comprada. Nível 3: só o Artesão Mestre faz, sempre pago. Nível 4: só via quest específica (ver Artefatos e Relíquias).</t>
        </is>
      </c>
    </row>
    <row r="4" ht="15" customHeight="1" s="116">
      <c r="A4" s="118" t="inlineStr">
        <is>
          <t>Tier</t>
        </is>
      </c>
      <c r="B4" s="118" t="inlineStr">
        <is>
          <t>Tipo/Slot</t>
        </is>
      </c>
      <c r="C4" s="118" t="inlineStr">
        <is>
          <t>Material Base 1 (Qtd)</t>
        </is>
      </c>
      <c r="D4" s="118" t="inlineStr">
        <is>
          <t>Material Base 2 (Qtd)</t>
        </is>
      </c>
      <c r="E4" s="118" t="inlineStr">
        <is>
          <t>Custo Base de Forja (Ouro)</t>
        </is>
      </c>
      <c r="F4" s="118" t="inlineStr">
        <is>
          <t>Essência p/ Nível 2+ (Qtd)</t>
        </is>
      </c>
      <c r="G4" s="118" t="inlineStr">
        <is>
          <t>Custo da Receita Nível 2 (Ouro)</t>
        </is>
      </c>
      <c r="H4" s="118" t="inlineStr">
        <is>
          <t>Artesão Mestre (Nível 3)</t>
        </is>
      </c>
      <c r="I4" s="118" t="inlineStr">
        <is>
          <t>Categoria</t>
        </is>
      </c>
      <c r="J4" s="118" t="inlineStr">
        <is>
          <t>Efeito (so Acessorio)</t>
        </is>
      </c>
    </row>
    <row r="5" ht="15" customHeight="1" s="116">
      <c r="A5" s="119" t="inlineStr">
        <is>
          <t>Tier 1 (Sucata Enferrujada)</t>
        </is>
      </c>
      <c r="B5" s="119" t="inlineStr">
        <is>
          <t>Espada</t>
        </is>
      </c>
      <c r="C5" s="119" t="inlineStr">
        <is>
          <t>Sucata Retorcida (3x)</t>
        </is>
      </c>
      <c r="D5" s="119" t="inlineStr">
        <is>
          <t>Couro Áspero de Javali (1x)</t>
        </is>
      </c>
      <c r="E5" s="119" t="n">
        <v>1</v>
      </c>
      <c r="F5" s="119" t="inlineStr">
        <is>
          <t>Couro Áspero de Javali (1x)</t>
        </is>
      </c>
      <c r="G5" s="119" t="n">
        <v>2</v>
      </c>
      <c r="H5" s="119" t="inlineStr">
        <is>
          <t>Gorim o Caolho</t>
        </is>
      </c>
      <c r="I5" s="115" t="inlineStr">
        <is>
          <t>Arma/Armadura</t>
        </is>
      </c>
      <c r="J5" s="115" t="inlineStr">
        <is>
          <t>Forja</t>
        </is>
      </c>
    </row>
    <row r="6" ht="15" customHeight="1" s="116">
      <c r="A6" s="119" t="inlineStr">
        <is>
          <t>Tier 1 (Sucata Enferrujada)</t>
        </is>
      </c>
      <c r="B6" s="119" t="inlineStr">
        <is>
          <t>Machado</t>
        </is>
      </c>
      <c r="C6" s="119" t="inlineStr">
        <is>
          <t>Sucata Retorcida (4x)</t>
        </is>
      </c>
      <c r="D6" s="119" t="inlineStr">
        <is>
          <t>Carvalho Ressequido (1x)</t>
        </is>
      </c>
      <c r="E6" s="119" t="n">
        <v>1</v>
      </c>
      <c r="F6" s="119" t="inlineStr">
        <is>
          <t>Couro Áspero de Javali (1x)</t>
        </is>
      </c>
      <c r="G6" s="119" t="n">
        <v>2</v>
      </c>
      <c r="H6" s="119" t="inlineStr">
        <is>
          <t>Gorim o Caolho</t>
        </is>
      </c>
      <c r="I6" s="115" t="inlineStr">
        <is>
          <t>Arma/Armadura</t>
        </is>
      </c>
      <c r="J6" s="115" t="inlineStr">
        <is>
          <t>Forja</t>
        </is>
      </c>
    </row>
    <row r="7" ht="15" customHeight="1" s="116">
      <c r="A7" s="119" t="inlineStr">
        <is>
          <t>Tier 1 (Sucata Enferrujada)</t>
        </is>
      </c>
      <c r="B7" s="119" t="inlineStr">
        <is>
          <t>Maça</t>
        </is>
      </c>
      <c r="C7" s="119" t="inlineStr">
        <is>
          <t>Sucata Retorcida (3x)</t>
        </is>
      </c>
      <c r="D7" s="119" t="inlineStr">
        <is>
          <t>Carvalho Ressequido (2x)</t>
        </is>
      </c>
      <c r="E7" s="119" t="n">
        <v>1</v>
      </c>
      <c r="F7" s="119" t="inlineStr">
        <is>
          <t>Couro Áspero de Javali (1x)</t>
        </is>
      </c>
      <c r="G7" s="119" t="n">
        <v>2</v>
      </c>
      <c r="H7" s="119" t="inlineStr">
        <is>
          <t>Gorim o Caolho</t>
        </is>
      </c>
      <c r="I7" s="115" t="inlineStr">
        <is>
          <t>Arma/Armadura</t>
        </is>
      </c>
      <c r="J7" s="115" t="inlineStr">
        <is>
          <t>Forja</t>
        </is>
      </c>
    </row>
    <row r="8" ht="15" customHeight="1" s="116">
      <c r="A8" s="119" t="inlineStr">
        <is>
          <t>Tier 1 (Sucata Enferrujada)</t>
        </is>
      </c>
      <c r="B8" s="119" t="inlineStr">
        <is>
          <t>Peitoral</t>
        </is>
      </c>
      <c r="C8" s="119" t="inlineStr">
        <is>
          <t>Sucata Retorcida (3x)</t>
        </is>
      </c>
      <c r="D8" s="119" t="inlineStr">
        <is>
          <t>Couro Áspero de Javali (2x)</t>
        </is>
      </c>
      <c r="E8" s="119" t="n">
        <v>1</v>
      </c>
      <c r="F8" s="119" t="inlineStr">
        <is>
          <t>Couro Áspero de Javali (1x)</t>
        </is>
      </c>
      <c r="G8" s="119" t="n">
        <v>2</v>
      </c>
      <c r="H8" s="119" t="inlineStr">
        <is>
          <t>Gorim o Caolho</t>
        </is>
      </c>
      <c r="I8" s="115" t="inlineStr">
        <is>
          <t>Arma/Armadura</t>
        </is>
      </c>
      <c r="J8" s="115" t="inlineStr">
        <is>
          <t>Forja</t>
        </is>
      </c>
    </row>
    <row r="9" ht="15" customHeight="1" s="116">
      <c r="A9" s="119" t="inlineStr">
        <is>
          <t>Tier 1 (Sucata Enferrujada)</t>
        </is>
      </c>
      <c r="B9" s="119" t="inlineStr">
        <is>
          <t>Escudo</t>
        </is>
      </c>
      <c r="C9" s="119" t="inlineStr">
        <is>
          <t>Sucata Retorcida (4x)</t>
        </is>
      </c>
      <c r="D9" s="119" t="inlineStr">
        <is>
          <t>Carvalho Ressequido (1x)</t>
        </is>
      </c>
      <c r="E9" s="119" t="n">
        <v>1</v>
      </c>
      <c r="F9" s="119" t="inlineStr">
        <is>
          <t>Couro Áspero de Javali (1x)</t>
        </is>
      </c>
      <c r="G9" s="119" t="n">
        <v>2</v>
      </c>
      <c r="H9" s="119" t="inlineStr">
        <is>
          <t>Gorim o Caolho</t>
        </is>
      </c>
      <c r="I9" s="115" t="inlineStr">
        <is>
          <t>Arma/Armadura</t>
        </is>
      </c>
      <c r="J9" s="115" t="inlineStr">
        <is>
          <t>Forja</t>
        </is>
      </c>
    </row>
    <row r="10" ht="15" customHeight="1" s="116">
      <c r="A10" s="119" t="inlineStr">
        <is>
          <t>Tier 1 (Sucata Enferrujada)</t>
        </is>
      </c>
      <c r="B10" s="119" t="inlineStr">
        <is>
          <t>Elmo</t>
        </is>
      </c>
      <c r="C10" s="119" t="inlineStr">
        <is>
          <t>Sucata Retorcida (2x)</t>
        </is>
      </c>
      <c r="D10" s="119" t="inlineStr">
        <is>
          <t>Couro Áspero de Javali (1x)</t>
        </is>
      </c>
      <c r="E10" s="119" t="n">
        <v>1</v>
      </c>
      <c r="F10" s="119" t="inlineStr">
        <is>
          <t>Couro Áspero de Javali (1x)</t>
        </is>
      </c>
      <c r="G10" s="119" t="n">
        <v>2</v>
      </c>
      <c r="H10" s="119" t="inlineStr">
        <is>
          <t>Gorim o Caolho</t>
        </is>
      </c>
      <c r="I10" s="115" t="inlineStr">
        <is>
          <t>Arma/Armadura</t>
        </is>
      </c>
      <c r="J10" s="115" t="inlineStr">
        <is>
          <t>Forja</t>
        </is>
      </c>
    </row>
    <row r="11" ht="15" customHeight="1" s="116">
      <c r="A11" s="119" t="inlineStr">
        <is>
          <t>Tier 1 (Sucata Enferrujada)</t>
        </is>
      </c>
      <c r="B11" s="119" t="inlineStr">
        <is>
          <t>Arco</t>
        </is>
      </c>
      <c r="C11" s="119" t="inlineStr">
        <is>
          <t>Carvalho Ressequido (3x)</t>
        </is>
      </c>
      <c r="D11" s="119" t="inlineStr">
        <is>
          <t>Couro Áspero de Javali (1x)</t>
        </is>
      </c>
      <c r="E11" s="119" t="n">
        <v>1</v>
      </c>
      <c r="F11" s="119" t="inlineStr">
        <is>
          <t>Couro Áspero de Javali (1x)</t>
        </is>
      </c>
      <c r="G11" s="119" t="n">
        <v>2</v>
      </c>
      <c r="H11" s="119" t="inlineStr">
        <is>
          <t>Gorim o Caolho</t>
        </is>
      </c>
      <c r="I11" s="115" t="inlineStr">
        <is>
          <t>Arma/Armadura</t>
        </is>
      </c>
      <c r="J11" s="115" t="inlineStr">
        <is>
          <t>Forja</t>
        </is>
      </c>
    </row>
    <row r="12" ht="15" customHeight="1" s="116">
      <c r="A12" s="119" t="inlineStr">
        <is>
          <t>Tier 1 (Sucata Enferrujada)</t>
        </is>
      </c>
      <c r="B12" s="119" t="inlineStr">
        <is>
          <t>Cetro</t>
        </is>
      </c>
      <c r="C12" s="119" t="inlineStr">
        <is>
          <t>Carvalho Ressequido (3x)</t>
        </is>
      </c>
      <c r="D12" s="119" t="inlineStr">
        <is>
          <t>Raiz de Sangue-Seco (1x)</t>
        </is>
      </c>
      <c r="E12" s="119" t="n">
        <v>1</v>
      </c>
      <c r="F12" s="119" t="inlineStr">
        <is>
          <t>Couro Áspero de Javali (1x)</t>
        </is>
      </c>
      <c r="G12" s="119" t="n">
        <v>2</v>
      </c>
      <c r="H12" s="119" t="inlineStr">
        <is>
          <t>Gorim o Caolho</t>
        </is>
      </c>
      <c r="I12" s="115" t="inlineStr">
        <is>
          <t>Arma/Armadura</t>
        </is>
      </c>
      <c r="J12" s="115" t="inlineStr">
        <is>
          <t>Forja</t>
        </is>
      </c>
    </row>
    <row r="13" ht="15" customHeight="1" s="116">
      <c r="A13" s="119" t="inlineStr">
        <is>
          <t>Tier 1 (Sucata Enferrujada)</t>
        </is>
      </c>
      <c r="B13" s="119" t="inlineStr">
        <is>
          <t>Adaga</t>
        </is>
      </c>
      <c r="C13" s="119" t="inlineStr">
        <is>
          <t>Sucata Retorcida (2x)</t>
        </is>
      </c>
      <c r="D13" s="119" t="inlineStr">
        <is>
          <t>Sucata Retorcida (1x)</t>
        </is>
      </c>
      <c r="E13" s="119" t="n">
        <v>1</v>
      </c>
      <c r="F13" s="119" t="inlineStr">
        <is>
          <t>Couro Áspero de Javali (1x)</t>
        </is>
      </c>
      <c r="G13" s="119" t="n">
        <v>2</v>
      </c>
      <c r="H13" s="119" t="inlineStr">
        <is>
          <t>Gorim o Caolho</t>
        </is>
      </c>
      <c r="I13" s="115" t="inlineStr">
        <is>
          <t>Arma/Armadura</t>
        </is>
      </c>
      <c r="J13" s="115" t="inlineStr">
        <is>
          <t>Forja</t>
        </is>
      </c>
    </row>
    <row r="14" ht="15" customHeight="1" s="116">
      <c r="A14" s="119" t="inlineStr">
        <is>
          <t>Tier 1 (Sucata Enferrujada)</t>
        </is>
      </c>
      <c r="B14" s="119" t="inlineStr">
        <is>
          <t>Manopla</t>
        </is>
      </c>
      <c r="C14" s="119" t="inlineStr">
        <is>
          <t>Couro Áspero de Javali (2x)</t>
        </is>
      </c>
      <c r="D14" s="119" t="inlineStr">
        <is>
          <t>Sucata Retorcida (1x)</t>
        </is>
      </c>
      <c r="E14" s="119" t="n">
        <v>1</v>
      </c>
      <c r="F14" s="119" t="inlineStr">
        <is>
          <t>Couro Áspero de Javali (1x)</t>
        </is>
      </c>
      <c r="G14" s="119" t="n">
        <v>2</v>
      </c>
      <c r="H14" s="119" t="inlineStr">
        <is>
          <t>Gorim o Caolho</t>
        </is>
      </c>
      <c r="I14" s="115" t="inlineStr">
        <is>
          <t>Arma/Armadura</t>
        </is>
      </c>
      <c r="J14" s="115" t="inlineStr">
        <is>
          <t>Forja</t>
        </is>
      </c>
    </row>
    <row r="15" ht="15" customHeight="1" s="116">
      <c r="A15" s="119" t="inlineStr">
        <is>
          <t>Tier 1 (Sucata Enferrujada)</t>
        </is>
      </c>
      <c r="B15" s="119" t="inlineStr">
        <is>
          <t>Luvas</t>
        </is>
      </c>
      <c r="C15" s="119" t="inlineStr">
        <is>
          <t>Couro Áspero de Javali (2x)</t>
        </is>
      </c>
      <c r="D15" s="119" t="inlineStr">
        <is>
          <t>Sucata Retorcida (1x)</t>
        </is>
      </c>
      <c r="E15" s="119" t="n">
        <v>1</v>
      </c>
      <c r="F15" s="119" t="inlineStr">
        <is>
          <t>Couro Áspero de Javali (1x)</t>
        </is>
      </c>
      <c r="G15" s="119" t="n">
        <v>2</v>
      </c>
      <c r="H15" s="119" t="inlineStr">
        <is>
          <t>Gorim o Caolho</t>
        </is>
      </c>
      <c r="I15" s="115" t="inlineStr">
        <is>
          <t>Arma/Armadura</t>
        </is>
      </c>
      <c r="J15" s="115" t="inlineStr">
        <is>
          <t>Forja</t>
        </is>
      </c>
    </row>
    <row r="16" ht="15" customHeight="1" s="116">
      <c r="A16" s="119" t="inlineStr">
        <is>
          <t>Tier 1 (Sucata Enferrujada)</t>
        </is>
      </c>
      <c r="B16" s="119" t="inlineStr">
        <is>
          <t>Bota</t>
        </is>
      </c>
      <c r="C16" s="119" t="inlineStr">
        <is>
          <t>Couro Áspero de Javali (3x)</t>
        </is>
      </c>
      <c r="D16" s="119" t="inlineStr">
        <is>
          <t>Sucata Retorcida (1x)</t>
        </is>
      </c>
      <c r="E16" s="119" t="n">
        <v>1</v>
      </c>
      <c r="F16" s="119" t="inlineStr">
        <is>
          <t>Couro Áspero de Javali (1x)</t>
        </is>
      </c>
      <c r="G16" s="119" t="n">
        <v>2</v>
      </c>
      <c r="H16" s="119" t="inlineStr">
        <is>
          <t>Gorim o Caolho</t>
        </is>
      </c>
      <c r="I16" s="115" t="inlineStr">
        <is>
          <t>Arma/Armadura</t>
        </is>
      </c>
      <c r="J16" s="115" t="inlineStr">
        <is>
          <t>Forja</t>
        </is>
      </c>
    </row>
    <row r="17" ht="15" customHeight="1" s="116">
      <c r="A17" s="119" t="inlineStr">
        <is>
          <t>Tier 1 (Sucata Enferrujada)</t>
        </is>
      </c>
      <c r="B17" s="119" t="inlineStr">
        <is>
          <t>Calça</t>
        </is>
      </c>
      <c r="C17" s="119" t="inlineStr">
        <is>
          <t>Couro Áspero de Javali (3x)</t>
        </is>
      </c>
      <c r="D17" s="119" t="inlineStr">
        <is>
          <t>Sucata Retorcida (1x)</t>
        </is>
      </c>
      <c r="E17" s="119" t="n">
        <v>1</v>
      </c>
      <c r="F17" s="119" t="inlineStr">
        <is>
          <t>Couro Áspero de Javali (1x)</t>
        </is>
      </c>
      <c r="G17" s="119" t="n">
        <v>2</v>
      </c>
      <c r="H17" s="119" t="inlineStr">
        <is>
          <t>Gorim o Caolho</t>
        </is>
      </c>
      <c r="I17" s="115" t="inlineStr">
        <is>
          <t>Arma/Armadura</t>
        </is>
      </c>
      <c r="J17" s="115" t="inlineStr">
        <is>
          <t>Forja</t>
        </is>
      </c>
    </row>
    <row r="18" ht="15" customHeight="1" s="116">
      <c r="A18" s="119" t="inlineStr">
        <is>
          <t>Tier 1 (Sucata Enferrujada)</t>
        </is>
      </c>
      <c r="B18" s="119" t="inlineStr">
        <is>
          <t>Amuleto</t>
        </is>
      </c>
      <c r="C18" s="119" t="inlineStr">
        <is>
          <t>Raiz de Sangue-Seco (2x)</t>
        </is>
      </c>
      <c r="D18" s="119" t="inlineStr">
        <is>
          <t>Sucata Retorcida (1x)</t>
        </is>
      </c>
      <c r="E18" s="119" t="n">
        <v>1</v>
      </c>
      <c r="F18" s="119" t="inlineStr">
        <is>
          <t>Couro Áspero de Javali (1x)</t>
        </is>
      </c>
      <c r="G18" s="119" t="n">
        <v>2</v>
      </c>
      <c r="H18" s="119" t="inlineStr">
        <is>
          <t>Gorim o Caolho</t>
        </is>
      </c>
      <c r="I18" s="115" t="inlineStr">
        <is>
          <t>Arma/Armadura</t>
        </is>
      </c>
      <c r="J18" s="115" t="inlineStr">
        <is>
          <t>Forja</t>
        </is>
      </c>
    </row>
    <row r="19" ht="15" customHeight="1" s="116">
      <c r="A19" s="119" t="inlineStr">
        <is>
          <t>Tier 1 (Sucata Enferrujada)</t>
        </is>
      </c>
      <c r="B19" s="119" t="inlineStr">
        <is>
          <t>Anel</t>
        </is>
      </c>
      <c r="C19" s="119" t="inlineStr">
        <is>
          <t>Raiz de Sangue-Seco (2x)</t>
        </is>
      </c>
      <c r="D19" s="119" t="inlineStr">
        <is>
          <t>Sucata Retorcida (1x)</t>
        </is>
      </c>
      <c r="E19" s="119" t="n">
        <v>1</v>
      </c>
      <c r="F19" s="119" t="inlineStr">
        <is>
          <t>Couro Áspero de Javali (1x)</t>
        </is>
      </c>
      <c r="G19" s="119" t="n">
        <v>2</v>
      </c>
      <c r="H19" s="119" t="inlineStr">
        <is>
          <t>Gorim o Caolho</t>
        </is>
      </c>
      <c r="I19" s="115" t="inlineStr">
        <is>
          <t>Arma/Armadura</t>
        </is>
      </c>
      <c r="J19" s="115" t="inlineStr">
        <is>
          <t>Forja</t>
        </is>
      </c>
    </row>
    <row r="20" ht="15" customHeight="1" s="116">
      <c r="A20" s="119" t="inlineStr">
        <is>
          <t>Tier 2 (Bronze)</t>
        </is>
      </c>
      <c r="B20" s="119" t="inlineStr">
        <is>
          <t>Espada</t>
        </is>
      </c>
      <c r="C20" s="119" t="inlineStr">
        <is>
          <t>Minério de Bronze Sulfuroso (3x)</t>
        </is>
      </c>
      <c r="D20" s="119" t="inlineStr">
        <is>
          <t>Quitina de Aranha das Cavernas (1x)</t>
        </is>
      </c>
      <c r="E20" s="119" t="n">
        <v>2</v>
      </c>
      <c r="F20" s="119" t="inlineStr">
        <is>
          <t>Quitina de Aranha das Cavernas (1x)</t>
        </is>
      </c>
      <c r="G20" s="119" t="n">
        <v>5</v>
      </c>
      <c r="H20" s="119" t="inlineStr">
        <is>
          <t>Gorim o Caolho</t>
        </is>
      </c>
      <c r="I20" s="115" t="inlineStr">
        <is>
          <t>Arma/Armadura</t>
        </is>
      </c>
      <c r="J20" s="115" t="inlineStr">
        <is>
          <t>Forja</t>
        </is>
      </c>
    </row>
    <row r="21" ht="15" customHeight="1" s="116">
      <c r="A21" s="119" t="inlineStr">
        <is>
          <t>Tier 2 (Bronze)</t>
        </is>
      </c>
      <c r="B21" s="119" t="inlineStr">
        <is>
          <t>Machado</t>
        </is>
      </c>
      <c r="C21" s="119" t="inlineStr">
        <is>
          <t>Minério de Bronze Sulfuroso (4x)</t>
        </is>
      </c>
      <c r="D21" s="119" t="inlineStr">
        <is>
          <t>Pinheiro da Mina (1x)</t>
        </is>
      </c>
      <c r="E21" s="119" t="n">
        <v>2</v>
      </c>
      <c r="F21" s="119" t="inlineStr">
        <is>
          <t>Quitina de Aranha das Cavernas (1x)</t>
        </is>
      </c>
      <c r="G21" s="119" t="n">
        <v>5</v>
      </c>
      <c r="H21" s="119" t="inlineStr">
        <is>
          <t>Gorim o Caolho</t>
        </is>
      </c>
      <c r="I21" s="115" t="inlineStr">
        <is>
          <t>Arma/Armadura</t>
        </is>
      </c>
      <c r="J21" s="115" t="inlineStr">
        <is>
          <t>Forja</t>
        </is>
      </c>
    </row>
    <row r="22" ht="15" customHeight="1" s="116">
      <c r="A22" s="119" t="inlineStr">
        <is>
          <t>Tier 2 (Bronze)</t>
        </is>
      </c>
      <c r="B22" s="119" t="inlineStr">
        <is>
          <t>Maça</t>
        </is>
      </c>
      <c r="C22" s="119" t="inlineStr">
        <is>
          <t>Minério de Bronze Sulfuroso (3x)</t>
        </is>
      </c>
      <c r="D22" s="119" t="inlineStr">
        <is>
          <t>Pinheiro da Mina (2x)</t>
        </is>
      </c>
      <c r="E22" s="119" t="n">
        <v>2</v>
      </c>
      <c r="F22" s="119" t="inlineStr">
        <is>
          <t>Quitina de Aranha das Cavernas (1x)</t>
        </is>
      </c>
      <c r="G22" s="119" t="n">
        <v>5</v>
      </c>
      <c r="H22" s="119" t="inlineStr">
        <is>
          <t>Gorim o Caolho</t>
        </is>
      </c>
      <c r="I22" s="115" t="inlineStr">
        <is>
          <t>Arma/Armadura</t>
        </is>
      </c>
      <c r="J22" s="115" t="inlineStr">
        <is>
          <t>Forja</t>
        </is>
      </c>
    </row>
    <row r="23" ht="15" customHeight="1" s="116">
      <c r="A23" s="119" t="inlineStr">
        <is>
          <t>Tier 2 (Bronze)</t>
        </is>
      </c>
      <c r="B23" s="119" t="inlineStr">
        <is>
          <t>Peitoral</t>
        </is>
      </c>
      <c r="C23" s="119" t="inlineStr">
        <is>
          <t>Minério de Bronze Sulfuroso (3x)</t>
        </is>
      </c>
      <c r="D23" s="119" t="inlineStr">
        <is>
          <t>Quitina de Aranha das Cavernas (2x)</t>
        </is>
      </c>
      <c r="E23" s="119" t="n">
        <v>2</v>
      </c>
      <c r="F23" s="119" t="inlineStr">
        <is>
          <t>Quitina de Aranha das Cavernas (1x)</t>
        </is>
      </c>
      <c r="G23" s="119" t="n">
        <v>5</v>
      </c>
      <c r="H23" s="119" t="inlineStr">
        <is>
          <t>Gorim o Caolho</t>
        </is>
      </c>
      <c r="I23" s="115" t="inlineStr">
        <is>
          <t>Arma/Armadura</t>
        </is>
      </c>
      <c r="J23" s="115" t="inlineStr">
        <is>
          <t>Forja</t>
        </is>
      </c>
    </row>
    <row r="24" ht="15" customHeight="1" s="116">
      <c r="A24" s="119" t="inlineStr">
        <is>
          <t>Tier 2 (Bronze)</t>
        </is>
      </c>
      <c r="B24" s="119" t="inlineStr">
        <is>
          <t>Escudo</t>
        </is>
      </c>
      <c r="C24" s="119" t="inlineStr">
        <is>
          <t>Minério de Bronze Sulfuroso (4x)</t>
        </is>
      </c>
      <c r="D24" s="119" t="inlineStr">
        <is>
          <t>Pinheiro da Mina (1x)</t>
        </is>
      </c>
      <c r="E24" s="119" t="n">
        <v>2</v>
      </c>
      <c r="F24" s="119" t="inlineStr">
        <is>
          <t>Quitina de Aranha das Cavernas (1x)</t>
        </is>
      </c>
      <c r="G24" s="119" t="n">
        <v>5</v>
      </c>
      <c r="H24" s="119" t="inlineStr">
        <is>
          <t>Gorim o Caolho</t>
        </is>
      </c>
      <c r="I24" s="115" t="inlineStr">
        <is>
          <t>Arma/Armadura</t>
        </is>
      </c>
      <c r="J24" s="115" t="inlineStr">
        <is>
          <t>Forja</t>
        </is>
      </c>
    </row>
    <row r="25" ht="15" customHeight="1" s="116">
      <c r="A25" s="119" t="inlineStr">
        <is>
          <t>Tier 2 (Bronze)</t>
        </is>
      </c>
      <c r="B25" s="119" t="inlineStr">
        <is>
          <t>Elmo</t>
        </is>
      </c>
      <c r="C25" s="119" t="inlineStr">
        <is>
          <t>Minério de Bronze Sulfuroso (2x)</t>
        </is>
      </c>
      <c r="D25" s="119" t="inlineStr">
        <is>
          <t>Quitina de Aranha das Cavernas (1x)</t>
        </is>
      </c>
      <c r="E25" s="119" t="n">
        <v>2</v>
      </c>
      <c r="F25" s="119" t="inlineStr">
        <is>
          <t>Quitina de Aranha das Cavernas (1x)</t>
        </is>
      </c>
      <c r="G25" s="119" t="n">
        <v>5</v>
      </c>
      <c r="H25" s="119" t="inlineStr">
        <is>
          <t>Gorim o Caolho</t>
        </is>
      </c>
      <c r="I25" s="115" t="inlineStr">
        <is>
          <t>Arma/Armadura</t>
        </is>
      </c>
      <c r="J25" s="115" t="inlineStr">
        <is>
          <t>Forja</t>
        </is>
      </c>
    </row>
    <row r="26" ht="15" customHeight="1" s="116">
      <c r="A26" s="119" t="inlineStr">
        <is>
          <t>Tier 2 (Bronze)</t>
        </is>
      </c>
      <c r="B26" s="119" t="inlineStr">
        <is>
          <t>Arco</t>
        </is>
      </c>
      <c r="C26" s="119" t="inlineStr">
        <is>
          <t>Pinheiro da Mina (3x)</t>
        </is>
      </c>
      <c r="D26" s="119" t="inlineStr">
        <is>
          <t>Quitina de Aranha das Cavernas (1x)</t>
        </is>
      </c>
      <c r="E26" s="119" t="n">
        <v>2</v>
      </c>
      <c r="F26" s="119" t="inlineStr">
        <is>
          <t>Quitina de Aranha das Cavernas (1x)</t>
        </is>
      </c>
      <c r="G26" s="119" t="n">
        <v>5</v>
      </c>
      <c r="H26" s="119" t="inlineStr">
        <is>
          <t>Gorim o Caolho</t>
        </is>
      </c>
      <c r="I26" s="115" t="inlineStr">
        <is>
          <t>Arma/Armadura</t>
        </is>
      </c>
      <c r="J26" s="115" t="inlineStr">
        <is>
          <t>Forja</t>
        </is>
      </c>
    </row>
    <row r="27" ht="15" customHeight="1" s="116">
      <c r="A27" s="119" t="inlineStr">
        <is>
          <t>Tier 2 (Bronze)</t>
        </is>
      </c>
      <c r="B27" s="119" t="inlineStr">
        <is>
          <t>Cetro</t>
        </is>
      </c>
      <c r="C27" s="119" t="inlineStr">
        <is>
          <t>Pinheiro da Mina (3x)</t>
        </is>
      </c>
      <c r="D27" s="119" t="inlineStr">
        <is>
          <t>Cogumelo do Escuro (1x)</t>
        </is>
      </c>
      <c r="E27" s="119" t="n">
        <v>2</v>
      </c>
      <c r="F27" s="119" t="inlineStr">
        <is>
          <t>Quitina de Aranha das Cavernas (1x)</t>
        </is>
      </c>
      <c r="G27" s="119" t="n">
        <v>5</v>
      </c>
      <c r="H27" s="119" t="inlineStr">
        <is>
          <t>Gorim o Caolho</t>
        </is>
      </c>
      <c r="I27" s="115" t="inlineStr">
        <is>
          <t>Arma/Armadura</t>
        </is>
      </c>
      <c r="J27" s="115" t="inlineStr">
        <is>
          <t>Forja</t>
        </is>
      </c>
    </row>
    <row r="28" ht="15" customHeight="1" s="116">
      <c r="A28" s="119" t="inlineStr">
        <is>
          <t>Tier 2 (Bronze)</t>
        </is>
      </c>
      <c r="B28" s="119" t="inlineStr">
        <is>
          <t>Adaga</t>
        </is>
      </c>
      <c r="C28" s="119" t="inlineStr">
        <is>
          <t>Minério de Bronze Sulfuroso (2x)</t>
        </is>
      </c>
      <c r="D28" s="119" t="inlineStr">
        <is>
          <t>Minério de Bronze Sulfuroso (1x)</t>
        </is>
      </c>
      <c r="E28" s="119" t="n">
        <v>2</v>
      </c>
      <c r="F28" s="119" t="inlineStr">
        <is>
          <t>Quitina de Aranha das Cavernas (1x)</t>
        </is>
      </c>
      <c r="G28" s="119" t="n">
        <v>5</v>
      </c>
      <c r="H28" s="119" t="inlineStr">
        <is>
          <t>Gorim o Caolho</t>
        </is>
      </c>
      <c r="I28" s="115" t="inlineStr">
        <is>
          <t>Arma/Armadura</t>
        </is>
      </c>
      <c r="J28" s="115" t="inlineStr">
        <is>
          <t>Forja</t>
        </is>
      </c>
    </row>
    <row r="29" ht="15" customHeight="1" s="116">
      <c r="A29" s="119" t="inlineStr">
        <is>
          <t>Tier 2 (Bronze)</t>
        </is>
      </c>
      <c r="B29" s="119" t="inlineStr">
        <is>
          <t>Manopla</t>
        </is>
      </c>
      <c r="C29" s="119" t="inlineStr">
        <is>
          <t>Quitina de Aranha das Cavernas (2x)</t>
        </is>
      </c>
      <c r="D29" s="119" t="inlineStr">
        <is>
          <t>Minério de Bronze Sulfuroso (1x)</t>
        </is>
      </c>
      <c r="E29" s="119" t="n">
        <v>2</v>
      </c>
      <c r="F29" s="119" t="inlineStr">
        <is>
          <t>Quitina de Aranha das Cavernas (1x)</t>
        </is>
      </c>
      <c r="G29" s="119" t="n">
        <v>5</v>
      </c>
      <c r="H29" s="119" t="inlineStr">
        <is>
          <t>Gorim o Caolho</t>
        </is>
      </c>
      <c r="I29" s="115" t="inlineStr">
        <is>
          <t>Arma/Armadura</t>
        </is>
      </c>
      <c r="J29" s="115" t="inlineStr">
        <is>
          <t>Forja</t>
        </is>
      </c>
    </row>
    <row r="30" ht="15" customHeight="1" s="116">
      <c r="A30" s="119" t="inlineStr">
        <is>
          <t>Tier 2 (Bronze)</t>
        </is>
      </c>
      <c r="B30" s="119" t="inlineStr">
        <is>
          <t>Luvas</t>
        </is>
      </c>
      <c r="C30" s="119" t="inlineStr">
        <is>
          <t>Quitina de Aranha das Cavernas (2x)</t>
        </is>
      </c>
      <c r="D30" s="119" t="inlineStr">
        <is>
          <t>Minério de Bronze Sulfuroso (1x)</t>
        </is>
      </c>
      <c r="E30" s="119" t="n">
        <v>2</v>
      </c>
      <c r="F30" s="119" t="inlineStr">
        <is>
          <t>Quitina de Aranha das Cavernas (1x)</t>
        </is>
      </c>
      <c r="G30" s="119" t="n">
        <v>5</v>
      </c>
      <c r="H30" s="119" t="inlineStr">
        <is>
          <t>Gorim o Caolho</t>
        </is>
      </c>
      <c r="I30" s="115" t="inlineStr">
        <is>
          <t>Arma/Armadura</t>
        </is>
      </c>
      <c r="J30" s="115" t="inlineStr">
        <is>
          <t>Forja</t>
        </is>
      </c>
    </row>
    <row r="31" ht="15" customHeight="1" s="116">
      <c r="A31" s="119" t="inlineStr">
        <is>
          <t>Tier 2 (Bronze)</t>
        </is>
      </c>
      <c r="B31" s="119" t="inlineStr">
        <is>
          <t>Bota</t>
        </is>
      </c>
      <c r="C31" s="119" t="inlineStr">
        <is>
          <t>Quitina de Aranha das Cavernas (3x)</t>
        </is>
      </c>
      <c r="D31" s="119" t="inlineStr">
        <is>
          <t>Minério de Bronze Sulfuroso (1x)</t>
        </is>
      </c>
      <c r="E31" s="119" t="n">
        <v>2</v>
      </c>
      <c r="F31" s="119" t="inlineStr">
        <is>
          <t>Quitina de Aranha das Cavernas (1x)</t>
        </is>
      </c>
      <c r="G31" s="119" t="n">
        <v>5</v>
      </c>
      <c r="H31" s="119" t="inlineStr">
        <is>
          <t>Gorim o Caolho</t>
        </is>
      </c>
      <c r="I31" s="115" t="inlineStr">
        <is>
          <t>Arma/Armadura</t>
        </is>
      </c>
      <c r="J31" s="115" t="inlineStr">
        <is>
          <t>Forja</t>
        </is>
      </c>
    </row>
    <row r="32" ht="15" customHeight="1" s="116">
      <c r="A32" s="119" t="inlineStr">
        <is>
          <t>Tier 2 (Bronze)</t>
        </is>
      </c>
      <c r="B32" s="119" t="inlineStr">
        <is>
          <t>Calça</t>
        </is>
      </c>
      <c r="C32" s="119" t="inlineStr">
        <is>
          <t>Quitina de Aranha das Cavernas (3x)</t>
        </is>
      </c>
      <c r="D32" s="119" t="inlineStr">
        <is>
          <t>Minério de Bronze Sulfuroso (1x)</t>
        </is>
      </c>
      <c r="E32" s="119" t="n">
        <v>2</v>
      </c>
      <c r="F32" s="119" t="inlineStr">
        <is>
          <t>Quitina de Aranha das Cavernas (1x)</t>
        </is>
      </c>
      <c r="G32" s="119" t="n">
        <v>5</v>
      </c>
      <c r="H32" s="119" t="inlineStr">
        <is>
          <t>Gorim o Caolho</t>
        </is>
      </c>
      <c r="I32" s="115" t="inlineStr">
        <is>
          <t>Arma/Armadura</t>
        </is>
      </c>
      <c r="J32" s="115" t="inlineStr">
        <is>
          <t>Forja</t>
        </is>
      </c>
    </row>
    <row r="33" ht="15" customHeight="1" s="116">
      <c r="A33" s="119" t="inlineStr">
        <is>
          <t>Tier 2 (Bronze)</t>
        </is>
      </c>
      <c r="B33" s="119" t="inlineStr">
        <is>
          <t>Amuleto</t>
        </is>
      </c>
      <c r="C33" s="119" t="inlineStr">
        <is>
          <t>Cogumelo do Escuro (2x)</t>
        </is>
      </c>
      <c r="D33" s="119" t="inlineStr">
        <is>
          <t>Minério de Bronze Sulfuroso (1x)</t>
        </is>
      </c>
      <c r="E33" s="119" t="n">
        <v>2</v>
      </c>
      <c r="F33" s="119" t="inlineStr">
        <is>
          <t>Quitina de Aranha das Cavernas (1x)</t>
        </is>
      </c>
      <c r="G33" s="119" t="n">
        <v>5</v>
      </c>
      <c r="H33" s="119" t="inlineStr">
        <is>
          <t>Gorim o Caolho</t>
        </is>
      </c>
      <c r="I33" s="115" t="inlineStr">
        <is>
          <t>Arma/Armadura</t>
        </is>
      </c>
      <c r="J33" s="115" t="inlineStr">
        <is>
          <t>Forja</t>
        </is>
      </c>
    </row>
    <row r="34" ht="15" customHeight="1" s="116">
      <c r="A34" s="119" t="inlineStr">
        <is>
          <t>Tier 2 (Bronze)</t>
        </is>
      </c>
      <c r="B34" s="119" t="inlineStr">
        <is>
          <t>Anel</t>
        </is>
      </c>
      <c r="C34" s="119" t="inlineStr">
        <is>
          <t>Cogumelo do Escuro (2x)</t>
        </is>
      </c>
      <c r="D34" s="119" t="inlineStr">
        <is>
          <t>Minério de Bronze Sulfuroso (1x)</t>
        </is>
      </c>
      <c r="E34" s="119" t="n">
        <v>2</v>
      </c>
      <c r="F34" s="119" t="inlineStr">
        <is>
          <t>Quitina de Aranha das Cavernas (1x)</t>
        </is>
      </c>
      <c r="G34" s="119" t="n">
        <v>5</v>
      </c>
      <c r="H34" s="119" t="inlineStr">
        <is>
          <t>Gorim o Caolho</t>
        </is>
      </c>
      <c r="I34" s="115" t="inlineStr">
        <is>
          <t>Arma/Armadura</t>
        </is>
      </c>
      <c r="J34" s="115" t="inlineStr">
        <is>
          <t>Forja</t>
        </is>
      </c>
    </row>
    <row r="35" ht="15" customHeight="1" s="116">
      <c r="A35" s="119" t="inlineStr">
        <is>
          <t>Tier 3 (Ferro)</t>
        </is>
      </c>
      <c r="B35" s="119" t="inlineStr">
        <is>
          <t>Espada</t>
        </is>
      </c>
      <c r="C35" s="119" t="inlineStr">
        <is>
          <t>Veio de Ferro Negro (3x)</t>
        </is>
      </c>
      <c r="D35" s="119" t="inlineStr">
        <is>
          <t>Pão Roubado do Acólito (1x)</t>
        </is>
      </c>
      <c r="E35" s="119" t="n">
        <v>5</v>
      </c>
      <c r="F35" s="119" t="inlineStr">
        <is>
          <t>Fragmento de Golem Corrompido (1x)</t>
        </is>
      </c>
      <c r="G35" s="119" t="n">
        <v>12</v>
      </c>
      <c r="H35" s="119" t="inlineStr">
        <is>
          <t>Mestre Bran</t>
        </is>
      </c>
      <c r="I35" s="115" t="inlineStr">
        <is>
          <t>Arma/Armadura</t>
        </is>
      </c>
      <c r="J35" s="115" t="inlineStr">
        <is>
          <t>Forja</t>
        </is>
      </c>
    </row>
    <row r="36" ht="15" customHeight="1" s="116">
      <c r="A36" s="119" t="inlineStr">
        <is>
          <t>Tier 3 (Ferro)</t>
        </is>
      </c>
      <c r="B36" s="119" t="inlineStr">
        <is>
          <t>Machado</t>
        </is>
      </c>
      <c r="C36" s="119" t="inlineStr">
        <is>
          <t>Veio de Ferro Negro (4x)</t>
        </is>
      </c>
      <c r="D36" s="119" t="inlineStr">
        <is>
          <t>Freixo das Ruínas (1x)</t>
        </is>
      </c>
      <c r="E36" s="119" t="n">
        <v>5</v>
      </c>
      <c r="F36" s="119" t="inlineStr">
        <is>
          <t>Fragmento de Golem Corrompido (1x)</t>
        </is>
      </c>
      <c r="G36" s="119" t="n">
        <v>12</v>
      </c>
      <c r="H36" s="119" t="inlineStr">
        <is>
          <t>Mestre Bran</t>
        </is>
      </c>
      <c r="I36" s="115" t="inlineStr">
        <is>
          <t>Arma/Armadura</t>
        </is>
      </c>
      <c r="J36" s="115" t="inlineStr">
        <is>
          <t>Forja</t>
        </is>
      </c>
    </row>
    <row r="37" ht="15" customHeight="1" s="116">
      <c r="A37" s="119" t="inlineStr">
        <is>
          <t>Tier 3 (Ferro)</t>
        </is>
      </c>
      <c r="B37" s="119" t="inlineStr">
        <is>
          <t>Maça</t>
        </is>
      </c>
      <c r="C37" s="119" t="inlineStr">
        <is>
          <t>Veio de Ferro Negro (3x)</t>
        </is>
      </c>
      <c r="D37" s="119" t="inlineStr">
        <is>
          <t>Freixo das Ruínas (2x)</t>
        </is>
      </c>
      <c r="E37" s="119" t="n">
        <v>5</v>
      </c>
      <c r="F37" s="119" t="inlineStr">
        <is>
          <t>Fragmento de Golem Corrompido (1x)</t>
        </is>
      </c>
      <c r="G37" s="119" t="n">
        <v>12</v>
      </c>
      <c r="H37" s="119" t="inlineStr">
        <is>
          <t>Mestre Bran</t>
        </is>
      </c>
      <c r="I37" s="115" t="inlineStr">
        <is>
          <t>Arma/Armadura</t>
        </is>
      </c>
      <c r="J37" s="115" t="inlineStr">
        <is>
          <t>Forja</t>
        </is>
      </c>
    </row>
    <row r="38" ht="15" customHeight="1" s="116">
      <c r="A38" s="119" t="inlineStr">
        <is>
          <t>Tier 3 (Ferro)</t>
        </is>
      </c>
      <c r="B38" s="119" t="inlineStr">
        <is>
          <t>Peitoral</t>
        </is>
      </c>
      <c r="C38" s="119" t="inlineStr">
        <is>
          <t>Veio de Ferro Negro (3x)</t>
        </is>
      </c>
      <c r="D38" s="119" t="inlineStr">
        <is>
          <t>Pão Roubado do Acólito (2x)</t>
        </is>
      </c>
      <c r="E38" s="119" t="n">
        <v>5</v>
      </c>
      <c r="F38" s="119" t="inlineStr">
        <is>
          <t>Fragmento de Golem Corrompido (1x)</t>
        </is>
      </c>
      <c r="G38" s="119" t="n">
        <v>12</v>
      </c>
      <c r="H38" s="119" t="inlineStr">
        <is>
          <t>Mestre Bran</t>
        </is>
      </c>
      <c r="I38" s="115" t="inlineStr">
        <is>
          <t>Arma/Armadura</t>
        </is>
      </c>
      <c r="J38" s="115" t="inlineStr">
        <is>
          <t>Forja</t>
        </is>
      </c>
    </row>
    <row r="39" ht="15" customHeight="1" s="116">
      <c r="A39" s="119" t="inlineStr">
        <is>
          <t>Tier 3 (Ferro)</t>
        </is>
      </c>
      <c r="B39" s="119" t="inlineStr">
        <is>
          <t>Escudo</t>
        </is>
      </c>
      <c r="C39" s="119" t="inlineStr">
        <is>
          <t>Veio de Ferro Negro (4x)</t>
        </is>
      </c>
      <c r="D39" s="119" t="inlineStr">
        <is>
          <t>Freixo das Ruínas (1x)</t>
        </is>
      </c>
      <c r="E39" s="119" t="n">
        <v>5</v>
      </c>
      <c r="F39" s="119" t="inlineStr">
        <is>
          <t>Fragmento de Golem Corrompido (1x)</t>
        </is>
      </c>
      <c r="G39" s="119" t="n">
        <v>12</v>
      </c>
      <c r="H39" s="119" t="inlineStr">
        <is>
          <t>Mestre Bran</t>
        </is>
      </c>
      <c r="I39" s="115" t="inlineStr">
        <is>
          <t>Arma/Armadura</t>
        </is>
      </c>
      <c r="J39" s="115" t="inlineStr">
        <is>
          <t>Forja</t>
        </is>
      </c>
    </row>
    <row r="40" ht="15" customHeight="1" s="116">
      <c r="A40" s="119" t="inlineStr">
        <is>
          <t>Tier 3 (Ferro)</t>
        </is>
      </c>
      <c r="B40" s="119" t="inlineStr">
        <is>
          <t>Elmo</t>
        </is>
      </c>
      <c r="C40" s="119" t="inlineStr">
        <is>
          <t>Veio de Ferro Negro (2x)</t>
        </is>
      </c>
      <c r="D40" s="119" t="inlineStr">
        <is>
          <t>Pão Roubado do Acólito (1x)</t>
        </is>
      </c>
      <c r="E40" s="119" t="n">
        <v>5</v>
      </c>
      <c r="F40" s="119" t="inlineStr">
        <is>
          <t>Fragmento de Golem Corrompido (1x)</t>
        </is>
      </c>
      <c r="G40" s="119" t="n">
        <v>12</v>
      </c>
      <c r="H40" s="119" t="inlineStr">
        <is>
          <t>Mestre Bran</t>
        </is>
      </c>
      <c r="I40" s="115" t="inlineStr">
        <is>
          <t>Arma/Armadura</t>
        </is>
      </c>
      <c r="J40" s="115" t="inlineStr">
        <is>
          <t>Forja</t>
        </is>
      </c>
    </row>
    <row r="41" ht="15" customHeight="1" s="116">
      <c r="A41" s="119" t="inlineStr">
        <is>
          <t>Tier 3 (Ferro)</t>
        </is>
      </c>
      <c r="B41" s="119" t="inlineStr">
        <is>
          <t>Arco</t>
        </is>
      </c>
      <c r="C41" s="119" t="inlineStr">
        <is>
          <t>Freixo das Ruínas (3x)</t>
        </is>
      </c>
      <c r="D41" s="119" t="inlineStr">
        <is>
          <t>Pão Roubado do Acólito (1x)</t>
        </is>
      </c>
      <c r="E41" s="119" t="n">
        <v>5</v>
      </c>
      <c r="F41" s="119" t="inlineStr">
        <is>
          <t>Fragmento de Golem Corrompido (1x)</t>
        </is>
      </c>
      <c r="G41" s="119" t="n">
        <v>12</v>
      </c>
      <c r="H41" s="119" t="inlineStr">
        <is>
          <t>Mestre Bran</t>
        </is>
      </c>
      <c r="I41" s="115" t="inlineStr">
        <is>
          <t>Arma/Armadura</t>
        </is>
      </c>
      <c r="J41" s="115" t="inlineStr">
        <is>
          <t>Forja</t>
        </is>
      </c>
    </row>
    <row r="42" ht="15" customHeight="1" s="116">
      <c r="A42" s="119" t="inlineStr">
        <is>
          <t>Tier 3 (Ferro)</t>
        </is>
      </c>
      <c r="B42" s="119" t="inlineStr">
        <is>
          <t>Cetro</t>
        </is>
      </c>
      <c r="C42" s="119" t="inlineStr">
        <is>
          <t>Freixo das Ruínas (3x)</t>
        </is>
      </c>
      <c r="D42" s="119" t="inlineStr">
        <is>
          <t>Líquen Ferruginoso (1x)</t>
        </is>
      </c>
      <c r="E42" s="119" t="n">
        <v>5</v>
      </c>
      <c r="F42" s="119" t="inlineStr">
        <is>
          <t>Fragmento de Golem Corrompido (1x)</t>
        </is>
      </c>
      <c r="G42" s="119" t="n">
        <v>12</v>
      </c>
      <c r="H42" s="119" t="inlineStr">
        <is>
          <t>Mestre Bran</t>
        </is>
      </c>
      <c r="I42" s="115" t="inlineStr">
        <is>
          <t>Arma/Armadura</t>
        </is>
      </c>
      <c r="J42" s="115" t="inlineStr">
        <is>
          <t>Forja</t>
        </is>
      </c>
    </row>
    <row r="43" ht="15" customHeight="1" s="116">
      <c r="A43" s="119" t="inlineStr">
        <is>
          <t>Tier 3 (Ferro)</t>
        </is>
      </c>
      <c r="B43" s="119" t="inlineStr">
        <is>
          <t>Adaga</t>
        </is>
      </c>
      <c r="C43" s="119" t="inlineStr">
        <is>
          <t>Veio de Ferro Negro (2x)</t>
        </is>
      </c>
      <c r="D43" s="119" t="inlineStr">
        <is>
          <t>Veio de Ferro Negro (1x)</t>
        </is>
      </c>
      <c r="E43" s="119" t="n">
        <v>5</v>
      </c>
      <c r="F43" s="119" t="inlineStr">
        <is>
          <t>Fragmento de Golem Corrompido (1x)</t>
        </is>
      </c>
      <c r="G43" s="119" t="n">
        <v>12</v>
      </c>
      <c r="H43" s="119" t="inlineStr">
        <is>
          <t>Mestre Bran</t>
        </is>
      </c>
      <c r="I43" s="115" t="inlineStr">
        <is>
          <t>Arma/Armadura</t>
        </is>
      </c>
      <c r="J43" s="115" t="inlineStr">
        <is>
          <t>Forja</t>
        </is>
      </c>
    </row>
    <row r="44" ht="15" customHeight="1" s="116">
      <c r="A44" s="119" t="inlineStr">
        <is>
          <t>Tier 3 (Ferro)</t>
        </is>
      </c>
      <c r="B44" s="119" t="inlineStr">
        <is>
          <t>Manopla</t>
        </is>
      </c>
      <c r="C44" s="119" t="inlineStr">
        <is>
          <t>Pão Roubado do Acólito (2x)</t>
        </is>
      </c>
      <c r="D44" s="119" t="inlineStr">
        <is>
          <t>Veio de Ferro Negro (1x)</t>
        </is>
      </c>
      <c r="E44" s="119" t="n">
        <v>5</v>
      </c>
      <c r="F44" s="119" t="inlineStr">
        <is>
          <t>Fragmento de Golem Corrompido (1x)</t>
        </is>
      </c>
      <c r="G44" s="119" t="n">
        <v>12</v>
      </c>
      <c r="H44" s="119" t="inlineStr">
        <is>
          <t>Mestre Bran</t>
        </is>
      </c>
      <c r="I44" s="115" t="inlineStr">
        <is>
          <t>Arma/Armadura</t>
        </is>
      </c>
      <c r="J44" s="115" t="inlineStr">
        <is>
          <t>Forja</t>
        </is>
      </c>
    </row>
    <row r="45" ht="15" customHeight="1" s="116">
      <c r="A45" s="119" t="inlineStr">
        <is>
          <t>Tier 3 (Ferro)</t>
        </is>
      </c>
      <c r="B45" s="119" t="inlineStr">
        <is>
          <t>Luvas</t>
        </is>
      </c>
      <c r="C45" s="119" t="inlineStr">
        <is>
          <t>Pão Roubado do Acólito (2x)</t>
        </is>
      </c>
      <c r="D45" s="119" t="inlineStr">
        <is>
          <t>Veio de Ferro Negro (1x)</t>
        </is>
      </c>
      <c r="E45" s="119" t="n">
        <v>5</v>
      </c>
      <c r="F45" s="119" t="inlineStr">
        <is>
          <t>Fragmento de Golem Corrompido (1x)</t>
        </is>
      </c>
      <c r="G45" s="119" t="n">
        <v>12</v>
      </c>
      <c r="H45" s="119" t="inlineStr">
        <is>
          <t>Mestre Bran</t>
        </is>
      </c>
      <c r="I45" s="115" t="inlineStr">
        <is>
          <t>Arma/Armadura</t>
        </is>
      </c>
      <c r="J45" s="115" t="inlineStr">
        <is>
          <t>Forja</t>
        </is>
      </c>
    </row>
    <row r="46" ht="15" customHeight="1" s="116">
      <c r="A46" s="119" t="inlineStr">
        <is>
          <t>Tier 3 (Ferro)</t>
        </is>
      </c>
      <c r="B46" s="119" t="inlineStr">
        <is>
          <t>Bota</t>
        </is>
      </c>
      <c r="C46" s="119" t="inlineStr">
        <is>
          <t>Pão Roubado do Acólito (3x)</t>
        </is>
      </c>
      <c r="D46" s="119" t="inlineStr">
        <is>
          <t>Veio de Ferro Negro (1x)</t>
        </is>
      </c>
      <c r="E46" s="119" t="n">
        <v>5</v>
      </c>
      <c r="F46" s="119" t="inlineStr">
        <is>
          <t>Fragmento de Golem Corrompido (1x)</t>
        </is>
      </c>
      <c r="G46" s="119" t="n">
        <v>12</v>
      </c>
      <c r="H46" s="119" t="inlineStr">
        <is>
          <t>Mestre Bran</t>
        </is>
      </c>
      <c r="I46" s="115" t="inlineStr">
        <is>
          <t>Arma/Armadura</t>
        </is>
      </c>
      <c r="J46" s="115" t="inlineStr">
        <is>
          <t>Forja</t>
        </is>
      </c>
    </row>
    <row r="47" ht="15" customHeight="1" s="116">
      <c r="A47" s="119" t="inlineStr">
        <is>
          <t>Tier 3 (Ferro)</t>
        </is>
      </c>
      <c r="B47" s="119" t="inlineStr">
        <is>
          <t>Calça</t>
        </is>
      </c>
      <c r="C47" s="119" t="inlineStr">
        <is>
          <t>Pão Roubado do Acólito (3x)</t>
        </is>
      </c>
      <c r="D47" s="119" t="inlineStr">
        <is>
          <t>Veio de Ferro Negro (1x)</t>
        </is>
      </c>
      <c r="E47" s="119" t="n">
        <v>5</v>
      </c>
      <c r="F47" s="119" t="inlineStr">
        <is>
          <t>Fragmento de Golem Corrompido (1x)</t>
        </is>
      </c>
      <c r="G47" s="119" t="n">
        <v>12</v>
      </c>
      <c r="H47" s="119" t="inlineStr">
        <is>
          <t>Mestre Bran</t>
        </is>
      </c>
      <c r="I47" s="115" t="inlineStr">
        <is>
          <t>Arma/Armadura</t>
        </is>
      </c>
      <c r="J47" s="115" t="inlineStr">
        <is>
          <t>Forja</t>
        </is>
      </c>
    </row>
    <row r="48" ht="15" customHeight="1" s="116">
      <c r="A48" s="119" t="inlineStr">
        <is>
          <t>Tier 3 (Ferro)</t>
        </is>
      </c>
      <c r="B48" s="119" t="inlineStr">
        <is>
          <t>Amuleto</t>
        </is>
      </c>
      <c r="C48" s="119" t="inlineStr">
        <is>
          <t>Líquen Ferruginoso (2x)</t>
        </is>
      </c>
      <c r="D48" s="119" t="inlineStr">
        <is>
          <t>Veio de Ferro Negro (1x)</t>
        </is>
      </c>
      <c r="E48" s="119" t="n">
        <v>5</v>
      </c>
      <c r="F48" s="119" t="inlineStr">
        <is>
          <t>Fragmento de Golem Corrompido (1x)</t>
        </is>
      </c>
      <c r="G48" s="119" t="n">
        <v>12</v>
      </c>
      <c r="H48" s="119" t="inlineStr">
        <is>
          <t>Mestre Bran</t>
        </is>
      </c>
      <c r="I48" s="115" t="inlineStr">
        <is>
          <t>Arma/Armadura</t>
        </is>
      </c>
      <c r="J48" s="115" t="inlineStr">
        <is>
          <t>Forja</t>
        </is>
      </c>
    </row>
    <row r="49" ht="15" customHeight="1" s="116">
      <c r="A49" s="119" t="inlineStr">
        <is>
          <t>Tier 3 (Ferro)</t>
        </is>
      </c>
      <c r="B49" s="119" t="inlineStr">
        <is>
          <t>Anel</t>
        </is>
      </c>
      <c r="C49" s="119" t="inlineStr">
        <is>
          <t>Líquen Ferruginoso (2x)</t>
        </is>
      </c>
      <c r="D49" s="119" t="inlineStr">
        <is>
          <t>Veio de Ferro Negro (1x)</t>
        </is>
      </c>
      <c r="E49" s="119" t="n">
        <v>5</v>
      </c>
      <c r="F49" s="119" t="inlineStr">
        <is>
          <t>Fragmento de Golem Corrompido (1x)</t>
        </is>
      </c>
      <c r="G49" s="119" t="n">
        <v>12</v>
      </c>
      <c r="H49" s="119" t="inlineStr">
        <is>
          <t>Mestre Bran</t>
        </is>
      </c>
      <c r="I49" s="115" t="inlineStr">
        <is>
          <t>Arma/Armadura</t>
        </is>
      </c>
      <c r="J49" s="115" t="inlineStr">
        <is>
          <t>Forja</t>
        </is>
      </c>
    </row>
    <row r="50" ht="15" customHeight="1" s="116">
      <c r="A50" s="119" t="inlineStr">
        <is>
          <t>Tier 4 (Prata)</t>
        </is>
      </c>
      <c r="B50" s="119" t="inlineStr">
        <is>
          <t>Espada</t>
        </is>
      </c>
      <c r="C50" s="119" t="inlineStr">
        <is>
          <t>Veio de Prata Pálida (3x)</t>
        </is>
      </c>
      <c r="D50" s="119" t="inlineStr">
        <is>
          <t>Mortalha Fresca de Zumbi (1x)</t>
        </is>
      </c>
      <c r="E50" s="119" t="n">
        <v>10</v>
      </c>
      <c r="F50" s="119" t="inlineStr">
        <is>
          <t>Pó de Ectoplasma Cristalizado (1x)</t>
        </is>
      </c>
      <c r="G50" s="119" t="n">
        <v>25</v>
      </c>
      <c r="H50" s="119" t="inlineStr">
        <is>
          <t>Mestre Bran</t>
        </is>
      </c>
      <c r="I50" s="115" t="inlineStr">
        <is>
          <t>Arma/Armadura</t>
        </is>
      </c>
      <c r="J50" s="115" t="inlineStr">
        <is>
          <t>Forja</t>
        </is>
      </c>
    </row>
    <row r="51" ht="15" customHeight="1" s="116">
      <c r="A51" s="119" t="inlineStr">
        <is>
          <t>Tier 4 (Prata)</t>
        </is>
      </c>
      <c r="B51" s="119" t="inlineStr">
        <is>
          <t>Machado</t>
        </is>
      </c>
      <c r="C51" s="119" t="inlineStr">
        <is>
          <t>Veio de Prata Pálida (4x)</t>
        </is>
      </c>
      <c r="D51" s="119" t="inlineStr">
        <is>
          <t>Cipreste das Criptas (1x)</t>
        </is>
      </c>
      <c r="E51" s="119" t="n">
        <v>10</v>
      </c>
      <c r="F51" s="119" t="inlineStr">
        <is>
          <t>Pó de Ectoplasma Cristalizado (1x)</t>
        </is>
      </c>
      <c r="G51" s="119" t="n">
        <v>25</v>
      </c>
      <c r="H51" s="119" t="inlineStr">
        <is>
          <t>Mestre Bran</t>
        </is>
      </c>
      <c r="I51" s="115" t="inlineStr">
        <is>
          <t>Arma/Armadura</t>
        </is>
      </c>
      <c r="J51" s="115" t="inlineStr">
        <is>
          <t>Forja</t>
        </is>
      </c>
    </row>
    <row r="52" ht="15" customHeight="1" s="116">
      <c r="A52" s="119" t="inlineStr">
        <is>
          <t>Tier 4 (Prata)</t>
        </is>
      </c>
      <c r="B52" s="119" t="inlineStr">
        <is>
          <t>Maça</t>
        </is>
      </c>
      <c r="C52" s="119" t="inlineStr">
        <is>
          <t>Veio de Prata Pálida (3x)</t>
        </is>
      </c>
      <c r="D52" s="119" t="inlineStr">
        <is>
          <t>Cipreste das Criptas (2x)</t>
        </is>
      </c>
      <c r="E52" s="119" t="n">
        <v>10</v>
      </c>
      <c r="F52" s="119" t="inlineStr">
        <is>
          <t>Pó de Ectoplasma Cristalizado (1x)</t>
        </is>
      </c>
      <c r="G52" s="119" t="n">
        <v>25</v>
      </c>
      <c r="H52" s="119" t="inlineStr">
        <is>
          <t>Mestre Bran</t>
        </is>
      </c>
      <c r="I52" s="115" t="inlineStr">
        <is>
          <t>Arma/Armadura</t>
        </is>
      </c>
      <c r="J52" s="115" t="inlineStr">
        <is>
          <t>Forja</t>
        </is>
      </c>
    </row>
    <row r="53" ht="15" customHeight="1" s="116">
      <c r="A53" s="119" t="inlineStr">
        <is>
          <t>Tier 4 (Prata)</t>
        </is>
      </c>
      <c r="B53" s="119" t="inlineStr">
        <is>
          <t>Peitoral</t>
        </is>
      </c>
      <c r="C53" s="119" t="inlineStr">
        <is>
          <t>Veio de Prata Pálida (3x)</t>
        </is>
      </c>
      <c r="D53" s="119" t="inlineStr">
        <is>
          <t>Mortalha Fresca de Zumbi (2x)</t>
        </is>
      </c>
      <c r="E53" s="119" t="n">
        <v>10</v>
      </c>
      <c r="F53" s="119" t="inlineStr">
        <is>
          <t>Pó de Ectoplasma Cristalizado (1x)</t>
        </is>
      </c>
      <c r="G53" s="119" t="n">
        <v>25</v>
      </c>
      <c r="H53" s="119" t="inlineStr">
        <is>
          <t>Mestre Bran</t>
        </is>
      </c>
      <c r="I53" s="115" t="inlineStr">
        <is>
          <t>Arma/Armadura</t>
        </is>
      </c>
      <c r="J53" s="115" t="inlineStr">
        <is>
          <t>Forja</t>
        </is>
      </c>
    </row>
    <row r="54" ht="15" customHeight="1" s="116">
      <c r="A54" s="119" t="inlineStr">
        <is>
          <t>Tier 4 (Prata)</t>
        </is>
      </c>
      <c r="B54" s="119" t="inlineStr">
        <is>
          <t>Escudo</t>
        </is>
      </c>
      <c r="C54" s="119" t="inlineStr">
        <is>
          <t>Veio de Prata Pálida (4x)</t>
        </is>
      </c>
      <c r="D54" s="119" t="inlineStr">
        <is>
          <t>Cipreste das Criptas (1x)</t>
        </is>
      </c>
      <c r="E54" s="119" t="n">
        <v>10</v>
      </c>
      <c r="F54" s="119" t="inlineStr">
        <is>
          <t>Pó de Ectoplasma Cristalizado (1x)</t>
        </is>
      </c>
      <c r="G54" s="119" t="n">
        <v>25</v>
      </c>
      <c r="H54" s="119" t="inlineStr">
        <is>
          <t>Mestre Bran</t>
        </is>
      </c>
      <c r="I54" s="115" t="inlineStr">
        <is>
          <t>Arma/Armadura</t>
        </is>
      </c>
      <c r="J54" s="115" t="inlineStr">
        <is>
          <t>Forja</t>
        </is>
      </c>
    </row>
    <row r="55" ht="15" customHeight="1" s="116">
      <c r="A55" s="119" t="inlineStr">
        <is>
          <t>Tier 4 (Prata)</t>
        </is>
      </c>
      <c r="B55" s="119" t="inlineStr">
        <is>
          <t>Elmo</t>
        </is>
      </c>
      <c r="C55" s="119" t="inlineStr">
        <is>
          <t>Veio de Prata Pálida (2x)</t>
        </is>
      </c>
      <c r="D55" s="119" t="inlineStr">
        <is>
          <t>Mortalha Fresca de Zumbi (1x)</t>
        </is>
      </c>
      <c r="E55" s="119" t="n">
        <v>10</v>
      </c>
      <c r="F55" s="119" t="inlineStr">
        <is>
          <t>Pó de Ectoplasma Cristalizado (1x)</t>
        </is>
      </c>
      <c r="G55" s="119" t="n">
        <v>25</v>
      </c>
      <c r="H55" s="119" t="inlineStr">
        <is>
          <t>Mestre Bran</t>
        </is>
      </c>
      <c r="I55" s="115" t="inlineStr">
        <is>
          <t>Arma/Armadura</t>
        </is>
      </c>
      <c r="J55" s="115" t="inlineStr">
        <is>
          <t>Forja</t>
        </is>
      </c>
    </row>
    <row r="56" ht="15" customHeight="1" s="116">
      <c r="A56" s="119" t="inlineStr">
        <is>
          <t>Tier 4 (Prata)</t>
        </is>
      </c>
      <c r="B56" s="119" t="inlineStr">
        <is>
          <t>Arco</t>
        </is>
      </c>
      <c r="C56" s="119" t="inlineStr">
        <is>
          <t>Cipreste das Criptas (3x)</t>
        </is>
      </c>
      <c r="D56" s="119" t="inlineStr">
        <is>
          <t>Mortalha Fresca de Zumbi (1x)</t>
        </is>
      </c>
      <c r="E56" s="119" t="n">
        <v>10</v>
      </c>
      <c r="F56" s="119" t="inlineStr">
        <is>
          <t>Pó de Ectoplasma Cristalizado (1x)</t>
        </is>
      </c>
      <c r="G56" s="119" t="n">
        <v>25</v>
      </c>
      <c r="H56" s="119" t="inlineStr">
        <is>
          <t>Mestre Bran</t>
        </is>
      </c>
      <c r="I56" s="115" t="inlineStr">
        <is>
          <t>Arma/Armadura</t>
        </is>
      </c>
      <c r="J56" s="115" t="inlineStr">
        <is>
          <t>Forja</t>
        </is>
      </c>
    </row>
    <row r="57" ht="15" customHeight="1" s="116">
      <c r="A57" s="119" t="inlineStr">
        <is>
          <t>Tier 4 (Prata)</t>
        </is>
      </c>
      <c r="B57" s="119" t="inlineStr">
        <is>
          <t>Cetro</t>
        </is>
      </c>
      <c r="C57" s="119" t="inlineStr">
        <is>
          <t>Cipreste das Criptas (3x)</t>
        </is>
      </c>
      <c r="D57" s="119" t="inlineStr">
        <is>
          <t>Flor do Sudário (1x)</t>
        </is>
      </c>
      <c r="E57" s="119" t="n">
        <v>10</v>
      </c>
      <c r="F57" s="119" t="inlineStr">
        <is>
          <t>Pó de Ectoplasma Cristalizado (1x)</t>
        </is>
      </c>
      <c r="G57" s="119" t="n">
        <v>25</v>
      </c>
      <c r="H57" s="119" t="inlineStr">
        <is>
          <t>Mestre Bran</t>
        </is>
      </c>
      <c r="I57" s="115" t="inlineStr">
        <is>
          <t>Arma/Armadura</t>
        </is>
      </c>
      <c r="J57" s="115" t="inlineStr">
        <is>
          <t>Forja</t>
        </is>
      </c>
    </row>
    <row r="58" ht="15" customHeight="1" s="116">
      <c r="A58" s="119" t="inlineStr">
        <is>
          <t>Tier 4 (Prata)</t>
        </is>
      </c>
      <c r="B58" s="119" t="inlineStr">
        <is>
          <t>Adaga</t>
        </is>
      </c>
      <c r="C58" s="119" t="inlineStr">
        <is>
          <t>Veio de Prata Pálida (2x)</t>
        </is>
      </c>
      <c r="D58" s="119" t="inlineStr">
        <is>
          <t>Veio de Prata Pálida (1x)</t>
        </is>
      </c>
      <c r="E58" s="119" t="n">
        <v>10</v>
      </c>
      <c r="F58" s="119" t="inlineStr">
        <is>
          <t>Pó de Ectoplasma Cristalizado (1x)</t>
        </is>
      </c>
      <c r="G58" s="119" t="n">
        <v>25</v>
      </c>
      <c r="H58" s="119" t="inlineStr">
        <is>
          <t>Mestre Bran</t>
        </is>
      </c>
      <c r="I58" s="115" t="inlineStr">
        <is>
          <t>Arma/Armadura</t>
        </is>
      </c>
      <c r="J58" s="115" t="inlineStr">
        <is>
          <t>Forja</t>
        </is>
      </c>
    </row>
    <row r="59" ht="15" customHeight="1" s="116">
      <c r="A59" s="119" t="inlineStr">
        <is>
          <t>Tier 4 (Prata)</t>
        </is>
      </c>
      <c r="B59" s="119" t="inlineStr">
        <is>
          <t>Manopla</t>
        </is>
      </c>
      <c r="C59" s="119" t="inlineStr">
        <is>
          <t>Mortalha Fresca de Zumbi (2x)</t>
        </is>
      </c>
      <c r="D59" s="119" t="inlineStr">
        <is>
          <t>Veio de Prata Pálida (1x)</t>
        </is>
      </c>
      <c r="E59" s="119" t="n">
        <v>10</v>
      </c>
      <c r="F59" s="119" t="inlineStr">
        <is>
          <t>Pó de Ectoplasma Cristalizado (1x)</t>
        </is>
      </c>
      <c r="G59" s="119" t="n">
        <v>25</v>
      </c>
      <c r="H59" s="119" t="inlineStr">
        <is>
          <t>Mestre Bran</t>
        </is>
      </c>
      <c r="I59" s="115" t="inlineStr">
        <is>
          <t>Arma/Armadura</t>
        </is>
      </c>
      <c r="J59" s="115" t="inlineStr">
        <is>
          <t>Forja</t>
        </is>
      </c>
    </row>
    <row r="60" ht="15" customHeight="1" s="116">
      <c r="A60" s="119" t="inlineStr">
        <is>
          <t>Tier 4 (Prata)</t>
        </is>
      </c>
      <c r="B60" s="119" t="inlineStr">
        <is>
          <t>Luvas</t>
        </is>
      </c>
      <c r="C60" s="119" t="inlineStr">
        <is>
          <t>Mortalha Fresca de Zumbi (2x)</t>
        </is>
      </c>
      <c r="D60" s="119" t="inlineStr">
        <is>
          <t>Veio de Prata Pálida (1x)</t>
        </is>
      </c>
      <c r="E60" s="119" t="n">
        <v>10</v>
      </c>
      <c r="F60" s="119" t="inlineStr">
        <is>
          <t>Pó de Ectoplasma Cristalizado (1x)</t>
        </is>
      </c>
      <c r="G60" s="119" t="n">
        <v>25</v>
      </c>
      <c r="H60" s="119" t="inlineStr">
        <is>
          <t>Mestre Bran</t>
        </is>
      </c>
      <c r="I60" s="115" t="inlineStr">
        <is>
          <t>Arma/Armadura</t>
        </is>
      </c>
      <c r="J60" s="115" t="inlineStr">
        <is>
          <t>Forja</t>
        </is>
      </c>
    </row>
    <row r="61" ht="15" customHeight="1" s="116">
      <c r="A61" s="119" t="inlineStr">
        <is>
          <t>Tier 4 (Prata)</t>
        </is>
      </c>
      <c r="B61" s="119" t="inlineStr">
        <is>
          <t>Bota</t>
        </is>
      </c>
      <c r="C61" s="119" t="inlineStr">
        <is>
          <t>Mortalha Fresca de Zumbi (3x)</t>
        </is>
      </c>
      <c r="D61" s="119" t="inlineStr">
        <is>
          <t>Veio de Prata Pálida (1x)</t>
        </is>
      </c>
      <c r="E61" s="119" t="n">
        <v>10</v>
      </c>
      <c r="F61" s="119" t="inlineStr">
        <is>
          <t>Pó de Ectoplasma Cristalizado (1x)</t>
        </is>
      </c>
      <c r="G61" s="119" t="n">
        <v>25</v>
      </c>
      <c r="H61" s="119" t="inlineStr">
        <is>
          <t>Mestre Bran</t>
        </is>
      </c>
      <c r="I61" s="115" t="inlineStr">
        <is>
          <t>Arma/Armadura</t>
        </is>
      </c>
      <c r="J61" s="115" t="inlineStr">
        <is>
          <t>Forja</t>
        </is>
      </c>
    </row>
    <row r="62" ht="15" customHeight="1" s="116">
      <c r="A62" s="119" t="inlineStr">
        <is>
          <t>Tier 4 (Prata)</t>
        </is>
      </c>
      <c r="B62" s="119" t="inlineStr">
        <is>
          <t>Calça</t>
        </is>
      </c>
      <c r="C62" s="119" t="inlineStr">
        <is>
          <t>Mortalha Fresca de Zumbi (3x)</t>
        </is>
      </c>
      <c r="D62" s="119" t="inlineStr">
        <is>
          <t>Veio de Prata Pálida (1x)</t>
        </is>
      </c>
      <c r="E62" s="119" t="n">
        <v>10</v>
      </c>
      <c r="F62" s="119" t="inlineStr">
        <is>
          <t>Pó de Ectoplasma Cristalizado (1x)</t>
        </is>
      </c>
      <c r="G62" s="119" t="n">
        <v>25</v>
      </c>
      <c r="H62" s="119" t="inlineStr">
        <is>
          <t>Mestre Bran</t>
        </is>
      </c>
      <c r="I62" s="115" t="inlineStr">
        <is>
          <t>Arma/Armadura</t>
        </is>
      </c>
      <c r="J62" s="115" t="inlineStr">
        <is>
          <t>Forja</t>
        </is>
      </c>
    </row>
    <row r="63" ht="15" customHeight="1" s="116">
      <c r="A63" s="119" t="inlineStr">
        <is>
          <t>Tier 4 (Prata)</t>
        </is>
      </c>
      <c r="B63" s="119" t="inlineStr">
        <is>
          <t>Amuleto</t>
        </is>
      </c>
      <c r="C63" s="119" t="inlineStr">
        <is>
          <t>Flor do Sudário (2x)</t>
        </is>
      </c>
      <c r="D63" s="119" t="inlineStr">
        <is>
          <t>Veio de Prata Pálida (1x)</t>
        </is>
      </c>
      <c r="E63" s="119" t="n">
        <v>10</v>
      </c>
      <c r="F63" s="119" t="inlineStr">
        <is>
          <t>Pó de Ectoplasma Cristalizado (1x)</t>
        </is>
      </c>
      <c r="G63" s="119" t="n">
        <v>25</v>
      </c>
      <c r="H63" s="119" t="inlineStr">
        <is>
          <t>Mestre Bran</t>
        </is>
      </c>
      <c r="I63" s="115" t="inlineStr">
        <is>
          <t>Arma/Armadura</t>
        </is>
      </c>
      <c r="J63" s="115" t="inlineStr">
        <is>
          <t>Forja</t>
        </is>
      </c>
    </row>
    <row r="64" ht="15" customHeight="1" s="116">
      <c r="A64" s="119" t="inlineStr">
        <is>
          <t>Tier 4 (Prata)</t>
        </is>
      </c>
      <c r="B64" s="119" t="inlineStr">
        <is>
          <t>Anel</t>
        </is>
      </c>
      <c r="C64" s="119" t="inlineStr">
        <is>
          <t>Flor do Sudário (2x)</t>
        </is>
      </c>
      <c r="D64" s="119" t="inlineStr">
        <is>
          <t>Veio de Prata Pálida (1x)</t>
        </is>
      </c>
      <c r="E64" s="119" t="n">
        <v>10</v>
      </c>
      <c r="F64" s="119" t="inlineStr">
        <is>
          <t>Pó de Ectoplasma Cristalizado (1x)</t>
        </is>
      </c>
      <c r="G64" s="119" t="n">
        <v>25</v>
      </c>
      <c r="H64" s="119" t="inlineStr">
        <is>
          <t>Mestre Bran</t>
        </is>
      </c>
      <c r="I64" s="115" t="inlineStr">
        <is>
          <t>Arma/Armadura</t>
        </is>
      </c>
      <c r="J64" s="115" t="inlineStr">
        <is>
          <t>Forja</t>
        </is>
      </c>
    </row>
    <row r="65" ht="15" customHeight="1" s="116">
      <c r="A65" s="119" t="inlineStr">
        <is>
          <t>Tier 5 (Aço Élfico)</t>
        </is>
      </c>
      <c r="B65" s="119" t="inlineStr">
        <is>
          <t>Espada</t>
        </is>
      </c>
      <c r="C65" s="119" t="inlineStr">
        <is>
          <t>Metal Estriado Élfico (3x)</t>
        </is>
      </c>
      <c r="D65" s="119" t="inlineStr">
        <is>
          <t>Amostra de Musgo Devorador (1x)</t>
        </is>
      </c>
      <c r="E65" s="119" t="n">
        <v>17</v>
      </c>
      <c r="F65" s="119" t="inlineStr">
        <is>
          <t>Cristal Ressonante da Elfa (1x)</t>
        </is>
      </c>
      <c r="G65" s="119" t="n">
        <v>42</v>
      </c>
      <c r="H65" s="119" t="inlineStr">
        <is>
          <t>Thrum o Engenheiro Renegado</t>
        </is>
      </c>
      <c r="I65" s="115" t="inlineStr">
        <is>
          <t>Arma/Armadura</t>
        </is>
      </c>
      <c r="J65" s="115" t="inlineStr">
        <is>
          <t>Forja</t>
        </is>
      </c>
    </row>
    <row r="66" ht="15" customHeight="1" s="116">
      <c r="A66" s="119" t="inlineStr">
        <is>
          <t>Tier 5 (Aço Élfico)</t>
        </is>
      </c>
      <c r="B66" s="119" t="inlineStr">
        <is>
          <t>Machado</t>
        </is>
      </c>
      <c r="C66" s="119" t="inlineStr">
        <is>
          <t>Metal Estriado Élfico (4x)</t>
        </is>
      </c>
      <c r="D66" s="119" t="inlineStr">
        <is>
          <t>Sabugueiro Ancestral (Madeira Viva) (1x)</t>
        </is>
      </c>
      <c r="E66" s="119" t="n">
        <v>17</v>
      </c>
      <c r="F66" s="119" t="inlineStr">
        <is>
          <t>Cristal Ressonante da Elfa (1x)</t>
        </is>
      </c>
      <c r="G66" s="119" t="n">
        <v>42</v>
      </c>
      <c r="H66" s="119" t="inlineStr">
        <is>
          <t>Thrum o Engenheiro Renegado</t>
        </is>
      </c>
      <c r="I66" s="115" t="inlineStr">
        <is>
          <t>Arma/Armadura</t>
        </is>
      </c>
      <c r="J66" s="115" t="inlineStr">
        <is>
          <t>Forja</t>
        </is>
      </c>
    </row>
    <row r="67" ht="15" customHeight="1" s="116">
      <c r="A67" s="119" t="inlineStr">
        <is>
          <t>Tier 5 (Aço Élfico)</t>
        </is>
      </c>
      <c r="B67" s="119" t="inlineStr">
        <is>
          <t>Maça</t>
        </is>
      </c>
      <c r="C67" s="119" t="inlineStr">
        <is>
          <t>Metal Estriado Élfico (3x)</t>
        </is>
      </c>
      <c r="D67" s="119" t="inlineStr">
        <is>
          <t>Sabugueiro Ancestral (Madeira Viva) (2x)</t>
        </is>
      </c>
      <c r="E67" s="119" t="n">
        <v>17</v>
      </c>
      <c r="F67" s="119" t="inlineStr">
        <is>
          <t>Cristal Ressonante da Elfa (1x)</t>
        </is>
      </c>
      <c r="G67" s="119" t="n">
        <v>42</v>
      </c>
      <c r="H67" s="119" t="inlineStr">
        <is>
          <t>Thrum o Engenheiro Renegado</t>
        </is>
      </c>
      <c r="I67" s="115" t="inlineStr">
        <is>
          <t>Arma/Armadura</t>
        </is>
      </c>
      <c r="J67" s="115" t="inlineStr">
        <is>
          <t>Forja</t>
        </is>
      </c>
    </row>
    <row r="68" ht="15" customHeight="1" s="116">
      <c r="A68" s="119" t="inlineStr">
        <is>
          <t>Tier 5 (Aço Élfico)</t>
        </is>
      </c>
      <c r="B68" s="119" t="inlineStr">
        <is>
          <t>Peitoral</t>
        </is>
      </c>
      <c r="C68" s="119" t="inlineStr">
        <is>
          <t>Metal Estriado Élfico (3x)</t>
        </is>
      </c>
      <c r="D68" s="119" t="inlineStr">
        <is>
          <t>Amostra de Musgo Devorador (2x)</t>
        </is>
      </c>
      <c r="E68" s="119" t="n">
        <v>17</v>
      </c>
      <c r="F68" s="119" t="inlineStr">
        <is>
          <t>Cristal Ressonante da Elfa (1x)</t>
        </is>
      </c>
      <c r="G68" s="119" t="n">
        <v>42</v>
      </c>
      <c r="H68" s="119" t="inlineStr">
        <is>
          <t>Thrum o Engenheiro Renegado</t>
        </is>
      </c>
      <c r="I68" s="115" t="inlineStr">
        <is>
          <t>Arma/Armadura</t>
        </is>
      </c>
      <c r="J68" s="115" t="inlineStr">
        <is>
          <t>Forja</t>
        </is>
      </c>
    </row>
    <row r="69" ht="15" customHeight="1" s="116">
      <c r="A69" s="119" t="inlineStr">
        <is>
          <t>Tier 5 (Aço Élfico)</t>
        </is>
      </c>
      <c r="B69" s="119" t="inlineStr">
        <is>
          <t>Escudo</t>
        </is>
      </c>
      <c r="C69" s="119" t="inlineStr">
        <is>
          <t>Metal Estriado Élfico (4x)</t>
        </is>
      </c>
      <c r="D69" s="119" t="inlineStr">
        <is>
          <t>Sabugueiro Ancestral (Madeira Viva) (1x)</t>
        </is>
      </c>
      <c r="E69" s="119" t="n">
        <v>17</v>
      </c>
      <c r="F69" s="119" t="inlineStr">
        <is>
          <t>Cristal Ressonante da Elfa (1x)</t>
        </is>
      </c>
      <c r="G69" s="119" t="n">
        <v>42</v>
      </c>
      <c r="H69" s="119" t="inlineStr">
        <is>
          <t>Thrum o Engenheiro Renegado</t>
        </is>
      </c>
      <c r="I69" s="115" t="inlineStr">
        <is>
          <t>Arma/Armadura</t>
        </is>
      </c>
      <c r="J69" s="115" t="inlineStr">
        <is>
          <t>Forja</t>
        </is>
      </c>
    </row>
    <row r="70" ht="15" customHeight="1" s="116">
      <c r="A70" s="119" t="inlineStr">
        <is>
          <t>Tier 5 (Aço Élfico)</t>
        </is>
      </c>
      <c r="B70" s="119" t="inlineStr">
        <is>
          <t>Elmo</t>
        </is>
      </c>
      <c r="C70" s="119" t="inlineStr">
        <is>
          <t>Metal Estriado Élfico (2x)</t>
        </is>
      </c>
      <c r="D70" s="119" t="inlineStr">
        <is>
          <t>Amostra de Musgo Devorador (1x)</t>
        </is>
      </c>
      <c r="E70" s="119" t="n">
        <v>17</v>
      </c>
      <c r="F70" s="119" t="inlineStr">
        <is>
          <t>Cristal Ressonante da Elfa (1x)</t>
        </is>
      </c>
      <c r="G70" s="119" t="n">
        <v>42</v>
      </c>
      <c r="H70" s="119" t="inlineStr">
        <is>
          <t>Thrum o Engenheiro Renegado</t>
        </is>
      </c>
      <c r="I70" s="115" t="inlineStr">
        <is>
          <t>Arma/Armadura</t>
        </is>
      </c>
      <c r="J70" s="115" t="inlineStr">
        <is>
          <t>Forja</t>
        </is>
      </c>
    </row>
    <row r="71" ht="15" customHeight="1" s="116">
      <c r="A71" s="119" t="inlineStr">
        <is>
          <t>Tier 5 (Aço Élfico)</t>
        </is>
      </c>
      <c r="B71" s="119" t="inlineStr">
        <is>
          <t>Arco</t>
        </is>
      </c>
      <c r="C71" s="119" t="inlineStr">
        <is>
          <t>Sabugueiro Ancestral (Madeira Viva) (3x)</t>
        </is>
      </c>
      <c r="D71" s="119" t="inlineStr">
        <is>
          <t>Amostra de Musgo Devorador (1x)</t>
        </is>
      </c>
      <c r="E71" s="119" t="n">
        <v>17</v>
      </c>
      <c r="F71" s="119" t="inlineStr">
        <is>
          <t>Cristal Ressonante da Elfa (1x)</t>
        </is>
      </c>
      <c r="G71" s="119" t="n">
        <v>42</v>
      </c>
      <c r="H71" s="119" t="inlineStr">
        <is>
          <t>Thrum o Engenheiro Renegado</t>
        </is>
      </c>
      <c r="I71" s="115" t="inlineStr">
        <is>
          <t>Arma/Armadura</t>
        </is>
      </c>
      <c r="J71" s="115" t="inlineStr">
        <is>
          <t>Forja</t>
        </is>
      </c>
    </row>
    <row r="72" ht="15" customHeight="1" s="116">
      <c r="A72" s="119" t="inlineStr">
        <is>
          <t>Tier 5 (Aço Élfico)</t>
        </is>
      </c>
      <c r="B72" s="119" t="inlineStr">
        <is>
          <t>Cetro</t>
        </is>
      </c>
      <c r="C72" s="119" t="inlineStr">
        <is>
          <t>Sabugueiro Ancestral (Madeira Viva) (3x)</t>
        </is>
      </c>
      <c r="D72" s="119" t="inlineStr">
        <is>
          <t>Folha Cantante (1x)</t>
        </is>
      </c>
      <c r="E72" s="119" t="n">
        <v>17</v>
      </c>
      <c r="F72" s="119" t="inlineStr">
        <is>
          <t>Cristal Ressonante da Elfa (1x)</t>
        </is>
      </c>
      <c r="G72" s="119" t="n">
        <v>42</v>
      </c>
      <c r="H72" s="119" t="inlineStr">
        <is>
          <t>Thrum o Engenheiro Renegado</t>
        </is>
      </c>
      <c r="I72" s="115" t="inlineStr">
        <is>
          <t>Arma/Armadura</t>
        </is>
      </c>
      <c r="J72" s="115" t="inlineStr">
        <is>
          <t>Forja</t>
        </is>
      </c>
    </row>
    <row r="73" ht="15" customHeight="1" s="116">
      <c r="A73" s="119" t="inlineStr">
        <is>
          <t>Tier 5 (Aço Élfico)</t>
        </is>
      </c>
      <c r="B73" s="119" t="inlineStr">
        <is>
          <t>Adaga</t>
        </is>
      </c>
      <c r="C73" s="119" t="inlineStr">
        <is>
          <t>Metal Estriado Élfico (2x)</t>
        </is>
      </c>
      <c r="D73" s="119" t="inlineStr">
        <is>
          <t>Metal Estriado Élfico (1x)</t>
        </is>
      </c>
      <c r="E73" s="119" t="n">
        <v>17</v>
      </c>
      <c r="F73" s="119" t="inlineStr">
        <is>
          <t>Cristal Ressonante da Elfa (1x)</t>
        </is>
      </c>
      <c r="G73" s="119" t="n">
        <v>42</v>
      </c>
      <c r="H73" s="119" t="inlineStr">
        <is>
          <t>Thrum o Engenheiro Renegado</t>
        </is>
      </c>
      <c r="I73" s="115" t="inlineStr">
        <is>
          <t>Arma/Armadura</t>
        </is>
      </c>
      <c r="J73" s="115" t="inlineStr">
        <is>
          <t>Forja</t>
        </is>
      </c>
    </row>
    <row r="74" ht="15" customHeight="1" s="116">
      <c r="A74" s="119" t="inlineStr">
        <is>
          <t>Tier 5 (Aço Élfico)</t>
        </is>
      </c>
      <c r="B74" s="119" t="inlineStr">
        <is>
          <t>Manopla</t>
        </is>
      </c>
      <c r="C74" s="119" t="inlineStr">
        <is>
          <t>Amostra de Musgo Devorador (2x)</t>
        </is>
      </c>
      <c r="D74" s="119" t="inlineStr">
        <is>
          <t>Metal Estriado Élfico (1x)</t>
        </is>
      </c>
      <c r="E74" s="119" t="n">
        <v>17</v>
      </c>
      <c r="F74" s="119" t="inlineStr">
        <is>
          <t>Cristal Ressonante da Elfa (1x)</t>
        </is>
      </c>
      <c r="G74" s="119" t="n">
        <v>42</v>
      </c>
      <c r="H74" s="119" t="inlineStr">
        <is>
          <t>Thrum o Engenheiro Renegado</t>
        </is>
      </c>
      <c r="I74" s="115" t="inlineStr">
        <is>
          <t>Arma/Armadura</t>
        </is>
      </c>
      <c r="J74" s="115" t="inlineStr">
        <is>
          <t>Forja</t>
        </is>
      </c>
    </row>
    <row r="75" ht="15" customHeight="1" s="116">
      <c r="A75" s="119" t="inlineStr">
        <is>
          <t>Tier 5 (Aço Élfico)</t>
        </is>
      </c>
      <c r="B75" s="119" t="inlineStr">
        <is>
          <t>Luvas</t>
        </is>
      </c>
      <c r="C75" s="119" t="inlineStr">
        <is>
          <t>Amostra de Musgo Devorador (2x)</t>
        </is>
      </c>
      <c r="D75" s="119" t="inlineStr">
        <is>
          <t>Metal Estriado Élfico (1x)</t>
        </is>
      </c>
      <c r="E75" s="119" t="n">
        <v>17</v>
      </c>
      <c r="F75" s="119" t="inlineStr">
        <is>
          <t>Cristal Ressonante da Elfa (1x)</t>
        </is>
      </c>
      <c r="G75" s="119" t="n">
        <v>42</v>
      </c>
      <c r="H75" s="119" t="inlineStr">
        <is>
          <t>Thrum o Engenheiro Renegado</t>
        </is>
      </c>
      <c r="I75" s="115" t="inlineStr">
        <is>
          <t>Arma/Armadura</t>
        </is>
      </c>
      <c r="J75" s="115" t="inlineStr">
        <is>
          <t>Forja</t>
        </is>
      </c>
    </row>
    <row r="76" ht="15" customHeight="1" s="116">
      <c r="A76" s="119" t="inlineStr">
        <is>
          <t>Tier 5 (Aço Élfico)</t>
        </is>
      </c>
      <c r="B76" s="119" t="inlineStr">
        <is>
          <t>Bota</t>
        </is>
      </c>
      <c r="C76" s="119" t="inlineStr">
        <is>
          <t>Amostra de Musgo Devorador (3x)</t>
        </is>
      </c>
      <c r="D76" s="119" t="inlineStr">
        <is>
          <t>Metal Estriado Élfico (1x)</t>
        </is>
      </c>
      <c r="E76" s="119" t="n">
        <v>17</v>
      </c>
      <c r="F76" s="119" t="inlineStr">
        <is>
          <t>Cristal Ressonante da Elfa (1x)</t>
        </is>
      </c>
      <c r="G76" s="119" t="n">
        <v>42</v>
      </c>
      <c r="H76" s="119" t="inlineStr">
        <is>
          <t>Thrum o Engenheiro Renegado</t>
        </is>
      </c>
      <c r="I76" s="115" t="inlineStr">
        <is>
          <t>Arma/Armadura</t>
        </is>
      </c>
      <c r="J76" s="115" t="inlineStr">
        <is>
          <t>Forja</t>
        </is>
      </c>
    </row>
    <row r="77" ht="15" customHeight="1" s="116">
      <c r="A77" s="119" t="inlineStr">
        <is>
          <t>Tier 5 (Aço Élfico)</t>
        </is>
      </c>
      <c r="B77" s="119" t="inlineStr">
        <is>
          <t>Calça</t>
        </is>
      </c>
      <c r="C77" s="119" t="inlineStr">
        <is>
          <t>Amostra de Musgo Devorador (3x)</t>
        </is>
      </c>
      <c r="D77" s="119" t="inlineStr">
        <is>
          <t>Metal Estriado Élfico (1x)</t>
        </is>
      </c>
      <c r="E77" s="119" t="n">
        <v>17</v>
      </c>
      <c r="F77" s="119" t="inlineStr">
        <is>
          <t>Cristal Ressonante da Elfa (1x)</t>
        </is>
      </c>
      <c r="G77" s="119" t="n">
        <v>42</v>
      </c>
      <c r="H77" s="119" t="inlineStr">
        <is>
          <t>Thrum o Engenheiro Renegado</t>
        </is>
      </c>
      <c r="I77" s="115" t="inlineStr">
        <is>
          <t>Arma/Armadura</t>
        </is>
      </c>
      <c r="J77" s="115" t="inlineStr">
        <is>
          <t>Forja</t>
        </is>
      </c>
    </row>
    <row r="78" ht="15" customHeight="1" s="116">
      <c r="A78" s="119" t="inlineStr">
        <is>
          <t>Tier 5 (Aço Élfico)</t>
        </is>
      </c>
      <c r="B78" s="119" t="inlineStr">
        <is>
          <t>Amuleto</t>
        </is>
      </c>
      <c r="C78" s="119" t="inlineStr">
        <is>
          <t>Folha Cantante (2x)</t>
        </is>
      </c>
      <c r="D78" s="119" t="inlineStr">
        <is>
          <t>Metal Estriado Élfico (1x)</t>
        </is>
      </c>
      <c r="E78" s="119" t="n">
        <v>17</v>
      </c>
      <c r="F78" s="119" t="inlineStr">
        <is>
          <t>Cristal Ressonante da Elfa (1x)</t>
        </is>
      </c>
      <c r="G78" s="119" t="n">
        <v>42</v>
      </c>
      <c r="H78" s="119" t="inlineStr">
        <is>
          <t>Thrum o Engenheiro Renegado</t>
        </is>
      </c>
      <c r="I78" s="115" t="inlineStr">
        <is>
          <t>Arma/Armadura</t>
        </is>
      </c>
      <c r="J78" s="115" t="inlineStr">
        <is>
          <t>Forja</t>
        </is>
      </c>
    </row>
    <row r="79" ht="15" customHeight="1" s="116">
      <c r="A79" s="119" t="inlineStr">
        <is>
          <t>Tier 5 (Aço Élfico)</t>
        </is>
      </c>
      <c r="B79" s="119" t="inlineStr">
        <is>
          <t>Anel</t>
        </is>
      </c>
      <c r="C79" s="119" t="inlineStr">
        <is>
          <t>Folha Cantante (2x)</t>
        </is>
      </c>
      <c r="D79" s="119" t="inlineStr">
        <is>
          <t>Metal Estriado Élfico (1x)</t>
        </is>
      </c>
      <c r="E79" s="119" t="n">
        <v>17</v>
      </c>
      <c r="F79" s="119" t="inlineStr">
        <is>
          <t>Cristal Ressonante da Elfa (1x)</t>
        </is>
      </c>
      <c r="G79" s="119" t="n">
        <v>42</v>
      </c>
      <c r="H79" s="119" t="inlineStr">
        <is>
          <t>Thrum o Engenheiro Renegado</t>
        </is>
      </c>
      <c r="I79" s="115" t="inlineStr">
        <is>
          <t>Arma/Armadura</t>
        </is>
      </c>
      <c r="J79" s="115" t="inlineStr">
        <is>
          <t>Forja</t>
        </is>
      </c>
    </row>
    <row r="80" ht="15" customHeight="1" s="116">
      <c r="A80" s="119" t="inlineStr">
        <is>
          <t>Tier 6 (Mecanismo Anão)</t>
        </is>
      </c>
      <c r="B80" s="119" t="inlineStr">
        <is>
          <t>Espada</t>
        </is>
      </c>
      <c r="C80" s="119" t="inlineStr">
        <is>
          <t>Latão de Fornalha Subterrânea (3x)</t>
        </is>
      </c>
      <c r="D80" s="119" t="inlineStr">
        <is>
          <t>Luva Gasta de Engenheiro Cansado (1x)</t>
        </is>
      </c>
      <c r="E80" s="119" t="n">
        <v>26</v>
      </c>
      <c r="F80" s="119" t="inlineStr">
        <is>
          <t>Núcleo de Engrenagem Ancestral (1x)</t>
        </is>
      </c>
      <c r="G80" s="119" t="n">
        <v>65</v>
      </c>
      <c r="H80" s="119" t="inlineStr">
        <is>
          <t>Thrum o Engenheiro Renegado</t>
        </is>
      </c>
      <c r="I80" s="115" t="inlineStr">
        <is>
          <t>Arma/Armadura</t>
        </is>
      </c>
      <c r="J80" s="115" t="inlineStr">
        <is>
          <t>Forja</t>
        </is>
      </c>
    </row>
    <row r="81" ht="15" customHeight="1" s="116">
      <c r="A81" s="119" t="inlineStr">
        <is>
          <t>Tier 6 (Mecanismo Anão)</t>
        </is>
      </c>
      <c r="B81" s="119" t="inlineStr">
        <is>
          <t>Machado</t>
        </is>
      </c>
      <c r="C81" s="119" t="inlineStr">
        <is>
          <t>Latão de Fornalha Subterrânea (4x)</t>
        </is>
      </c>
      <c r="D81" s="119" t="inlineStr">
        <is>
          <t>Madeira Petrificada a Vapor (1x)</t>
        </is>
      </c>
      <c r="E81" s="119" t="n">
        <v>26</v>
      </c>
      <c r="F81" s="119" t="inlineStr">
        <is>
          <t>Núcleo de Engrenagem Ancestral (1x)</t>
        </is>
      </c>
      <c r="G81" s="119" t="n">
        <v>65</v>
      </c>
      <c r="H81" s="119" t="inlineStr">
        <is>
          <t>Thrum o Engenheiro Renegado</t>
        </is>
      </c>
      <c r="I81" s="115" t="inlineStr">
        <is>
          <t>Arma/Armadura</t>
        </is>
      </c>
      <c r="J81" s="115" t="inlineStr">
        <is>
          <t>Forja</t>
        </is>
      </c>
    </row>
    <row r="82" ht="15" customHeight="1" s="116">
      <c r="A82" s="119" t="inlineStr">
        <is>
          <t>Tier 6 (Mecanismo Anão)</t>
        </is>
      </c>
      <c r="B82" s="119" t="inlineStr">
        <is>
          <t>Maça</t>
        </is>
      </c>
      <c r="C82" s="119" t="inlineStr">
        <is>
          <t>Latão de Fornalha Subterrânea (3x)</t>
        </is>
      </c>
      <c r="D82" s="119" t="inlineStr">
        <is>
          <t>Madeira Petrificada a Vapor (2x)</t>
        </is>
      </c>
      <c r="E82" s="119" t="n">
        <v>26</v>
      </c>
      <c r="F82" s="119" t="inlineStr">
        <is>
          <t>Núcleo de Engrenagem Ancestral (1x)</t>
        </is>
      </c>
      <c r="G82" s="119" t="n">
        <v>65</v>
      </c>
      <c r="H82" s="119" t="inlineStr">
        <is>
          <t>Thrum o Engenheiro Renegado</t>
        </is>
      </c>
      <c r="I82" s="115" t="inlineStr">
        <is>
          <t>Arma/Armadura</t>
        </is>
      </c>
      <c r="J82" s="115" t="inlineStr">
        <is>
          <t>Forja</t>
        </is>
      </c>
    </row>
    <row r="83" ht="15" customHeight="1" s="116">
      <c r="A83" s="119" t="inlineStr">
        <is>
          <t>Tier 6 (Mecanismo Anão)</t>
        </is>
      </c>
      <c r="B83" s="119" t="inlineStr">
        <is>
          <t>Peitoral</t>
        </is>
      </c>
      <c r="C83" s="119" t="inlineStr">
        <is>
          <t>Latão de Fornalha Subterrânea (3x)</t>
        </is>
      </c>
      <c r="D83" s="119" t="inlineStr">
        <is>
          <t>Luva Gasta de Engenheiro Cansado (2x)</t>
        </is>
      </c>
      <c r="E83" s="119" t="n">
        <v>26</v>
      </c>
      <c r="F83" s="119" t="inlineStr">
        <is>
          <t>Núcleo de Engrenagem Ancestral (1x)</t>
        </is>
      </c>
      <c r="G83" s="119" t="n">
        <v>65</v>
      </c>
      <c r="H83" s="119" t="inlineStr">
        <is>
          <t>Thrum o Engenheiro Renegado</t>
        </is>
      </c>
      <c r="I83" s="115" t="inlineStr">
        <is>
          <t>Arma/Armadura</t>
        </is>
      </c>
      <c r="J83" s="115" t="inlineStr">
        <is>
          <t>Forja</t>
        </is>
      </c>
    </row>
    <row r="84" ht="15" customHeight="1" s="116">
      <c r="A84" s="119" t="inlineStr">
        <is>
          <t>Tier 6 (Mecanismo Anão)</t>
        </is>
      </c>
      <c r="B84" s="119" t="inlineStr">
        <is>
          <t>Escudo</t>
        </is>
      </c>
      <c r="C84" s="119" t="inlineStr">
        <is>
          <t>Latão de Fornalha Subterrânea (4x)</t>
        </is>
      </c>
      <c r="D84" s="119" t="inlineStr">
        <is>
          <t>Madeira Petrificada a Vapor (1x)</t>
        </is>
      </c>
      <c r="E84" s="119" t="n">
        <v>26</v>
      </c>
      <c r="F84" s="119" t="inlineStr">
        <is>
          <t>Núcleo de Engrenagem Ancestral (1x)</t>
        </is>
      </c>
      <c r="G84" s="119" t="n">
        <v>65</v>
      </c>
      <c r="H84" s="119" t="inlineStr">
        <is>
          <t>Thrum o Engenheiro Renegado</t>
        </is>
      </c>
      <c r="I84" s="115" t="inlineStr">
        <is>
          <t>Arma/Armadura</t>
        </is>
      </c>
      <c r="J84" s="115" t="inlineStr">
        <is>
          <t>Forja</t>
        </is>
      </c>
    </row>
    <row r="85" ht="15" customHeight="1" s="116">
      <c r="A85" s="119" t="inlineStr">
        <is>
          <t>Tier 6 (Mecanismo Anão)</t>
        </is>
      </c>
      <c r="B85" s="119" t="inlineStr">
        <is>
          <t>Elmo</t>
        </is>
      </c>
      <c r="C85" s="119" t="inlineStr">
        <is>
          <t>Latão de Fornalha Subterrânea (2x)</t>
        </is>
      </c>
      <c r="D85" s="119" t="inlineStr">
        <is>
          <t>Luva Gasta de Engenheiro Cansado (1x)</t>
        </is>
      </c>
      <c r="E85" s="119" t="n">
        <v>26</v>
      </c>
      <c r="F85" s="119" t="inlineStr">
        <is>
          <t>Núcleo de Engrenagem Ancestral (1x)</t>
        </is>
      </c>
      <c r="G85" s="119" t="n">
        <v>65</v>
      </c>
      <c r="H85" s="119" t="inlineStr">
        <is>
          <t>Thrum o Engenheiro Renegado</t>
        </is>
      </c>
      <c r="I85" s="115" t="inlineStr">
        <is>
          <t>Arma/Armadura</t>
        </is>
      </c>
      <c r="J85" s="115" t="inlineStr">
        <is>
          <t>Forja</t>
        </is>
      </c>
    </row>
    <row r="86" ht="15" customHeight="1" s="116">
      <c r="A86" s="119" t="inlineStr">
        <is>
          <t>Tier 6 (Mecanismo Anão)</t>
        </is>
      </c>
      <c r="B86" s="119" t="inlineStr">
        <is>
          <t>Arco</t>
        </is>
      </c>
      <c r="C86" s="119" t="inlineStr">
        <is>
          <t>Madeira Petrificada a Vapor (3x)</t>
        </is>
      </c>
      <c r="D86" s="119" t="inlineStr">
        <is>
          <t>Luva Gasta de Engenheiro Cansado (1x)</t>
        </is>
      </c>
      <c r="E86" s="119" t="n">
        <v>26</v>
      </c>
      <c r="F86" s="119" t="inlineStr">
        <is>
          <t>Núcleo de Engrenagem Ancestral (1x)</t>
        </is>
      </c>
      <c r="G86" s="119" t="n">
        <v>65</v>
      </c>
      <c r="H86" s="119" t="inlineStr">
        <is>
          <t>Thrum o Engenheiro Renegado</t>
        </is>
      </c>
      <c r="I86" s="115" t="inlineStr">
        <is>
          <t>Arma/Armadura</t>
        </is>
      </c>
      <c r="J86" s="115" t="inlineStr">
        <is>
          <t>Forja</t>
        </is>
      </c>
    </row>
    <row r="87" ht="15" customHeight="1" s="116">
      <c r="A87" s="119" t="inlineStr">
        <is>
          <t>Tier 6 (Mecanismo Anão)</t>
        </is>
      </c>
      <c r="B87" s="119" t="inlineStr">
        <is>
          <t>Cetro</t>
        </is>
      </c>
      <c r="C87" s="119" t="inlineStr">
        <is>
          <t>Madeira Petrificada a Vapor (3x)</t>
        </is>
      </c>
      <c r="D87" s="119" t="inlineStr">
        <is>
          <t>Musgo de Graxa Arcana (1x)</t>
        </is>
      </c>
      <c r="E87" s="119" t="n">
        <v>26</v>
      </c>
      <c r="F87" s="119" t="inlineStr">
        <is>
          <t>Núcleo de Engrenagem Ancestral (1x)</t>
        </is>
      </c>
      <c r="G87" s="119" t="n">
        <v>65</v>
      </c>
      <c r="H87" s="119" t="inlineStr">
        <is>
          <t>Thrum o Engenheiro Renegado</t>
        </is>
      </c>
      <c r="I87" s="115" t="inlineStr">
        <is>
          <t>Arma/Armadura</t>
        </is>
      </c>
      <c r="J87" s="115" t="inlineStr">
        <is>
          <t>Forja</t>
        </is>
      </c>
    </row>
    <row r="88" ht="15" customHeight="1" s="116">
      <c r="A88" s="119" t="inlineStr">
        <is>
          <t>Tier 6 (Mecanismo Anão)</t>
        </is>
      </c>
      <c r="B88" s="119" t="inlineStr">
        <is>
          <t>Adaga</t>
        </is>
      </c>
      <c r="C88" s="119" t="inlineStr">
        <is>
          <t>Latão de Fornalha Subterrânea (2x)</t>
        </is>
      </c>
      <c r="D88" s="119" t="inlineStr">
        <is>
          <t>Latão de Fornalha Subterrânea (1x)</t>
        </is>
      </c>
      <c r="E88" s="119" t="n">
        <v>26</v>
      </c>
      <c r="F88" s="119" t="inlineStr">
        <is>
          <t>Núcleo de Engrenagem Ancestral (1x)</t>
        </is>
      </c>
      <c r="G88" s="119" t="n">
        <v>65</v>
      </c>
      <c r="H88" s="119" t="inlineStr">
        <is>
          <t>Thrum o Engenheiro Renegado</t>
        </is>
      </c>
      <c r="I88" s="115" t="inlineStr">
        <is>
          <t>Arma/Armadura</t>
        </is>
      </c>
      <c r="J88" s="115" t="inlineStr">
        <is>
          <t>Forja</t>
        </is>
      </c>
    </row>
    <row r="89" ht="15" customHeight="1" s="116">
      <c r="A89" s="119" t="inlineStr">
        <is>
          <t>Tier 6 (Mecanismo Anão)</t>
        </is>
      </c>
      <c r="B89" s="119" t="inlineStr">
        <is>
          <t>Manopla</t>
        </is>
      </c>
      <c r="C89" s="119" t="inlineStr">
        <is>
          <t>Luva Gasta de Engenheiro Cansado (2x)</t>
        </is>
      </c>
      <c r="D89" s="119" t="inlineStr">
        <is>
          <t>Latão de Fornalha Subterrânea (1x)</t>
        </is>
      </c>
      <c r="E89" s="119" t="n">
        <v>26</v>
      </c>
      <c r="F89" s="119" t="inlineStr">
        <is>
          <t>Núcleo de Engrenagem Ancestral (1x)</t>
        </is>
      </c>
      <c r="G89" s="119" t="n">
        <v>65</v>
      </c>
      <c r="H89" s="119" t="inlineStr">
        <is>
          <t>Thrum o Engenheiro Renegado</t>
        </is>
      </c>
      <c r="I89" s="115" t="inlineStr">
        <is>
          <t>Arma/Armadura</t>
        </is>
      </c>
      <c r="J89" s="115" t="inlineStr">
        <is>
          <t>Forja</t>
        </is>
      </c>
    </row>
    <row r="90" ht="15" customHeight="1" s="116">
      <c r="A90" s="119" t="inlineStr">
        <is>
          <t>Tier 6 (Mecanismo Anão)</t>
        </is>
      </c>
      <c r="B90" s="119" t="inlineStr">
        <is>
          <t>Luvas</t>
        </is>
      </c>
      <c r="C90" s="119" t="inlineStr">
        <is>
          <t>Luva Gasta de Engenheiro Cansado (2x)</t>
        </is>
      </c>
      <c r="D90" s="119" t="inlineStr">
        <is>
          <t>Latão de Fornalha Subterrânea (1x)</t>
        </is>
      </c>
      <c r="E90" s="119" t="n">
        <v>26</v>
      </c>
      <c r="F90" s="119" t="inlineStr">
        <is>
          <t>Núcleo de Engrenagem Ancestral (1x)</t>
        </is>
      </c>
      <c r="G90" s="119" t="n">
        <v>65</v>
      </c>
      <c r="H90" s="119" t="inlineStr">
        <is>
          <t>Thrum o Engenheiro Renegado</t>
        </is>
      </c>
      <c r="I90" s="115" t="inlineStr">
        <is>
          <t>Arma/Armadura</t>
        </is>
      </c>
      <c r="J90" s="115" t="inlineStr">
        <is>
          <t>Forja</t>
        </is>
      </c>
    </row>
    <row r="91" ht="15" customHeight="1" s="116">
      <c r="A91" s="119" t="inlineStr">
        <is>
          <t>Tier 6 (Mecanismo Anão)</t>
        </is>
      </c>
      <c r="B91" s="119" t="inlineStr">
        <is>
          <t>Bota</t>
        </is>
      </c>
      <c r="C91" s="119" t="inlineStr">
        <is>
          <t>Luva Gasta de Engenheiro Cansado (3x)</t>
        </is>
      </c>
      <c r="D91" s="119" t="inlineStr">
        <is>
          <t>Latão de Fornalha Subterrânea (1x)</t>
        </is>
      </c>
      <c r="E91" s="119" t="n">
        <v>26</v>
      </c>
      <c r="F91" s="119" t="inlineStr">
        <is>
          <t>Núcleo de Engrenagem Ancestral (1x)</t>
        </is>
      </c>
      <c r="G91" s="119" t="n">
        <v>65</v>
      </c>
      <c r="H91" s="119" t="inlineStr">
        <is>
          <t>Thrum o Engenheiro Renegado</t>
        </is>
      </c>
      <c r="I91" s="115" t="inlineStr">
        <is>
          <t>Arma/Armadura</t>
        </is>
      </c>
      <c r="J91" s="115" t="inlineStr">
        <is>
          <t>Forja</t>
        </is>
      </c>
    </row>
    <row r="92" ht="15" customHeight="1" s="116">
      <c r="A92" s="119" t="inlineStr">
        <is>
          <t>Tier 6 (Mecanismo Anão)</t>
        </is>
      </c>
      <c r="B92" s="119" t="inlineStr">
        <is>
          <t>Calça</t>
        </is>
      </c>
      <c r="C92" s="119" t="inlineStr">
        <is>
          <t>Luva Gasta de Engenheiro Cansado (3x)</t>
        </is>
      </c>
      <c r="D92" s="119" t="inlineStr">
        <is>
          <t>Latão de Fornalha Subterrânea (1x)</t>
        </is>
      </c>
      <c r="E92" s="119" t="n">
        <v>26</v>
      </c>
      <c r="F92" s="119" t="inlineStr">
        <is>
          <t>Núcleo de Engrenagem Ancestral (1x)</t>
        </is>
      </c>
      <c r="G92" s="119" t="n">
        <v>65</v>
      </c>
      <c r="H92" s="119" t="inlineStr">
        <is>
          <t>Thrum o Engenheiro Renegado</t>
        </is>
      </c>
      <c r="I92" s="115" t="inlineStr">
        <is>
          <t>Arma/Armadura</t>
        </is>
      </c>
      <c r="J92" s="115" t="inlineStr">
        <is>
          <t>Forja</t>
        </is>
      </c>
    </row>
    <row r="93" ht="15" customHeight="1" s="116">
      <c r="A93" s="119" t="inlineStr">
        <is>
          <t>Tier 6 (Mecanismo Anão)</t>
        </is>
      </c>
      <c r="B93" s="119" t="inlineStr">
        <is>
          <t>Amuleto</t>
        </is>
      </c>
      <c r="C93" s="119" t="inlineStr">
        <is>
          <t>Musgo de Graxa Arcana (2x)</t>
        </is>
      </c>
      <c r="D93" s="119" t="inlineStr">
        <is>
          <t>Latão de Fornalha Subterrânea (1x)</t>
        </is>
      </c>
      <c r="E93" s="119" t="n">
        <v>26</v>
      </c>
      <c r="F93" s="119" t="inlineStr">
        <is>
          <t>Núcleo de Engrenagem Ancestral (1x)</t>
        </is>
      </c>
      <c r="G93" s="119" t="n">
        <v>65</v>
      </c>
      <c r="H93" s="119" t="inlineStr">
        <is>
          <t>Thrum o Engenheiro Renegado</t>
        </is>
      </c>
      <c r="I93" s="115" t="inlineStr">
        <is>
          <t>Arma/Armadura</t>
        </is>
      </c>
      <c r="J93" s="115" t="inlineStr">
        <is>
          <t>Forja</t>
        </is>
      </c>
    </row>
    <row r="94" ht="15" customHeight="1" s="116">
      <c r="A94" s="119" t="inlineStr">
        <is>
          <t>Tier 6 (Mecanismo Anão)</t>
        </is>
      </c>
      <c r="B94" s="119" t="inlineStr">
        <is>
          <t>Anel</t>
        </is>
      </c>
      <c r="C94" s="119" t="inlineStr">
        <is>
          <t>Musgo de Graxa Arcana (2x)</t>
        </is>
      </c>
      <c r="D94" s="119" t="inlineStr">
        <is>
          <t>Latão de Fornalha Subterrânea (1x)</t>
        </is>
      </c>
      <c r="E94" s="119" t="n">
        <v>26</v>
      </c>
      <c r="F94" s="119" t="inlineStr">
        <is>
          <t>Núcleo de Engrenagem Ancestral (1x)</t>
        </is>
      </c>
      <c r="G94" s="119" t="n">
        <v>65</v>
      </c>
      <c r="H94" s="119" t="inlineStr">
        <is>
          <t>Thrum o Engenheiro Renegado</t>
        </is>
      </c>
      <c r="I94" s="115" t="inlineStr">
        <is>
          <t>Arma/Armadura</t>
        </is>
      </c>
      <c r="J94" s="115" t="inlineStr">
        <is>
          <t>Forja</t>
        </is>
      </c>
    </row>
    <row r="95" ht="15" customHeight="1" s="116">
      <c r="A95" s="119" t="inlineStr">
        <is>
          <t>Tier 7 (Vidro Vulcânico)</t>
        </is>
      </c>
      <c r="B95" s="119" t="inlineStr">
        <is>
          <t>Espada</t>
        </is>
      </c>
      <c r="C95" s="119" t="inlineStr">
        <is>
          <t>Obsidiana Incandescente (Vidro Vulcânico) (3x)</t>
        </is>
      </c>
      <c r="D95" s="119" t="inlineStr">
        <is>
          <t>Escama de Fera Vítrea (1x)</t>
        </is>
      </c>
      <c r="E95" s="119" t="n">
        <v>36</v>
      </c>
      <c r="F95" s="119" t="inlineStr">
        <is>
          <t>Escama de Fera Vítrea (1x)</t>
        </is>
      </c>
      <c r="G95" s="119" t="n">
        <v>90</v>
      </c>
      <c r="H95" s="119" t="inlineStr">
        <is>
          <t>Alto Forjador Kaelen</t>
        </is>
      </c>
      <c r="I95" s="115" t="inlineStr">
        <is>
          <t>Arma/Armadura</t>
        </is>
      </c>
      <c r="J95" s="115" t="inlineStr">
        <is>
          <t>Forja</t>
        </is>
      </c>
    </row>
    <row r="96" ht="15" customHeight="1" s="116">
      <c r="A96" s="119" t="inlineStr">
        <is>
          <t>Tier 7 (Vidro Vulcânico)</t>
        </is>
      </c>
      <c r="B96" s="119" t="inlineStr">
        <is>
          <t>Machado</t>
        </is>
      </c>
      <c r="C96" s="119" t="inlineStr">
        <is>
          <t>Obsidiana Incandescente (Vidro Vulcânico) (4x)</t>
        </is>
      </c>
      <c r="D96" s="119" t="inlineStr">
        <is>
          <t>Tronco Queimado de Fenda (Ébano de Fogo) (1x)</t>
        </is>
      </c>
      <c r="E96" s="119" t="n">
        <v>36</v>
      </c>
      <c r="F96" s="119" t="inlineStr">
        <is>
          <t>Escama de Fera Vítrea (1x)</t>
        </is>
      </c>
      <c r="G96" s="119" t="n">
        <v>90</v>
      </c>
      <c r="H96" s="119" t="inlineStr">
        <is>
          <t>Alto Forjador Kaelen</t>
        </is>
      </c>
      <c r="I96" s="115" t="inlineStr">
        <is>
          <t>Arma/Armadura</t>
        </is>
      </c>
      <c r="J96" s="115" t="inlineStr">
        <is>
          <t>Forja</t>
        </is>
      </c>
    </row>
    <row r="97" ht="15" customHeight="1" s="116">
      <c r="A97" s="119" t="inlineStr">
        <is>
          <t>Tier 7 (Vidro Vulcânico)</t>
        </is>
      </c>
      <c r="B97" s="119" t="inlineStr">
        <is>
          <t>Maça</t>
        </is>
      </c>
      <c r="C97" s="119" t="inlineStr">
        <is>
          <t>Obsidiana Incandescente (Vidro Vulcânico) (3x)</t>
        </is>
      </c>
      <c r="D97" s="119" t="inlineStr">
        <is>
          <t>Tronco Queimado de Fenda (Ébano de Fogo) (2x)</t>
        </is>
      </c>
      <c r="E97" s="119" t="n">
        <v>36</v>
      </c>
      <c r="F97" s="119" t="inlineStr">
        <is>
          <t>Escama de Fera Vítrea (1x)</t>
        </is>
      </c>
      <c r="G97" s="119" t="n">
        <v>90</v>
      </c>
      <c r="H97" s="119" t="inlineStr">
        <is>
          <t>Alto Forjador Kaelen</t>
        </is>
      </c>
      <c r="I97" s="115" t="inlineStr">
        <is>
          <t>Arma/Armadura</t>
        </is>
      </c>
      <c r="J97" s="115" t="inlineStr">
        <is>
          <t>Forja</t>
        </is>
      </c>
    </row>
    <row r="98" ht="15" customHeight="1" s="116">
      <c r="A98" s="119" t="inlineStr">
        <is>
          <t>Tier 7 (Vidro Vulcânico)</t>
        </is>
      </c>
      <c r="B98" s="119" t="inlineStr">
        <is>
          <t>Peitoral</t>
        </is>
      </c>
      <c r="C98" s="119" t="inlineStr">
        <is>
          <t>Obsidiana Incandescente (Vidro Vulcânico) (3x)</t>
        </is>
      </c>
      <c r="D98" s="119" t="inlineStr">
        <is>
          <t>Escama de Fera Vítrea (2x)</t>
        </is>
      </c>
      <c r="E98" s="119" t="n">
        <v>36</v>
      </c>
      <c r="F98" s="119" t="inlineStr">
        <is>
          <t>Escama de Fera Vítrea (1x)</t>
        </is>
      </c>
      <c r="G98" s="119" t="n">
        <v>90</v>
      </c>
      <c r="H98" s="119" t="inlineStr">
        <is>
          <t>Alto Forjador Kaelen</t>
        </is>
      </c>
      <c r="I98" s="115" t="inlineStr">
        <is>
          <t>Arma/Armadura</t>
        </is>
      </c>
      <c r="J98" s="115" t="inlineStr">
        <is>
          <t>Forja</t>
        </is>
      </c>
    </row>
    <row r="99" ht="15" customHeight="1" s="116">
      <c r="A99" s="119" t="inlineStr">
        <is>
          <t>Tier 7 (Vidro Vulcânico)</t>
        </is>
      </c>
      <c r="B99" s="119" t="inlineStr">
        <is>
          <t>Escudo</t>
        </is>
      </c>
      <c r="C99" s="119" t="inlineStr">
        <is>
          <t>Obsidiana Incandescente (Vidro Vulcânico) (4x)</t>
        </is>
      </c>
      <c r="D99" s="119" t="inlineStr">
        <is>
          <t>Tronco Queimado de Fenda (Ébano de Fogo) (1x)</t>
        </is>
      </c>
      <c r="E99" s="119" t="n">
        <v>36</v>
      </c>
      <c r="F99" s="119" t="inlineStr">
        <is>
          <t>Escama de Fera Vítrea (1x)</t>
        </is>
      </c>
      <c r="G99" s="119" t="n">
        <v>90</v>
      </c>
      <c r="H99" s="119" t="inlineStr">
        <is>
          <t>Alto Forjador Kaelen</t>
        </is>
      </c>
      <c r="I99" s="115" t="inlineStr">
        <is>
          <t>Arma/Armadura</t>
        </is>
      </c>
      <c r="J99" s="115" t="inlineStr">
        <is>
          <t>Forja</t>
        </is>
      </c>
    </row>
    <row r="100" ht="15" customHeight="1" s="116">
      <c r="A100" s="119" t="inlineStr">
        <is>
          <t>Tier 7 (Vidro Vulcânico)</t>
        </is>
      </c>
      <c r="B100" s="119" t="inlineStr">
        <is>
          <t>Elmo</t>
        </is>
      </c>
      <c r="C100" s="119" t="inlineStr">
        <is>
          <t>Obsidiana Incandescente (Vidro Vulcânico) (2x)</t>
        </is>
      </c>
      <c r="D100" s="119" t="inlineStr">
        <is>
          <t>Escama de Fera Vítrea (1x)</t>
        </is>
      </c>
      <c r="E100" s="119" t="n">
        <v>36</v>
      </c>
      <c r="F100" s="119" t="inlineStr">
        <is>
          <t>Escama de Fera Vítrea (1x)</t>
        </is>
      </c>
      <c r="G100" s="119" t="n">
        <v>90</v>
      </c>
      <c r="H100" s="119" t="inlineStr">
        <is>
          <t>Alto Forjador Kaelen</t>
        </is>
      </c>
      <c r="I100" s="115" t="inlineStr">
        <is>
          <t>Arma/Armadura</t>
        </is>
      </c>
      <c r="J100" s="115" t="inlineStr">
        <is>
          <t>Forja</t>
        </is>
      </c>
    </row>
    <row r="101" ht="15" customHeight="1" s="116">
      <c r="A101" s="119" t="inlineStr">
        <is>
          <t>Tier 7 (Vidro Vulcânico)</t>
        </is>
      </c>
      <c r="B101" s="119" t="inlineStr">
        <is>
          <t>Arco</t>
        </is>
      </c>
      <c r="C101" s="119" t="inlineStr">
        <is>
          <t>Tronco Queimado de Fenda (Ébano de Fogo) (3x)</t>
        </is>
      </c>
      <c r="D101" s="119" t="inlineStr">
        <is>
          <t>Escama de Fera Vítrea (1x)</t>
        </is>
      </c>
      <c r="E101" s="119" t="n">
        <v>36</v>
      </c>
      <c r="F101" s="119" t="inlineStr">
        <is>
          <t>Escama de Fera Vítrea (1x)</t>
        </is>
      </c>
      <c r="G101" s="119" t="n">
        <v>90</v>
      </c>
      <c r="H101" s="119" t="inlineStr">
        <is>
          <t>Alto Forjador Kaelen</t>
        </is>
      </c>
      <c r="I101" s="115" t="inlineStr">
        <is>
          <t>Arma/Armadura</t>
        </is>
      </c>
      <c r="J101" s="115" t="inlineStr">
        <is>
          <t>Forja</t>
        </is>
      </c>
    </row>
    <row r="102" ht="15" customHeight="1" s="116">
      <c r="A102" s="119" t="inlineStr">
        <is>
          <t>Tier 7 (Vidro Vulcânico)</t>
        </is>
      </c>
      <c r="B102" s="119" t="inlineStr">
        <is>
          <t>Cetro</t>
        </is>
      </c>
      <c r="C102" s="119" t="inlineStr">
        <is>
          <t>Tronco Queimado de Fenda (Ébano de Fogo) (3x)</t>
        </is>
      </c>
      <c r="D102" s="119" t="inlineStr">
        <is>
          <t>Orquídea de Magma (1x)</t>
        </is>
      </c>
      <c r="E102" s="119" t="n">
        <v>36</v>
      </c>
      <c r="F102" s="119" t="inlineStr">
        <is>
          <t>Escama de Fera Vítrea (1x)</t>
        </is>
      </c>
      <c r="G102" s="119" t="n">
        <v>90</v>
      </c>
      <c r="H102" s="119" t="inlineStr">
        <is>
          <t>Alto Forjador Kaelen</t>
        </is>
      </c>
      <c r="I102" s="115" t="inlineStr">
        <is>
          <t>Arma/Armadura</t>
        </is>
      </c>
      <c r="J102" s="115" t="inlineStr">
        <is>
          <t>Forja</t>
        </is>
      </c>
    </row>
    <row r="103" ht="15" customHeight="1" s="116">
      <c r="A103" s="119" t="inlineStr">
        <is>
          <t>Tier 7 (Vidro Vulcânico)</t>
        </is>
      </c>
      <c r="B103" s="119" t="inlineStr">
        <is>
          <t>Adaga</t>
        </is>
      </c>
      <c r="C103" s="119" t="inlineStr">
        <is>
          <t>Obsidiana Incandescente (Vidro Vulcânico) (2x)</t>
        </is>
      </c>
      <c r="D103" s="119" t="inlineStr">
        <is>
          <t>Obsidiana Incandescente (Vidro Vulcânico) (1x)</t>
        </is>
      </c>
      <c r="E103" s="119" t="n">
        <v>36</v>
      </c>
      <c r="F103" s="119" t="inlineStr">
        <is>
          <t>Escama de Fera Vítrea (1x)</t>
        </is>
      </c>
      <c r="G103" s="119" t="n">
        <v>90</v>
      </c>
      <c r="H103" s="119" t="inlineStr">
        <is>
          <t>Alto Forjador Kaelen</t>
        </is>
      </c>
      <c r="I103" s="115" t="inlineStr">
        <is>
          <t>Arma/Armadura</t>
        </is>
      </c>
      <c r="J103" s="115" t="inlineStr">
        <is>
          <t>Forja</t>
        </is>
      </c>
    </row>
    <row r="104" ht="15" customHeight="1" s="116">
      <c r="A104" s="119" t="inlineStr">
        <is>
          <t>Tier 7 (Vidro Vulcânico)</t>
        </is>
      </c>
      <c r="B104" s="119" t="inlineStr">
        <is>
          <t>Manopla</t>
        </is>
      </c>
      <c r="C104" s="119" t="inlineStr">
        <is>
          <t>Escama de Fera Vítrea (2x)</t>
        </is>
      </c>
      <c r="D104" s="119" t="inlineStr">
        <is>
          <t>Obsidiana Incandescente (Vidro Vulcânico) (1x)</t>
        </is>
      </c>
      <c r="E104" s="119" t="n">
        <v>36</v>
      </c>
      <c r="F104" s="119" t="inlineStr">
        <is>
          <t>Escama de Fera Vítrea (1x)</t>
        </is>
      </c>
      <c r="G104" s="119" t="n">
        <v>90</v>
      </c>
      <c r="H104" s="119" t="inlineStr">
        <is>
          <t>Alto Forjador Kaelen</t>
        </is>
      </c>
      <c r="I104" s="115" t="inlineStr">
        <is>
          <t>Arma/Armadura</t>
        </is>
      </c>
      <c r="J104" s="115" t="inlineStr">
        <is>
          <t>Forja</t>
        </is>
      </c>
    </row>
    <row r="105" ht="15" customHeight="1" s="116">
      <c r="A105" s="119" t="inlineStr">
        <is>
          <t>Tier 7 (Vidro Vulcânico)</t>
        </is>
      </c>
      <c r="B105" s="119" t="inlineStr">
        <is>
          <t>Luvas</t>
        </is>
      </c>
      <c r="C105" s="119" t="inlineStr">
        <is>
          <t>Escama de Fera Vítrea (2x)</t>
        </is>
      </c>
      <c r="D105" s="119" t="inlineStr">
        <is>
          <t>Obsidiana Incandescente (Vidro Vulcânico) (1x)</t>
        </is>
      </c>
      <c r="E105" s="119" t="n">
        <v>36</v>
      </c>
      <c r="F105" s="119" t="inlineStr">
        <is>
          <t>Escama de Fera Vítrea (1x)</t>
        </is>
      </c>
      <c r="G105" s="119" t="n">
        <v>90</v>
      </c>
      <c r="H105" s="119" t="inlineStr">
        <is>
          <t>Alto Forjador Kaelen</t>
        </is>
      </c>
      <c r="I105" s="115" t="inlineStr">
        <is>
          <t>Arma/Armadura</t>
        </is>
      </c>
      <c r="J105" s="115" t="inlineStr">
        <is>
          <t>Forja</t>
        </is>
      </c>
    </row>
    <row r="106" ht="15" customHeight="1" s="116">
      <c r="A106" s="119" t="inlineStr">
        <is>
          <t>Tier 7 (Vidro Vulcânico)</t>
        </is>
      </c>
      <c r="B106" s="119" t="inlineStr">
        <is>
          <t>Bota</t>
        </is>
      </c>
      <c r="C106" s="119" t="inlineStr">
        <is>
          <t>Escama de Fera Vítrea (3x)</t>
        </is>
      </c>
      <c r="D106" s="119" t="inlineStr">
        <is>
          <t>Obsidiana Incandescente (Vidro Vulcânico) (1x)</t>
        </is>
      </c>
      <c r="E106" s="119" t="n">
        <v>36</v>
      </c>
      <c r="F106" s="119" t="inlineStr">
        <is>
          <t>Escama de Fera Vítrea (1x)</t>
        </is>
      </c>
      <c r="G106" s="119" t="n">
        <v>90</v>
      </c>
      <c r="H106" s="119" t="inlineStr">
        <is>
          <t>Alto Forjador Kaelen</t>
        </is>
      </c>
      <c r="I106" s="115" t="inlineStr">
        <is>
          <t>Arma/Armadura</t>
        </is>
      </c>
      <c r="J106" s="115" t="inlineStr">
        <is>
          <t>Forja</t>
        </is>
      </c>
    </row>
    <row r="107" ht="15" customHeight="1" s="116">
      <c r="A107" s="119" t="inlineStr">
        <is>
          <t>Tier 7 (Vidro Vulcânico)</t>
        </is>
      </c>
      <c r="B107" s="119" t="inlineStr">
        <is>
          <t>Calça</t>
        </is>
      </c>
      <c r="C107" s="119" t="inlineStr">
        <is>
          <t>Escama de Fera Vítrea (3x)</t>
        </is>
      </c>
      <c r="D107" s="119" t="inlineStr">
        <is>
          <t>Obsidiana Incandescente (Vidro Vulcânico) (1x)</t>
        </is>
      </c>
      <c r="E107" s="119" t="n">
        <v>36</v>
      </c>
      <c r="F107" s="119" t="inlineStr">
        <is>
          <t>Escama de Fera Vítrea (1x)</t>
        </is>
      </c>
      <c r="G107" s="119" t="n">
        <v>90</v>
      </c>
      <c r="H107" s="119" t="inlineStr">
        <is>
          <t>Alto Forjador Kaelen</t>
        </is>
      </c>
      <c r="I107" s="115" t="inlineStr">
        <is>
          <t>Arma/Armadura</t>
        </is>
      </c>
      <c r="J107" s="115" t="inlineStr">
        <is>
          <t>Forja</t>
        </is>
      </c>
    </row>
    <row r="108" ht="15" customHeight="1" s="116">
      <c r="A108" s="119" t="inlineStr">
        <is>
          <t>Tier 7 (Vidro Vulcânico)</t>
        </is>
      </c>
      <c r="B108" s="119" t="inlineStr">
        <is>
          <t>Amuleto</t>
        </is>
      </c>
      <c r="C108" s="119" t="inlineStr">
        <is>
          <t>Orquídea de Magma (2x)</t>
        </is>
      </c>
      <c r="D108" s="119" t="inlineStr">
        <is>
          <t>Obsidiana Incandescente (Vidro Vulcânico) (1x)</t>
        </is>
      </c>
      <c r="E108" s="119" t="n">
        <v>36</v>
      </c>
      <c r="F108" s="119" t="inlineStr">
        <is>
          <t>Escama de Fera Vítrea (1x)</t>
        </is>
      </c>
      <c r="G108" s="119" t="n">
        <v>90</v>
      </c>
      <c r="H108" s="119" t="inlineStr">
        <is>
          <t>Alto Forjador Kaelen</t>
        </is>
      </c>
      <c r="I108" s="115" t="inlineStr">
        <is>
          <t>Arma/Armadura</t>
        </is>
      </c>
      <c r="J108" s="115" t="inlineStr">
        <is>
          <t>Forja</t>
        </is>
      </c>
    </row>
    <row r="109" ht="15" customHeight="1" s="116">
      <c r="A109" s="119" t="inlineStr">
        <is>
          <t>Tier 7 (Vidro Vulcânico)</t>
        </is>
      </c>
      <c r="B109" s="119" t="inlineStr">
        <is>
          <t>Anel</t>
        </is>
      </c>
      <c r="C109" s="119" t="inlineStr">
        <is>
          <t>Orquídea de Magma (2x)</t>
        </is>
      </c>
      <c r="D109" s="119" t="inlineStr">
        <is>
          <t>Obsidiana Incandescente (Vidro Vulcânico) (1x)</t>
        </is>
      </c>
      <c r="E109" s="119" t="n">
        <v>36</v>
      </c>
      <c r="F109" s="119" t="inlineStr">
        <is>
          <t>Escama de Fera Vítrea (1x)</t>
        </is>
      </c>
      <c r="G109" s="119" t="n">
        <v>90</v>
      </c>
      <c r="H109" s="119" t="inlineStr">
        <is>
          <t>Alto Forjador Kaelen</t>
        </is>
      </c>
      <c r="I109" s="115" t="inlineStr">
        <is>
          <t>Arma/Armadura</t>
        </is>
      </c>
      <c r="J109" s="115" t="inlineStr">
        <is>
          <t>Forja</t>
        </is>
      </c>
    </row>
    <row r="110" ht="15" customHeight="1" s="116">
      <c r="A110" s="119" t="inlineStr">
        <is>
          <t>Tier 8 (Ferro Órquico)</t>
        </is>
      </c>
      <c r="B110" s="119" t="inlineStr">
        <is>
          <t>Espada</t>
        </is>
      </c>
      <c r="C110" s="119" t="inlineStr">
        <is>
          <t>Lingote de Ferro Órquico Bruto (3x)</t>
        </is>
      </c>
      <c r="D110" s="119" t="inlineStr">
        <is>
          <t>Crânio Troféu do Chefe Orc (1x)</t>
        </is>
      </c>
      <c r="E110" s="119" t="n">
        <v>50</v>
      </c>
      <c r="F110" s="119" t="inlineStr">
        <is>
          <t>Crânio Troféu do Chefe Orc (1x)</t>
        </is>
      </c>
      <c r="G110" s="119" t="n">
        <v>125</v>
      </c>
      <c r="H110" s="119" t="inlineStr">
        <is>
          <t>Alto Forjador Kaelen</t>
        </is>
      </c>
      <c r="I110" s="115" t="inlineStr">
        <is>
          <t>Arma/Armadura</t>
        </is>
      </c>
      <c r="J110" s="115" t="inlineStr">
        <is>
          <t>Forja</t>
        </is>
      </c>
    </row>
    <row r="111" ht="15" customHeight="1" s="116">
      <c r="A111" s="119" t="inlineStr">
        <is>
          <t>Tier 8 (Ferro Órquico)</t>
        </is>
      </c>
      <c r="B111" s="119" t="inlineStr">
        <is>
          <t>Machado</t>
        </is>
      </c>
      <c r="C111" s="119" t="inlineStr">
        <is>
          <t>Lingote de Ferro Órquico Bruto (4x)</t>
        </is>
      </c>
      <c r="D111" s="119" t="inlineStr">
        <is>
          <t>Carvalho Sangrento de Paliçada (1x)</t>
        </is>
      </c>
      <c r="E111" s="119" t="n">
        <v>50</v>
      </c>
      <c r="F111" s="119" t="inlineStr">
        <is>
          <t>Crânio Troféu do Chefe Orc (1x)</t>
        </is>
      </c>
      <c r="G111" s="119" t="n">
        <v>125</v>
      </c>
      <c r="H111" s="119" t="inlineStr">
        <is>
          <t>Alto Forjador Kaelen</t>
        </is>
      </c>
      <c r="I111" s="115" t="inlineStr">
        <is>
          <t>Arma/Armadura</t>
        </is>
      </c>
      <c r="J111" s="115" t="inlineStr">
        <is>
          <t>Forja</t>
        </is>
      </c>
    </row>
    <row r="112" ht="15" customHeight="1" s="116">
      <c r="A112" s="119" t="inlineStr">
        <is>
          <t>Tier 8 (Ferro Órquico)</t>
        </is>
      </c>
      <c r="B112" s="119" t="inlineStr">
        <is>
          <t>Maça</t>
        </is>
      </c>
      <c r="C112" s="119" t="inlineStr">
        <is>
          <t>Lingote de Ferro Órquico Bruto (3x)</t>
        </is>
      </c>
      <c r="D112" s="119" t="inlineStr">
        <is>
          <t>Carvalho Sangrento de Paliçada (2x)</t>
        </is>
      </c>
      <c r="E112" s="119" t="n">
        <v>50</v>
      </c>
      <c r="F112" s="119" t="inlineStr">
        <is>
          <t>Crânio Troféu do Chefe Orc (1x)</t>
        </is>
      </c>
      <c r="G112" s="119" t="n">
        <v>125</v>
      </c>
      <c r="H112" s="119" t="inlineStr">
        <is>
          <t>Alto Forjador Kaelen</t>
        </is>
      </c>
      <c r="I112" s="115" t="inlineStr">
        <is>
          <t>Arma/Armadura</t>
        </is>
      </c>
      <c r="J112" s="115" t="inlineStr">
        <is>
          <t>Forja</t>
        </is>
      </c>
    </row>
    <row r="113" ht="15" customHeight="1" s="116">
      <c r="A113" s="119" t="inlineStr">
        <is>
          <t>Tier 8 (Ferro Órquico)</t>
        </is>
      </c>
      <c r="B113" s="119" t="inlineStr">
        <is>
          <t>Peitoral</t>
        </is>
      </c>
      <c r="C113" s="119" t="inlineStr">
        <is>
          <t>Lingote de Ferro Órquico Bruto (3x)</t>
        </is>
      </c>
      <c r="D113" s="119" t="inlineStr">
        <is>
          <t>Crânio Troféu do Chefe Orc (2x)</t>
        </is>
      </c>
      <c r="E113" s="119" t="n">
        <v>50</v>
      </c>
      <c r="F113" s="119" t="inlineStr">
        <is>
          <t>Crânio Troféu do Chefe Orc (1x)</t>
        </is>
      </c>
      <c r="G113" s="119" t="n">
        <v>125</v>
      </c>
      <c r="H113" s="119" t="inlineStr">
        <is>
          <t>Alto Forjador Kaelen</t>
        </is>
      </c>
      <c r="I113" s="115" t="inlineStr">
        <is>
          <t>Arma/Armadura</t>
        </is>
      </c>
      <c r="J113" s="115" t="inlineStr">
        <is>
          <t>Forja</t>
        </is>
      </c>
    </row>
    <row r="114" ht="15" customHeight="1" s="116">
      <c r="A114" s="119" t="inlineStr">
        <is>
          <t>Tier 8 (Ferro Órquico)</t>
        </is>
      </c>
      <c r="B114" s="119" t="inlineStr">
        <is>
          <t>Escudo</t>
        </is>
      </c>
      <c r="C114" s="119" t="inlineStr">
        <is>
          <t>Lingote de Ferro Órquico Bruto (4x)</t>
        </is>
      </c>
      <c r="D114" s="119" t="inlineStr">
        <is>
          <t>Carvalho Sangrento de Paliçada (1x)</t>
        </is>
      </c>
      <c r="E114" s="119" t="n">
        <v>50</v>
      </c>
      <c r="F114" s="119" t="inlineStr">
        <is>
          <t>Crânio Troféu do Chefe Orc (1x)</t>
        </is>
      </c>
      <c r="G114" s="119" t="n">
        <v>125</v>
      </c>
      <c r="H114" s="119" t="inlineStr">
        <is>
          <t>Alto Forjador Kaelen</t>
        </is>
      </c>
      <c r="I114" s="115" t="inlineStr">
        <is>
          <t>Arma/Armadura</t>
        </is>
      </c>
      <c r="J114" s="115" t="inlineStr">
        <is>
          <t>Forja</t>
        </is>
      </c>
    </row>
    <row r="115" ht="15" customHeight="1" s="116">
      <c r="A115" s="119" t="inlineStr">
        <is>
          <t>Tier 8 (Ferro Órquico)</t>
        </is>
      </c>
      <c r="B115" s="119" t="inlineStr">
        <is>
          <t>Elmo</t>
        </is>
      </c>
      <c r="C115" s="119" t="inlineStr">
        <is>
          <t>Lingote de Ferro Órquico Bruto (2x)</t>
        </is>
      </c>
      <c r="D115" s="119" t="inlineStr">
        <is>
          <t>Crânio Troféu do Chefe Orc (1x)</t>
        </is>
      </c>
      <c r="E115" s="119" t="n">
        <v>50</v>
      </c>
      <c r="F115" s="119" t="inlineStr">
        <is>
          <t>Crânio Troféu do Chefe Orc (1x)</t>
        </is>
      </c>
      <c r="G115" s="119" t="n">
        <v>125</v>
      </c>
      <c r="H115" s="119" t="inlineStr">
        <is>
          <t>Alto Forjador Kaelen</t>
        </is>
      </c>
      <c r="I115" s="115" t="inlineStr">
        <is>
          <t>Arma/Armadura</t>
        </is>
      </c>
      <c r="J115" s="115" t="inlineStr">
        <is>
          <t>Forja</t>
        </is>
      </c>
    </row>
    <row r="116" ht="15" customHeight="1" s="116">
      <c r="A116" s="119" t="inlineStr">
        <is>
          <t>Tier 8 (Ferro Órquico)</t>
        </is>
      </c>
      <c r="B116" s="119" t="inlineStr">
        <is>
          <t>Arco</t>
        </is>
      </c>
      <c r="C116" s="119" t="inlineStr">
        <is>
          <t>Carvalho Sangrento de Paliçada (3x)</t>
        </is>
      </c>
      <c r="D116" s="119" t="inlineStr">
        <is>
          <t>Crânio Troféu do Chefe Orc (1x)</t>
        </is>
      </c>
      <c r="E116" s="119" t="n">
        <v>50</v>
      </c>
      <c r="F116" s="119" t="inlineStr">
        <is>
          <t>Crânio Troféu do Chefe Orc (1x)</t>
        </is>
      </c>
      <c r="G116" s="119" t="n">
        <v>125</v>
      </c>
      <c r="H116" s="119" t="inlineStr">
        <is>
          <t>Alto Forjador Kaelen</t>
        </is>
      </c>
      <c r="I116" s="115" t="inlineStr">
        <is>
          <t>Arma/Armadura</t>
        </is>
      </c>
      <c r="J116" s="115" t="inlineStr">
        <is>
          <t>Forja</t>
        </is>
      </c>
    </row>
    <row r="117" ht="15" customHeight="1" s="116">
      <c r="A117" s="119" t="inlineStr">
        <is>
          <t>Tier 8 (Ferro Órquico)</t>
        </is>
      </c>
      <c r="B117" s="119" t="inlineStr">
        <is>
          <t>Cetro</t>
        </is>
      </c>
      <c r="C117" s="119" t="inlineStr">
        <is>
          <t>Carvalho Sangrento de Paliçada (3x)</t>
        </is>
      </c>
      <c r="D117" s="119" t="inlineStr">
        <is>
          <t>Raiz da Fúria Vermelha (1x)</t>
        </is>
      </c>
      <c r="E117" s="119" t="n">
        <v>50</v>
      </c>
      <c r="F117" s="119" t="inlineStr">
        <is>
          <t>Crânio Troféu do Chefe Orc (1x)</t>
        </is>
      </c>
      <c r="G117" s="119" t="n">
        <v>125</v>
      </c>
      <c r="H117" s="119" t="inlineStr">
        <is>
          <t>Alto Forjador Kaelen</t>
        </is>
      </c>
      <c r="I117" s="115" t="inlineStr">
        <is>
          <t>Arma/Armadura</t>
        </is>
      </c>
      <c r="J117" s="115" t="inlineStr">
        <is>
          <t>Forja</t>
        </is>
      </c>
    </row>
    <row r="118" ht="15" customHeight="1" s="116">
      <c r="A118" s="119" t="inlineStr">
        <is>
          <t>Tier 8 (Ferro Órquico)</t>
        </is>
      </c>
      <c r="B118" s="119" t="inlineStr">
        <is>
          <t>Adaga</t>
        </is>
      </c>
      <c r="C118" s="119" t="inlineStr">
        <is>
          <t>Lingote de Ferro Órquico Bruto (2x)</t>
        </is>
      </c>
      <c r="D118" s="119" t="inlineStr">
        <is>
          <t>Lingote de Ferro Órquico Bruto (1x)</t>
        </is>
      </c>
      <c r="E118" s="119" t="n">
        <v>50</v>
      </c>
      <c r="F118" s="119" t="inlineStr">
        <is>
          <t>Crânio Troféu do Chefe Orc (1x)</t>
        </is>
      </c>
      <c r="G118" s="119" t="n">
        <v>125</v>
      </c>
      <c r="H118" s="119" t="inlineStr">
        <is>
          <t>Alto Forjador Kaelen</t>
        </is>
      </c>
      <c r="I118" s="115" t="inlineStr">
        <is>
          <t>Arma/Armadura</t>
        </is>
      </c>
      <c r="J118" s="115" t="inlineStr">
        <is>
          <t>Forja</t>
        </is>
      </c>
    </row>
    <row r="119" ht="15" customHeight="1" s="116">
      <c r="A119" s="119" t="inlineStr">
        <is>
          <t>Tier 8 (Ferro Órquico)</t>
        </is>
      </c>
      <c r="B119" s="119" t="inlineStr">
        <is>
          <t>Manopla</t>
        </is>
      </c>
      <c r="C119" s="119" t="inlineStr">
        <is>
          <t>Crânio Troféu do Chefe Orc (2x)</t>
        </is>
      </c>
      <c r="D119" s="119" t="inlineStr">
        <is>
          <t>Lingote de Ferro Órquico Bruto (1x)</t>
        </is>
      </c>
      <c r="E119" s="119" t="n">
        <v>50</v>
      </c>
      <c r="F119" s="119" t="inlineStr">
        <is>
          <t>Crânio Troféu do Chefe Orc (1x)</t>
        </is>
      </c>
      <c r="G119" s="119" t="n">
        <v>125</v>
      </c>
      <c r="H119" s="119" t="inlineStr">
        <is>
          <t>Alto Forjador Kaelen</t>
        </is>
      </c>
      <c r="I119" s="115" t="inlineStr">
        <is>
          <t>Arma/Armadura</t>
        </is>
      </c>
      <c r="J119" s="115" t="inlineStr">
        <is>
          <t>Forja</t>
        </is>
      </c>
    </row>
    <row r="120" ht="15" customHeight="1" s="116">
      <c r="A120" s="119" t="inlineStr">
        <is>
          <t>Tier 8 (Ferro Órquico)</t>
        </is>
      </c>
      <c r="B120" s="119" t="inlineStr">
        <is>
          <t>Luvas</t>
        </is>
      </c>
      <c r="C120" s="119" t="inlineStr">
        <is>
          <t>Crânio Troféu do Chefe Orc (2x)</t>
        </is>
      </c>
      <c r="D120" s="119" t="inlineStr">
        <is>
          <t>Lingote de Ferro Órquico Bruto (1x)</t>
        </is>
      </c>
      <c r="E120" s="119" t="n">
        <v>50</v>
      </c>
      <c r="F120" s="119" t="inlineStr">
        <is>
          <t>Crânio Troféu do Chefe Orc (1x)</t>
        </is>
      </c>
      <c r="G120" s="119" t="n">
        <v>125</v>
      </c>
      <c r="H120" s="119" t="inlineStr">
        <is>
          <t>Alto Forjador Kaelen</t>
        </is>
      </c>
      <c r="I120" s="115" t="inlineStr">
        <is>
          <t>Arma/Armadura</t>
        </is>
      </c>
      <c r="J120" s="115" t="inlineStr">
        <is>
          <t>Forja</t>
        </is>
      </c>
    </row>
    <row r="121" ht="15" customHeight="1" s="116">
      <c r="A121" s="119" t="inlineStr">
        <is>
          <t>Tier 8 (Ferro Órquico)</t>
        </is>
      </c>
      <c r="B121" s="119" t="inlineStr">
        <is>
          <t>Bota</t>
        </is>
      </c>
      <c r="C121" s="119" t="inlineStr">
        <is>
          <t>Crânio Troféu do Chefe Orc (3x)</t>
        </is>
      </c>
      <c r="D121" s="119" t="inlineStr">
        <is>
          <t>Lingote de Ferro Órquico Bruto (1x)</t>
        </is>
      </c>
      <c r="E121" s="119" t="n">
        <v>50</v>
      </c>
      <c r="F121" s="119" t="inlineStr">
        <is>
          <t>Crânio Troféu do Chefe Orc (1x)</t>
        </is>
      </c>
      <c r="G121" s="119" t="n">
        <v>125</v>
      </c>
      <c r="H121" s="119" t="inlineStr">
        <is>
          <t>Alto Forjador Kaelen</t>
        </is>
      </c>
      <c r="I121" s="115" t="inlineStr">
        <is>
          <t>Arma/Armadura</t>
        </is>
      </c>
      <c r="J121" s="115" t="inlineStr">
        <is>
          <t>Forja</t>
        </is>
      </c>
    </row>
    <row r="122" ht="15" customHeight="1" s="116">
      <c r="A122" s="119" t="inlineStr">
        <is>
          <t>Tier 8 (Ferro Órquico)</t>
        </is>
      </c>
      <c r="B122" s="119" t="inlineStr">
        <is>
          <t>Calça</t>
        </is>
      </c>
      <c r="C122" s="119" t="inlineStr">
        <is>
          <t>Crânio Troféu do Chefe Orc (3x)</t>
        </is>
      </c>
      <c r="D122" s="119" t="inlineStr">
        <is>
          <t>Lingote de Ferro Órquico Bruto (1x)</t>
        </is>
      </c>
      <c r="E122" s="119" t="n">
        <v>50</v>
      </c>
      <c r="F122" s="119" t="inlineStr">
        <is>
          <t>Crânio Troféu do Chefe Orc (1x)</t>
        </is>
      </c>
      <c r="G122" s="119" t="n">
        <v>125</v>
      </c>
      <c r="H122" s="119" t="inlineStr">
        <is>
          <t>Alto Forjador Kaelen</t>
        </is>
      </c>
      <c r="I122" s="115" t="inlineStr">
        <is>
          <t>Arma/Armadura</t>
        </is>
      </c>
      <c r="J122" s="115" t="inlineStr">
        <is>
          <t>Forja</t>
        </is>
      </c>
    </row>
    <row r="123" ht="15" customHeight="1" s="116">
      <c r="A123" s="119" t="inlineStr">
        <is>
          <t>Tier 8 (Ferro Órquico)</t>
        </is>
      </c>
      <c r="B123" s="119" t="inlineStr">
        <is>
          <t>Amuleto</t>
        </is>
      </c>
      <c r="C123" s="119" t="inlineStr">
        <is>
          <t>Raiz da Fúria Vermelha (2x)</t>
        </is>
      </c>
      <c r="D123" s="119" t="inlineStr">
        <is>
          <t>Lingote de Ferro Órquico Bruto (1x)</t>
        </is>
      </c>
      <c r="E123" s="119" t="n">
        <v>50</v>
      </c>
      <c r="F123" s="119" t="inlineStr">
        <is>
          <t>Crânio Troféu do Chefe Orc (1x)</t>
        </is>
      </c>
      <c r="G123" s="119" t="n">
        <v>125</v>
      </c>
      <c r="H123" s="119" t="inlineStr">
        <is>
          <t>Alto Forjador Kaelen</t>
        </is>
      </c>
      <c r="I123" s="115" t="inlineStr">
        <is>
          <t>Arma/Armadura</t>
        </is>
      </c>
      <c r="J123" s="115" t="inlineStr">
        <is>
          <t>Forja</t>
        </is>
      </c>
    </row>
    <row r="124" ht="15" customHeight="1" s="116">
      <c r="A124" s="119" t="inlineStr">
        <is>
          <t>Tier 8 (Ferro Órquico)</t>
        </is>
      </c>
      <c r="B124" s="119" t="inlineStr">
        <is>
          <t>Anel</t>
        </is>
      </c>
      <c r="C124" s="119" t="inlineStr">
        <is>
          <t>Raiz da Fúria Vermelha (2x)</t>
        </is>
      </c>
      <c r="D124" s="119" t="inlineStr">
        <is>
          <t>Lingote de Ferro Órquico Bruto (1x)</t>
        </is>
      </c>
      <c r="E124" s="119" t="n">
        <v>50</v>
      </c>
      <c r="F124" s="119" t="inlineStr">
        <is>
          <t>Crânio Troféu do Chefe Orc (1x)</t>
        </is>
      </c>
      <c r="G124" s="119" t="n">
        <v>125</v>
      </c>
      <c r="H124" s="119" t="inlineStr">
        <is>
          <t>Alto Forjador Kaelen</t>
        </is>
      </c>
      <c r="I124" s="115" t="inlineStr">
        <is>
          <t>Arma/Armadura</t>
        </is>
      </c>
      <c r="J124" s="115" t="inlineStr">
        <is>
          <t>Forja</t>
        </is>
      </c>
    </row>
    <row r="125" ht="15" customHeight="1" s="116">
      <c r="A125" s="119" t="inlineStr">
        <is>
          <t>Tier 9 (Mithril)</t>
        </is>
      </c>
      <c r="B125" s="119" t="inlineStr">
        <is>
          <t>Espada</t>
        </is>
      </c>
      <c r="C125" s="119" t="inlineStr">
        <is>
          <t>Veio Profundo de Mithril (3x)</t>
        </is>
      </c>
      <c r="D125" s="119" t="inlineStr">
        <is>
          <t>Manto Encharcado de Acólito Menor (1x)</t>
        </is>
      </c>
      <c r="E125" s="119" t="n">
        <v>70</v>
      </c>
      <c r="F125" s="119" t="inlineStr">
        <is>
          <t>Núcleo de Cristal Elemental (1x)</t>
        </is>
      </c>
      <c r="G125" s="119" t="n">
        <v>175</v>
      </c>
      <c r="H125" s="119" t="inlineStr">
        <is>
          <t>Mestra Vespera da Forja Negra</t>
        </is>
      </c>
      <c r="I125" s="115" t="inlineStr">
        <is>
          <t>Arma/Armadura</t>
        </is>
      </c>
      <c r="J125" s="115" t="inlineStr">
        <is>
          <t>Forja</t>
        </is>
      </c>
    </row>
    <row r="126" ht="15" customHeight="1" s="116">
      <c r="A126" s="119" t="inlineStr">
        <is>
          <t>Tier 9 (Mithril)</t>
        </is>
      </c>
      <c r="B126" s="119" t="inlineStr">
        <is>
          <t>Machado</t>
        </is>
      </c>
      <c r="C126" s="119" t="inlineStr">
        <is>
          <t>Veio Profundo de Mithril (4x)</t>
        </is>
      </c>
      <c r="D126" s="119" t="inlineStr">
        <is>
          <t>Raiz Abissal dos Pilares (1x)</t>
        </is>
      </c>
      <c r="E126" s="119" t="n">
        <v>70</v>
      </c>
      <c r="F126" s="119" t="inlineStr">
        <is>
          <t>Núcleo de Cristal Elemental (1x)</t>
        </is>
      </c>
      <c r="G126" s="119" t="n">
        <v>175</v>
      </c>
      <c r="H126" s="119" t="inlineStr">
        <is>
          <t>Mestra Vespera da Forja Negra</t>
        </is>
      </c>
      <c r="I126" s="115" t="inlineStr">
        <is>
          <t>Arma/Armadura</t>
        </is>
      </c>
      <c r="J126" s="115" t="inlineStr">
        <is>
          <t>Forja</t>
        </is>
      </c>
    </row>
    <row r="127" ht="15" customHeight="1" s="116">
      <c r="A127" s="119" t="inlineStr">
        <is>
          <t>Tier 9 (Mithril)</t>
        </is>
      </c>
      <c r="B127" s="119" t="inlineStr">
        <is>
          <t>Maça</t>
        </is>
      </c>
      <c r="C127" s="119" t="inlineStr">
        <is>
          <t>Veio Profundo de Mithril (3x)</t>
        </is>
      </c>
      <c r="D127" s="119" t="inlineStr">
        <is>
          <t>Raiz Abissal dos Pilares (2x)</t>
        </is>
      </c>
      <c r="E127" s="119" t="n">
        <v>70</v>
      </c>
      <c r="F127" s="119" t="inlineStr">
        <is>
          <t>Núcleo de Cristal Elemental (1x)</t>
        </is>
      </c>
      <c r="G127" s="119" t="n">
        <v>175</v>
      </c>
      <c r="H127" s="119" t="inlineStr">
        <is>
          <t>Mestra Vespera da Forja Negra</t>
        </is>
      </c>
      <c r="I127" s="115" t="inlineStr">
        <is>
          <t>Arma/Armadura</t>
        </is>
      </c>
      <c r="J127" s="115" t="inlineStr">
        <is>
          <t>Forja</t>
        </is>
      </c>
    </row>
    <row r="128" ht="15" customHeight="1" s="116">
      <c r="A128" s="119" t="inlineStr">
        <is>
          <t>Tier 9 (Mithril)</t>
        </is>
      </c>
      <c r="B128" s="119" t="inlineStr">
        <is>
          <t>Peitoral</t>
        </is>
      </c>
      <c r="C128" s="119" t="inlineStr">
        <is>
          <t>Veio Profundo de Mithril (3x)</t>
        </is>
      </c>
      <c r="D128" s="119" t="inlineStr">
        <is>
          <t>Manto Encharcado de Acólito Menor (2x)</t>
        </is>
      </c>
      <c r="E128" s="119" t="n">
        <v>70</v>
      </c>
      <c r="F128" s="119" t="inlineStr">
        <is>
          <t>Núcleo de Cristal Elemental (1x)</t>
        </is>
      </c>
      <c r="G128" s="119" t="n">
        <v>175</v>
      </c>
      <c r="H128" s="119" t="inlineStr">
        <is>
          <t>Mestra Vespera da Forja Negra</t>
        </is>
      </c>
      <c r="I128" s="115" t="inlineStr">
        <is>
          <t>Arma/Armadura</t>
        </is>
      </c>
      <c r="J128" s="115" t="inlineStr">
        <is>
          <t>Forja</t>
        </is>
      </c>
    </row>
    <row r="129" ht="15" customHeight="1" s="116">
      <c r="A129" s="119" t="inlineStr">
        <is>
          <t>Tier 9 (Mithril)</t>
        </is>
      </c>
      <c r="B129" s="119" t="inlineStr">
        <is>
          <t>Escudo</t>
        </is>
      </c>
      <c r="C129" s="119" t="inlineStr">
        <is>
          <t>Veio Profundo de Mithril (4x)</t>
        </is>
      </c>
      <c r="D129" s="119" t="inlineStr">
        <is>
          <t>Raiz Abissal dos Pilares (1x)</t>
        </is>
      </c>
      <c r="E129" s="119" t="n">
        <v>70</v>
      </c>
      <c r="F129" s="119" t="inlineStr">
        <is>
          <t>Núcleo de Cristal Elemental (1x)</t>
        </is>
      </c>
      <c r="G129" s="119" t="n">
        <v>175</v>
      </c>
      <c r="H129" s="119" t="inlineStr">
        <is>
          <t>Mestra Vespera da Forja Negra</t>
        </is>
      </c>
      <c r="I129" s="115" t="inlineStr">
        <is>
          <t>Arma/Armadura</t>
        </is>
      </c>
      <c r="J129" s="115" t="inlineStr">
        <is>
          <t>Forja</t>
        </is>
      </c>
    </row>
    <row r="130" ht="15" customHeight="1" s="116">
      <c r="A130" s="119" t="inlineStr">
        <is>
          <t>Tier 9 (Mithril)</t>
        </is>
      </c>
      <c r="B130" s="119" t="inlineStr">
        <is>
          <t>Elmo</t>
        </is>
      </c>
      <c r="C130" s="119" t="inlineStr">
        <is>
          <t>Veio Profundo de Mithril (2x)</t>
        </is>
      </c>
      <c r="D130" s="119" t="inlineStr">
        <is>
          <t>Manto Encharcado de Acólito Menor (1x)</t>
        </is>
      </c>
      <c r="E130" s="119" t="n">
        <v>70</v>
      </c>
      <c r="F130" s="119" t="inlineStr">
        <is>
          <t>Núcleo de Cristal Elemental (1x)</t>
        </is>
      </c>
      <c r="G130" s="119" t="n">
        <v>175</v>
      </c>
      <c r="H130" s="119" t="inlineStr">
        <is>
          <t>Mestra Vespera da Forja Negra</t>
        </is>
      </c>
      <c r="I130" s="115" t="inlineStr">
        <is>
          <t>Arma/Armadura</t>
        </is>
      </c>
      <c r="J130" s="115" t="inlineStr">
        <is>
          <t>Forja</t>
        </is>
      </c>
    </row>
    <row r="131" ht="15" customHeight="1" s="116">
      <c r="A131" s="119" t="inlineStr">
        <is>
          <t>Tier 9 (Mithril)</t>
        </is>
      </c>
      <c r="B131" s="119" t="inlineStr">
        <is>
          <t>Arco</t>
        </is>
      </c>
      <c r="C131" s="119" t="inlineStr">
        <is>
          <t>Raiz Abissal dos Pilares (3x)</t>
        </is>
      </c>
      <c r="D131" s="119" t="inlineStr">
        <is>
          <t>Manto Encharcado de Acólito Menor (1x)</t>
        </is>
      </c>
      <c r="E131" s="119" t="n">
        <v>70</v>
      </c>
      <c r="F131" s="119" t="inlineStr">
        <is>
          <t>Núcleo de Cristal Elemental (1x)</t>
        </is>
      </c>
      <c r="G131" s="119" t="n">
        <v>175</v>
      </c>
      <c r="H131" s="119" t="inlineStr">
        <is>
          <t>Mestra Vespera da Forja Negra</t>
        </is>
      </c>
      <c r="I131" s="115" t="inlineStr">
        <is>
          <t>Arma/Armadura</t>
        </is>
      </c>
      <c r="J131" s="115" t="inlineStr">
        <is>
          <t>Forja</t>
        </is>
      </c>
    </row>
    <row r="132" ht="15" customHeight="1" s="116">
      <c r="A132" s="119" t="inlineStr">
        <is>
          <t>Tier 9 (Mithril)</t>
        </is>
      </c>
      <c r="B132" s="119" t="inlineStr">
        <is>
          <t>Cetro</t>
        </is>
      </c>
      <c r="C132" s="119" t="inlineStr">
        <is>
          <t>Raiz Abissal dos Pilares (3x)</t>
        </is>
      </c>
      <c r="D132" s="119" t="inlineStr">
        <is>
          <t>Lótus do Lago Sem Sol (1x)</t>
        </is>
      </c>
      <c r="E132" s="119" t="n">
        <v>70</v>
      </c>
      <c r="F132" s="119" t="inlineStr">
        <is>
          <t>Núcleo de Cristal Elemental (1x)</t>
        </is>
      </c>
      <c r="G132" s="119" t="n">
        <v>175</v>
      </c>
      <c r="H132" s="119" t="inlineStr">
        <is>
          <t>Mestra Vespera da Forja Negra</t>
        </is>
      </c>
      <c r="I132" s="115" t="inlineStr">
        <is>
          <t>Arma/Armadura</t>
        </is>
      </c>
      <c r="J132" s="115" t="inlineStr">
        <is>
          <t>Forja</t>
        </is>
      </c>
    </row>
    <row r="133" ht="15" customHeight="1" s="116">
      <c r="A133" s="119" t="inlineStr">
        <is>
          <t>Tier 9 (Mithril)</t>
        </is>
      </c>
      <c r="B133" s="119" t="inlineStr">
        <is>
          <t>Adaga</t>
        </is>
      </c>
      <c r="C133" s="119" t="inlineStr">
        <is>
          <t>Veio Profundo de Mithril (2x)</t>
        </is>
      </c>
      <c r="D133" s="119" t="inlineStr">
        <is>
          <t>Veio Profundo de Mithril (1x)</t>
        </is>
      </c>
      <c r="E133" s="119" t="n">
        <v>70</v>
      </c>
      <c r="F133" s="119" t="inlineStr">
        <is>
          <t>Núcleo de Cristal Elemental (1x)</t>
        </is>
      </c>
      <c r="G133" s="119" t="n">
        <v>175</v>
      </c>
      <c r="H133" s="119" t="inlineStr">
        <is>
          <t>Mestra Vespera da Forja Negra</t>
        </is>
      </c>
      <c r="I133" s="115" t="inlineStr">
        <is>
          <t>Arma/Armadura</t>
        </is>
      </c>
      <c r="J133" s="115" t="inlineStr">
        <is>
          <t>Forja</t>
        </is>
      </c>
    </row>
    <row r="134" ht="15" customHeight="1" s="116">
      <c r="A134" s="119" t="inlineStr">
        <is>
          <t>Tier 9 (Mithril)</t>
        </is>
      </c>
      <c r="B134" s="119" t="inlineStr">
        <is>
          <t>Manopla</t>
        </is>
      </c>
      <c r="C134" s="119" t="inlineStr">
        <is>
          <t>Manto Encharcado de Acólito Menor (2x)</t>
        </is>
      </c>
      <c r="D134" s="119" t="inlineStr">
        <is>
          <t>Veio Profundo de Mithril (1x)</t>
        </is>
      </c>
      <c r="E134" s="119" t="n">
        <v>70</v>
      </c>
      <c r="F134" s="119" t="inlineStr">
        <is>
          <t>Núcleo de Cristal Elemental (1x)</t>
        </is>
      </c>
      <c r="G134" s="119" t="n">
        <v>175</v>
      </c>
      <c r="H134" s="119" t="inlineStr">
        <is>
          <t>Mestra Vespera da Forja Negra</t>
        </is>
      </c>
      <c r="I134" s="115" t="inlineStr">
        <is>
          <t>Arma/Armadura</t>
        </is>
      </c>
      <c r="J134" s="115" t="inlineStr">
        <is>
          <t>Forja</t>
        </is>
      </c>
    </row>
    <row r="135" ht="15" customHeight="1" s="116">
      <c r="A135" s="119" t="inlineStr">
        <is>
          <t>Tier 9 (Mithril)</t>
        </is>
      </c>
      <c r="B135" s="119" t="inlineStr">
        <is>
          <t>Luvas</t>
        </is>
      </c>
      <c r="C135" s="119" t="inlineStr">
        <is>
          <t>Manto Encharcado de Acólito Menor (2x)</t>
        </is>
      </c>
      <c r="D135" s="119" t="inlineStr">
        <is>
          <t>Veio Profundo de Mithril (1x)</t>
        </is>
      </c>
      <c r="E135" s="119" t="n">
        <v>70</v>
      </c>
      <c r="F135" s="119" t="inlineStr">
        <is>
          <t>Núcleo de Cristal Elemental (1x)</t>
        </is>
      </c>
      <c r="G135" s="119" t="n">
        <v>175</v>
      </c>
      <c r="H135" s="119" t="inlineStr">
        <is>
          <t>Mestra Vespera da Forja Negra</t>
        </is>
      </c>
      <c r="I135" s="115" t="inlineStr">
        <is>
          <t>Arma/Armadura</t>
        </is>
      </c>
      <c r="J135" s="115" t="inlineStr">
        <is>
          <t>Forja</t>
        </is>
      </c>
    </row>
    <row r="136" ht="15" customHeight="1" s="116">
      <c r="A136" s="119" t="inlineStr">
        <is>
          <t>Tier 9 (Mithril)</t>
        </is>
      </c>
      <c r="B136" s="119" t="inlineStr">
        <is>
          <t>Bota</t>
        </is>
      </c>
      <c r="C136" s="119" t="inlineStr">
        <is>
          <t>Manto Encharcado de Acólito Menor (3x)</t>
        </is>
      </c>
      <c r="D136" s="119" t="inlineStr">
        <is>
          <t>Veio Profundo de Mithril (1x)</t>
        </is>
      </c>
      <c r="E136" s="119" t="n">
        <v>70</v>
      </c>
      <c r="F136" s="119" t="inlineStr">
        <is>
          <t>Núcleo de Cristal Elemental (1x)</t>
        </is>
      </c>
      <c r="G136" s="119" t="n">
        <v>175</v>
      </c>
      <c r="H136" s="119" t="inlineStr">
        <is>
          <t>Mestra Vespera da Forja Negra</t>
        </is>
      </c>
      <c r="I136" s="115" t="inlineStr">
        <is>
          <t>Arma/Armadura</t>
        </is>
      </c>
      <c r="J136" s="115" t="inlineStr">
        <is>
          <t>Forja</t>
        </is>
      </c>
    </row>
    <row r="137" ht="15" customHeight="1" s="116">
      <c r="A137" s="119" t="inlineStr">
        <is>
          <t>Tier 9 (Mithril)</t>
        </is>
      </c>
      <c r="B137" s="119" t="inlineStr">
        <is>
          <t>Calça</t>
        </is>
      </c>
      <c r="C137" s="119" t="inlineStr">
        <is>
          <t>Manto Encharcado de Acólito Menor (3x)</t>
        </is>
      </c>
      <c r="D137" s="119" t="inlineStr">
        <is>
          <t>Veio Profundo de Mithril (1x)</t>
        </is>
      </c>
      <c r="E137" s="119" t="n">
        <v>70</v>
      </c>
      <c r="F137" s="119" t="inlineStr">
        <is>
          <t>Núcleo de Cristal Elemental (1x)</t>
        </is>
      </c>
      <c r="G137" s="119" t="n">
        <v>175</v>
      </c>
      <c r="H137" s="119" t="inlineStr">
        <is>
          <t>Mestra Vespera da Forja Negra</t>
        </is>
      </c>
      <c r="I137" s="115" t="inlineStr">
        <is>
          <t>Arma/Armadura</t>
        </is>
      </c>
      <c r="J137" s="115" t="inlineStr">
        <is>
          <t>Forja</t>
        </is>
      </c>
    </row>
    <row r="138" ht="15" customHeight="1" s="116">
      <c r="A138" s="119" t="inlineStr">
        <is>
          <t>Tier 9 (Mithril)</t>
        </is>
      </c>
      <c r="B138" s="119" t="inlineStr">
        <is>
          <t>Amuleto</t>
        </is>
      </c>
      <c r="C138" s="119" t="inlineStr">
        <is>
          <t>Lótus do Lago Sem Sol (2x)</t>
        </is>
      </c>
      <c r="D138" s="119" t="inlineStr">
        <is>
          <t>Veio Profundo de Mithril (1x)</t>
        </is>
      </c>
      <c r="E138" s="119" t="n">
        <v>70</v>
      </c>
      <c r="F138" s="119" t="inlineStr">
        <is>
          <t>Núcleo de Cristal Elemental (1x)</t>
        </is>
      </c>
      <c r="G138" s="119" t="n">
        <v>175</v>
      </c>
      <c r="H138" s="119" t="inlineStr">
        <is>
          <t>Mestra Vespera da Forja Negra</t>
        </is>
      </c>
      <c r="I138" s="115" t="inlineStr">
        <is>
          <t>Arma/Armadura</t>
        </is>
      </c>
      <c r="J138" s="115" t="inlineStr">
        <is>
          <t>Forja</t>
        </is>
      </c>
    </row>
    <row r="139" ht="15" customHeight="1" s="116">
      <c r="A139" s="119" t="inlineStr">
        <is>
          <t>Tier 9 (Mithril)</t>
        </is>
      </c>
      <c r="B139" s="119" t="inlineStr">
        <is>
          <t>Anel</t>
        </is>
      </c>
      <c r="C139" s="119" t="inlineStr">
        <is>
          <t>Lótus do Lago Sem Sol (2x)</t>
        </is>
      </c>
      <c r="D139" s="119" t="inlineStr">
        <is>
          <t>Veio Profundo de Mithril (1x)</t>
        </is>
      </c>
      <c r="E139" s="119" t="n">
        <v>70</v>
      </c>
      <c r="F139" s="119" t="inlineStr">
        <is>
          <t>Núcleo de Cristal Elemental (1x)</t>
        </is>
      </c>
      <c r="G139" s="119" t="n">
        <v>175</v>
      </c>
      <c r="H139" s="119" t="inlineStr">
        <is>
          <t>Mestra Vespera da Forja Negra</t>
        </is>
      </c>
      <c r="I139" s="115" t="inlineStr">
        <is>
          <t>Arma/Armadura</t>
        </is>
      </c>
      <c r="J139" s="115" t="inlineStr">
        <is>
          <t>Forja</t>
        </is>
      </c>
    </row>
    <row r="140" ht="15" customHeight="1" s="116">
      <c r="A140" s="119" t="inlineStr">
        <is>
          <t>Tier 10 (Ébano)</t>
        </is>
      </c>
      <c r="B140" s="119" t="inlineStr">
        <is>
          <t>Espada</t>
        </is>
      </c>
      <c r="C140" s="119" t="inlineStr">
        <is>
          <t>Rocha Negra de Ébano (3x)</t>
        </is>
      </c>
      <c r="D140" s="119" t="inlineStr">
        <is>
          <t>Resíduo de Sombra Vulcânica (1x)</t>
        </is>
      </c>
      <c r="E140" s="119" t="n">
        <v>96</v>
      </c>
      <c r="F140" s="119" t="inlineStr">
        <is>
          <t>Essência da Fenda Extinta (1x)</t>
        </is>
      </c>
      <c r="G140" s="119" t="n">
        <v>240</v>
      </c>
      <c r="H140" s="119" t="inlineStr">
        <is>
          <t>Mestra Vespera da Forja Negra</t>
        </is>
      </c>
      <c r="I140" s="115" t="inlineStr">
        <is>
          <t>Arma/Armadura</t>
        </is>
      </c>
      <c r="J140" s="115" t="inlineStr">
        <is>
          <t>Forja</t>
        </is>
      </c>
    </row>
    <row r="141" ht="15" customHeight="1" s="116">
      <c r="A141" s="119" t="inlineStr">
        <is>
          <t>Tier 10 (Ébano)</t>
        </is>
      </c>
      <c r="B141" s="119" t="inlineStr">
        <is>
          <t>Machado</t>
        </is>
      </c>
      <c r="C141" s="119" t="inlineStr">
        <is>
          <t>Rocha Negra de Ébano (4x)</t>
        </is>
      </c>
      <c r="D141" s="119" t="inlineStr">
        <is>
          <t>Tronco Negro Dessecado (1x)</t>
        </is>
      </c>
      <c r="E141" s="119" t="n">
        <v>96</v>
      </c>
      <c r="F141" s="119" t="inlineStr">
        <is>
          <t>Essência da Fenda Extinta (1x)</t>
        </is>
      </c>
      <c r="G141" s="119" t="n">
        <v>240</v>
      </c>
      <c r="H141" s="119" t="inlineStr">
        <is>
          <t>Mestra Vespera da Forja Negra</t>
        </is>
      </c>
      <c r="I141" s="115" t="inlineStr">
        <is>
          <t>Arma/Armadura</t>
        </is>
      </c>
      <c r="J141" s="115" t="inlineStr">
        <is>
          <t>Forja</t>
        </is>
      </c>
    </row>
    <row r="142" ht="15" customHeight="1" s="116">
      <c r="A142" s="119" t="inlineStr">
        <is>
          <t>Tier 10 (Ébano)</t>
        </is>
      </c>
      <c r="B142" s="119" t="inlineStr">
        <is>
          <t>Maça</t>
        </is>
      </c>
      <c r="C142" s="119" t="inlineStr">
        <is>
          <t>Rocha Negra de Ébano (3x)</t>
        </is>
      </c>
      <c r="D142" s="119" t="inlineStr">
        <is>
          <t>Tronco Negro Dessecado (2x)</t>
        </is>
      </c>
      <c r="E142" s="119" t="n">
        <v>96</v>
      </c>
      <c r="F142" s="119" t="inlineStr">
        <is>
          <t>Essência da Fenda Extinta (1x)</t>
        </is>
      </c>
      <c r="G142" s="119" t="n">
        <v>240</v>
      </c>
      <c r="H142" s="119" t="inlineStr">
        <is>
          <t>Mestra Vespera da Forja Negra</t>
        </is>
      </c>
      <c r="I142" s="115" t="inlineStr">
        <is>
          <t>Arma/Armadura</t>
        </is>
      </c>
      <c r="J142" s="115" t="inlineStr">
        <is>
          <t>Forja</t>
        </is>
      </c>
    </row>
    <row r="143" ht="15" customHeight="1" s="116">
      <c r="A143" s="119" t="inlineStr">
        <is>
          <t>Tier 10 (Ébano)</t>
        </is>
      </c>
      <c r="B143" s="119" t="inlineStr">
        <is>
          <t>Peitoral</t>
        </is>
      </c>
      <c r="C143" s="119" t="inlineStr">
        <is>
          <t>Rocha Negra de Ébano (3x)</t>
        </is>
      </c>
      <c r="D143" s="119" t="inlineStr">
        <is>
          <t>Resíduo de Sombra Vulcânica (2x)</t>
        </is>
      </c>
      <c r="E143" s="119" t="n">
        <v>96</v>
      </c>
      <c r="F143" s="119" t="inlineStr">
        <is>
          <t>Essência da Fenda Extinta (1x)</t>
        </is>
      </c>
      <c r="G143" s="119" t="n">
        <v>240</v>
      </c>
      <c r="H143" s="119" t="inlineStr">
        <is>
          <t>Mestra Vespera da Forja Negra</t>
        </is>
      </c>
      <c r="I143" s="115" t="inlineStr">
        <is>
          <t>Arma/Armadura</t>
        </is>
      </c>
      <c r="J143" s="115" t="inlineStr">
        <is>
          <t>Forja</t>
        </is>
      </c>
    </row>
    <row r="144" ht="15" customHeight="1" s="116">
      <c r="A144" s="119" t="inlineStr">
        <is>
          <t>Tier 10 (Ébano)</t>
        </is>
      </c>
      <c r="B144" s="119" t="inlineStr">
        <is>
          <t>Escudo</t>
        </is>
      </c>
      <c r="C144" s="119" t="inlineStr">
        <is>
          <t>Rocha Negra de Ébano (4x)</t>
        </is>
      </c>
      <c r="D144" s="119" t="inlineStr">
        <is>
          <t>Tronco Negro Dessecado (1x)</t>
        </is>
      </c>
      <c r="E144" s="119" t="n">
        <v>96</v>
      </c>
      <c r="F144" s="119" t="inlineStr">
        <is>
          <t>Essência da Fenda Extinta (1x)</t>
        </is>
      </c>
      <c r="G144" s="119" t="n">
        <v>240</v>
      </c>
      <c r="H144" s="119" t="inlineStr">
        <is>
          <t>Mestra Vespera da Forja Negra</t>
        </is>
      </c>
      <c r="I144" s="115" t="inlineStr">
        <is>
          <t>Arma/Armadura</t>
        </is>
      </c>
      <c r="J144" s="115" t="inlineStr">
        <is>
          <t>Forja</t>
        </is>
      </c>
    </row>
    <row r="145" ht="15" customHeight="1" s="116">
      <c r="A145" s="119" t="inlineStr">
        <is>
          <t>Tier 10 (Ébano)</t>
        </is>
      </c>
      <c r="B145" s="119" t="inlineStr">
        <is>
          <t>Elmo</t>
        </is>
      </c>
      <c r="C145" s="119" t="inlineStr">
        <is>
          <t>Rocha Negra de Ébano (2x)</t>
        </is>
      </c>
      <c r="D145" s="119" t="inlineStr">
        <is>
          <t>Resíduo de Sombra Vulcânica (1x)</t>
        </is>
      </c>
      <c r="E145" s="119" t="n">
        <v>96</v>
      </c>
      <c r="F145" s="119" t="inlineStr">
        <is>
          <t>Essência da Fenda Extinta (1x)</t>
        </is>
      </c>
      <c r="G145" s="119" t="n">
        <v>240</v>
      </c>
      <c r="H145" s="119" t="inlineStr">
        <is>
          <t>Mestra Vespera da Forja Negra</t>
        </is>
      </c>
      <c r="I145" s="115" t="inlineStr">
        <is>
          <t>Arma/Armadura</t>
        </is>
      </c>
      <c r="J145" s="115" t="inlineStr">
        <is>
          <t>Forja</t>
        </is>
      </c>
    </row>
    <row r="146" ht="15" customHeight="1" s="116">
      <c r="A146" s="119" t="inlineStr">
        <is>
          <t>Tier 10 (Ébano)</t>
        </is>
      </c>
      <c r="B146" s="119" t="inlineStr">
        <is>
          <t>Arco</t>
        </is>
      </c>
      <c r="C146" s="119" t="inlineStr">
        <is>
          <t>Tronco Negro Dessecado (3x)</t>
        </is>
      </c>
      <c r="D146" s="119" t="inlineStr">
        <is>
          <t>Resíduo de Sombra Vulcânica (1x)</t>
        </is>
      </c>
      <c r="E146" s="119" t="n">
        <v>96</v>
      </c>
      <c r="F146" s="119" t="inlineStr">
        <is>
          <t>Essência da Fenda Extinta (1x)</t>
        </is>
      </c>
      <c r="G146" s="119" t="n">
        <v>240</v>
      </c>
      <c r="H146" s="119" t="inlineStr">
        <is>
          <t>Mestra Vespera da Forja Negra</t>
        </is>
      </c>
      <c r="I146" s="115" t="inlineStr">
        <is>
          <t>Arma/Armadura</t>
        </is>
      </c>
      <c r="J146" s="115" t="inlineStr">
        <is>
          <t>Forja</t>
        </is>
      </c>
    </row>
    <row r="147" ht="15" customHeight="1" s="116">
      <c r="A147" s="119" t="inlineStr">
        <is>
          <t>Tier 10 (Ébano)</t>
        </is>
      </c>
      <c r="B147" s="119" t="inlineStr">
        <is>
          <t>Cetro</t>
        </is>
      </c>
      <c r="C147" s="119" t="inlineStr">
        <is>
          <t>Tronco Negro Dessecado (3x)</t>
        </is>
      </c>
      <c r="D147" s="119" t="inlineStr">
        <is>
          <t>Cogumelo da Cinza Fria (1x)</t>
        </is>
      </c>
      <c r="E147" s="119" t="n">
        <v>96</v>
      </c>
      <c r="F147" s="119" t="inlineStr">
        <is>
          <t>Essência da Fenda Extinta (1x)</t>
        </is>
      </c>
      <c r="G147" s="119" t="n">
        <v>240</v>
      </c>
      <c r="H147" s="119" t="inlineStr">
        <is>
          <t>Mestra Vespera da Forja Negra</t>
        </is>
      </c>
      <c r="I147" s="115" t="inlineStr">
        <is>
          <t>Arma/Armadura</t>
        </is>
      </c>
      <c r="J147" s="115" t="inlineStr">
        <is>
          <t>Forja</t>
        </is>
      </c>
    </row>
    <row r="148" ht="15" customHeight="1" s="116">
      <c r="A148" s="119" t="inlineStr">
        <is>
          <t>Tier 10 (Ébano)</t>
        </is>
      </c>
      <c r="B148" s="119" t="inlineStr">
        <is>
          <t>Adaga</t>
        </is>
      </c>
      <c r="C148" s="119" t="inlineStr">
        <is>
          <t>Rocha Negra de Ébano (2x)</t>
        </is>
      </c>
      <c r="D148" s="119" t="inlineStr">
        <is>
          <t>Rocha Negra de Ébano (1x)</t>
        </is>
      </c>
      <c r="E148" s="119" t="n">
        <v>96</v>
      </c>
      <c r="F148" s="119" t="inlineStr">
        <is>
          <t>Essência da Fenda Extinta (1x)</t>
        </is>
      </c>
      <c r="G148" s="119" t="n">
        <v>240</v>
      </c>
      <c r="H148" s="119" t="inlineStr">
        <is>
          <t>Mestra Vespera da Forja Negra</t>
        </is>
      </c>
      <c r="I148" s="115" t="inlineStr">
        <is>
          <t>Arma/Armadura</t>
        </is>
      </c>
      <c r="J148" s="115" t="inlineStr">
        <is>
          <t>Forja</t>
        </is>
      </c>
    </row>
    <row r="149" ht="15" customHeight="1" s="116">
      <c r="A149" s="119" t="inlineStr">
        <is>
          <t>Tier 10 (Ébano)</t>
        </is>
      </c>
      <c r="B149" s="119" t="inlineStr">
        <is>
          <t>Manopla</t>
        </is>
      </c>
      <c r="C149" s="119" t="inlineStr">
        <is>
          <t>Resíduo de Sombra Vulcânica (2x)</t>
        </is>
      </c>
      <c r="D149" s="119" t="inlineStr">
        <is>
          <t>Rocha Negra de Ébano (1x)</t>
        </is>
      </c>
      <c r="E149" s="119" t="n">
        <v>96</v>
      </c>
      <c r="F149" s="119" t="inlineStr">
        <is>
          <t>Essência da Fenda Extinta (1x)</t>
        </is>
      </c>
      <c r="G149" s="119" t="n">
        <v>240</v>
      </c>
      <c r="H149" s="119" t="inlineStr">
        <is>
          <t>Mestra Vespera da Forja Negra</t>
        </is>
      </c>
      <c r="I149" s="115" t="inlineStr">
        <is>
          <t>Arma/Armadura</t>
        </is>
      </c>
      <c r="J149" s="115" t="inlineStr">
        <is>
          <t>Forja</t>
        </is>
      </c>
    </row>
    <row r="150" ht="15" customHeight="1" s="116">
      <c r="A150" s="119" t="inlineStr">
        <is>
          <t>Tier 10 (Ébano)</t>
        </is>
      </c>
      <c r="B150" s="119" t="inlineStr">
        <is>
          <t>Luvas</t>
        </is>
      </c>
      <c r="C150" s="119" t="inlineStr">
        <is>
          <t>Resíduo de Sombra Vulcânica (2x)</t>
        </is>
      </c>
      <c r="D150" s="119" t="inlineStr">
        <is>
          <t>Rocha Negra de Ébano (1x)</t>
        </is>
      </c>
      <c r="E150" s="119" t="n">
        <v>96</v>
      </c>
      <c r="F150" s="119" t="inlineStr">
        <is>
          <t>Essência da Fenda Extinta (1x)</t>
        </is>
      </c>
      <c r="G150" s="119" t="n">
        <v>240</v>
      </c>
      <c r="H150" s="119" t="inlineStr">
        <is>
          <t>Mestra Vespera da Forja Negra</t>
        </is>
      </c>
      <c r="I150" s="115" t="inlineStr">
        <is>
          <t>Arma/Armadura</t>
        </is>
      </c>
      <c r="J150" s="115" t="inlineStr">
        <is>
          <t>Forja</t>
        </is>
      </c>
    </row>
    <row r="151" ht="15" customHeight="1" s="116">
      <c r="A151" s="119" t="inlineStr">
        <is>
          <t>Tier 10 (Ébano)</t>
        </is>
      </c>
      <c r="B151" s="119" t="inlineStr">
        <is>
          <t>Bota</t>
        </is>
      </c>
      <c r="C151" s="119" t="inlineStr">
        <is>
          <t>Resíduo de Sombra Vulcânica (3x)</t>
        </is>
      </c>
      <c r="D151" s="119" t="inlineStr">
        <is>
          <t>Rocha Negra de Ébano (1x)</t>
        </is>
      </c>
      <c r="E151" s="119" t="n">
        <v>96</v>
      </c>
      <c r="F151" s="119" t="inlineStr">
        <is>
          <t>Essência da Fenda Extinta (1x)</t>
        </is>
      </c>
      <c r="G151" s="119" t="n">
        <v>240</v>
      </c>
      <c r="H151" s="119" t="inlineStr">
        <is>
          <t>Mestra Vespera da Forja Negra</t>
        </is>
      </c>
      <c r="I151" s="115" t="inlineStr">
        <is>
          <t>Arma/Armadura</t>
        </is>
      </c>
      <c r="J151" s="115" t="inlineStr">
        <is>
          <t>Forja</t>
        </is>
      </c>
    </row>
    <row r="152" ht="15" customHeight="1" s="116">
      <c r="A152" s="119" t="inlineStr">
        <is>
          <t>Tier 10 (Ébano)</t>
        </is>
      </c>
      <c r="B152" s="119" t="inlineStr">
        <is>
          <t>Calça</t>
        </is>
      </c>
      <c r="C152" s="119" t="inlineStr">
        <is>
          <t>Resíduo de Sombra Vulcânica (3x)</t>
        </is>
      </c>
      <c r="D152" s="119" t="inlineStr">
        <is>
          <t>Rocha Negra de Ébano (1x)</t>
        </is>
      </c>
      <c r="E152" s="119" t="n">
        <v>96</v>
      </c>
      <c r="F152" s="119" t="inlineStr">
        <is>
          <t>Essência da Fenda Extinta (1x)</t>
        </is>
      </c>
      <c r="G152" s="119" t="n">
        <v>240</v>
      </c>
      <c r="H152" s="119" t="inlineStr">
        <is>
          <t>Mestra Vespera da Forja Negra</t>
        </is>
      </c>
      <c r="I152" s="115" t="inlineStr">
        <is>
          <t>Arma/Armadura</t>
        </is>
      </c>
      <c r="J152" s="115" t="inlineStr">
        <is>
          <t>Forja</t>
        </is>
      </c>
    </row>
    <row r="153" ht="15" customHeight="1" s="116">
      <c r="A153" s="119" t="inlineStr">
        <is>
          <t>Tier 10 (Ébano)</t>
        </is>
      </c>
      <c r="B153" s="119" t="inlineStr">
        <is>
          <t>Amuleto</t>
        </is>
      </c>
      <c r="C153" s="119" t="inlineStr">
        <is>
          <t>Cogumelo da Cinza Fria (2x)</t>
        </is>
      </c>
      <c r="D153" s="119" t="inlineStr">
        <is>
          <t>Rocha Negra de Ébano (1x)</t>
        </is>
      </c>
      <c r="E153" s="119" t="n">
        <v>96</v>
      </c>
      <c r="F153" s="119" t="inlineStr">
        <is>
          <t>Essência da Fenda Extinta (1x)</t>
        </is>
      </c>
      <c r="G153" s="119" t="n">
        <v>240</v>
      </c>
      <c r="H153" s="119" t="inlineStr">
        <is>
          <t>Mestra Vespera da Forja Negra</t>
        </is>
      </c>
      <c r="I153" s="115" t="inlineStr">
        <is>
          <t>Arma/Armadura</t>
        </is>
      </c>
      <c r="J153" s="115" t="inlineStr">
        <is>
          <t>Forja</t>
        </is>
      </c>
    </row>
    <row r="154" ht="15" customHeight="1" s="116">
      <c r="A154" s="119" t="inlineStr">
        <is>
          <t>Tier 10 (Ébano)</t>
        </is>
      </c>
      <c r="B154" s="119" t="inlineStr">
        <is>
          <t>Anel</t>
        </is>
      </c>
      <c r="C154" s="119" t="inlineStr">
        <is>
          <t>Cogumelo da Cinza Fria (2x)</t>
        </is>
      </c>
      <c r="D154" s="119" t="inlineStr">
        <is>
          <t>Rocha Negra de Ébano (1x)</t>
        </is>
      </c>
      <c r="E154" s="119" t="n">
        <v>96</v>
      </c>
      <c r="F154" s="119" t="inlineStr">
        <is>
          <t>Essência da Fenda Extinta (1x)</t>
        </is>
      </c>
      <c r="G154" s="119" t="n">
        <v>240</v>
      </c>
      <c r="H154" s="119" t="inlineStr">
        <is>
          <t>Mestra Vespera da Forja Negra</t>
        </is>
      </c>
      <c r="I154" s="115" t="inlineStr">
        <is>
          <t>Arma/Armadura</t>
        </is>
      </c>
      <c r="J154" s="115" t="inlineStr">
        <is>
          <t>Forja</t>
        </is>
      </c>
    </row>
    <row r="155" ht="15" customHeight="1" s="116">
      <c r="A155" s="119" t="inlineStr">
        <is>
          <t>Tier 11 (Adamantina)</t>
        </is>
      </c>
      <c r="B155" s="119" t="inlineStr">
        <is>
          <t>Espada</t>
        </is>
      </c>
      <c r="C155" s="119" t="inlineStr">
        <is>
          <t>Veio Puro de Adamantina (3x)</t>
        </is>
      </c>
      <c r="D155" s="119" t="inlineStr">
        <is>
          <t>Presa Jovem de Devorador de Cavaleiros (1x)</t>
        </is>
      </c>
      <c r="E155" s="119" t="n">
        <v>130</v>
      </c>
      <c r="F155" s="119" t="inlineStr">
        <is>
          <t>Fragmento de Coroa do Titã (1x)</t>
        </is>
      </c>
      <c r="G155" s="119" t="n">
        <v>325</v>
      </c>
      <c r="H155" s="119" t="inlineStr">
        <is>
          <t>Valtiel o Mestre da Adamantina</t>
        </is>
      </c>
      <c r="I155" s="115" t="inlineStr">
        <is>
          <t>Arma/Armadura</t>
        </is>
      </c>
      <c r="J155" s="115" t="inlineStr">
        <is>
          <t>Forja</t>
        </is>
      </c>
    </row>
    <row r="156" ht="15" customHeight="1" s="116">
      <c r="A156" s="119" t="inlineStr">
        <is>
          <t>Tier 11 (Adamantina)</t>
        </is>
      </c>
      <c r="B156" s="119" t="inlineStr">
        <is>
          <t>Machado</t>
        </is>
      </c>
      <c r="C156" s="119" t="inlineStr">
        <is>
          <t>Veio Puro de Adamantina (4x)</t>
        </is>
      </c>
      <c r="D156" s="119" t="inlineStr">
        <is>
          <t>Madeira de Pau-Ferro Ancestral (1x)</t>
        </is>
      </c>
      <c r="E156" s="119" t="n">
        <v>130</v>
      </c>
      <c r="F156" s="119" t="inlineStr">
        <is>
          <t>Fragmento de Coroa do Titã (1x)</t>
        </is>
      </c>
      <c r="G156" s="119" t="n">
        <v>325</v>
      </c>
      <c r="H156" s="119" t="inlineStr">
        <is>
          <t>Valtiel o Mestre da Adamantina</t>
        </is>
      </c>
      <c r="I156" s="115" t="inlineStr">
        <is>
          <t>Arma/Armadura</t>
        </is>
      </c>
      <c r="J156" s="115" t="inlineStr">
        <is>
          <t>Forja</t>
        </is>
      </c>
    </row>
    <row r="157" ht="15" customHeight="1" s="116">
      <c r="A157" s="119" t="inlineStr">
        <is>
          <t>Tier 11 (Adamantina)</t>
        </is>
      </c>
      <c r="B157" s="119" t="inlineStr">
        <is>
          <t>Maça</t>
        </is>
      </c>
      <c r="C157" s="119" t="inlineStr">
        <is>
          <t>Veio Puro de Adamantina (3x)</t>
        </is>
      </c>
      <c r="D157" s="119" t="inlineStr">
        <is>
          <t>Madeira de Pau-Ferro Ancestral (2x)</t>
        </is>
      </c>
      <c r="E157" s="119" t="n">
        <v>130</v>
      </c>
      <c r="F157" s="119" t="inlineStr">
        <is>
          <t>Fragmento de Coroa do Titã (1x)</t>
        </is>
      </c>
      <c r="G157" s="119" t="n">
        <v>325</v>
      </c>
      <c r="H157" s="119" t="inlineStr">
        <is>
          <t>Valtiel o Mestre da Adamantina</t>
        </is>
      </c>
      <c r="I157" s="115" t="inlineStr">
        <is>
          <t>Arma/Armadura</t>
        </is>
      </c>
      <c r="J157" s="115" t="inlineStr">
        <is>
          <t>Forja</t>
        </is>
      </c>
    </row>
    <row r="158" ht="15" customHeight="1" s="116">
      <c r="A158" s="119" t="inlineStr">
        <is>
          <t>Tier 11 (Adamantina)</t>
        </is>
      </c>
      <c r="B158" s="119" t="inlineStr">
        <is>
          <t>Peitoral</t>
        </is>
      </c>
      <c r="C158" s="119" t="inlineStr">
        <is>
          <t>Veio Puro de Adamantina (3x)</t>
        </is>
      </c>
      <c r="D158" s="119" t="inlineStr">
        <is>
          <t>Presa Jovem de Devorador de Cavaleiros (2x)</t>
        </is>
      </c>
      <c r="E158" s="119" t="n">
        <v>130</v>
      </c>
      <c r="F158" s="119" t="inlineStr">
        <is>
          <t>Fragmento de Coroa do Titã (1x)</t>
        </is>
      </c>
      <c r="G158" s="119" t="n">
        <v>325</v>
      </c>
      <c r="H158" s="119" t="inlineStr">
        <is>
          <t>Valtiel o Mestre da Adamantina</t>
        </is>
      </c>
      <c r="I158" s="115" t="inlineStr">
        <is>
          <t>Arma/Armadura</t>
        </is>
      </c>
      <c r="J158" s="115" t="inlineStr">
        <is>
          <t>Forja</t>
        </is>
      </c>
    </row>
    <row r="159" ht="15" customHeight="1" s="116">
      <c r="A159" s="119" t="inlineStr">
        <is>
          <t>Tier 11 (Adamantina)</t>
        </is>
      </c>
      <c r="B159" s="119" t="inlineStr">
        <is>
          <t>Escudo</t>
        </is>
      </c>
      <c r="C159" s="119" t="inlineStr">
        <is>
          <t>Veio Puro de Adamantina (4x)</t>
        </is>
      </c>
      <c r="D159" s="119" t="inlineStr">
        <is>
          <t>Madeira de Pau-Ferro Ancestral (1x)</t>
        </is>
      </c>
      <c r="E159" s="119" t="n">
        <v>130</v>
      </c>
      <c r="F159" s="119" t="inlineStr">
        <is>
          <t>Fragmento de Coroa do Titã (1x)</t>
        </is>
      </c>
      <c r="G159" s="119" t="n">
        <v>325</v>
      </c>
      <c r="H159" s="119" t="inlineStr">
        <is>
          <t>Valtiel o Mestre da Adamantina</t>
        </is>
      </c>
      <c r="I159" s="115" t="inlineStr">
        <is>
          <t>Arma/Armadura</t>
        </is>
      </c>
      <c r="J159" s="115" t="inlineStr">
        <is>
          <t>Forja</t>
        </is>
      </c>
    </row>
    <row r="160" ht="15" customHeight="1" s="116">
      <c r="A160" s="119" t="inlineStr">
        <is>
          <t>Tier 11 (Adamantina)</t>
        </is>
      </c>
      <c r="B160" s="119" t="inlineStr">
        <is>
          <t>Elmo</t>
        </is>
      </c>
      <c r="C160" s="119" t="inlineStr">
        <is>
          <t>Veio Puro de Adamantina (2x)</t>
        </is>
      </c>
      <c r="D160" s="119" t="inlineStr">
        <is>
          <t>Presa Jovem de Devorador de Cavaleiros (1x)</t>
        </is>
      </c>
      <c r="E160" s="119" t="n">
        <v>130</v>
      </c>
      <c r="F160" s="119" t="inlineStr">
        <is>
          <t>Fragmento de Coroa do Titã (1x)</t>
        </is>
      </c>
      <c r="G160" s="119" t="n">
        <v>325</v>
      </c>
      <c r="H160" s="119" t="inlineStr">
        <is>
          <t>Valtiel o Mestre da Adamantina</t>
        </is>
      </c>
      <c r="I160" s="115" t="inlineStr">
        <is>
          <t>Arma/Armadura</t>
        </is>
      </c>
      <c r="J160" s="115" t="inlineStr">
        <is>
          <t>Forja</t>
        </is>
      </c>
    </row>
    <row r="161" ht="15" customHeight="1" s="116">
      <c r="A161" s="119" t="inlineStr">
        <is>
          <t>Tier 11 (Adamantina)</t>
        </is>
      </c>
      <c r="B161" s="119" t="inlineStr">
        <is>
          <t>Arco</t>
        </is>
      </c>
      <c r="C161" s="119" t="inlineStr">
        <is>
          <t>Madeira de Pau-Ferro Ancestral (3x)</t>
        </is>
      </c>
      <c r="D161" s="119" t="inlineStr">
        <is>
          <t>Presa Jovem de Devorador de Cavaleiros (1x)</t>
        </is>
      </c>
      <c r="E161" s="119" t="n">
        <v>130</v>
      </c>
      <c r="F161" s="119" t="inlineStr">
        <is>
          <t>Fragmento de Coroa do Titã (1x)</t>
        </is>
      </c>
      <c r="G161" s="119" t="n">
        <v>325</v>
      </c>
      <c r="H161" s="119" t="inlineStr">
        <is>
          <t>Valtiel o Mestre da Adamantina</t>
        </is>
      </c>
      <c r="I161" s="115" t="inlineStr">
        <is>
          <t>Arma/Armadura</t>
        </is>
      </c>
      <c r="J161" s="115" t="inlineStr">
        <is>
          <t>Forja</t>
        </is>
      </c>
    </row>
    <row r="162" ht="15" customHeight="1" s="116">
      <c r="A162" s="119" t="inlineStr">
        <is>
          <t>Tier 11 (Adamantina)</t>
        </is>
      </c>
      <c r="B162" s="119" t="inlineStr">
        <is>
          <t>Cetro</t>
        </is>
      </c>
      <c r="C162" s="119" t="inlineStr">
        <is>
          <t>Madeira de Pau-Ferro Ancestral (3x)</t>
        </is>
      </c>
      <c r="D162" s="119" t="inlineStr">
        <is>
          <t>Flor de Aço Titanica (1x)</t>
        </is>
      </c>
      <c r="E162" s="119" t="n">
        <v>130</v>
      </c>
      <c r="F162" s="119" t="inlineStr">
        <is>
          <t>Fragmento de Coroa do Titã (1x)</t>
        </is>
      </c>
      <c r="G162" s="119" t="n">
        <v>325</v>
      </c>
      <c r="H162" s="119" t="inlineStr">
        <is>
          <t>Valtiel o Mestre da Adamantina</t>
        </is>
      </c>
      <c r="I162" s="115" t="inlineStr">
        <is>
          <t>Arma/Armadura</t>
        </is>
      </c>
      <c r="J162" s="115" t="inlineStr">
        <is>
          <t>Forja</t>
        </is>
      </c>
    </row>
    <row r="163" ht="15" customHeight="1" s="116">
      <c r="A163" s="119" t="inlineStr">
        <is>
          <t>Tier 11 (Adamantina)</t>
        </is>
      </c>
      <c r="B163" s="119" t="inlineStr">
        <is>
          <t>Adaga</t>
        </is>
      </c>
      <c r="C163" s="119" t="inlineStr">
        <is>
          <t>Veio Puro de Adamantina (2x)</t>
        </is>
      </c>
      <c r="D163" s="119" t="inlineStr">
        <is>
          <t>Veio Puro de Adamantina (1x)</t>
        </is>
      </c>
      <c r="E163" s="119" t="n">
        <v>130</v>
      </c>
      <c r="F163" s="119" t="inlineStr">
        <is>
          <t>Fragmento de Coroa do Titã (1x)</t>
        </is>
      </c>
      <c r="G163" s="119" t="n">
        <v>325</v>
      </c>
      <c r="H163" s="119" t="inlineStr">
        <is>
          <t>Valtiel o Mestre da Adamantina</t>
        </is>
      </c>
      <c r="I163" s="115" t="inlineStr">
        <is>
          <t>Arma/Armadura</t>
        </is>
      </c>
      <c r="J163" s="115" t="inlineStr">
        <is>
          <t>Forja</t>
        </is>
      </c>
    </row>
    <row r="164" ht="15" customHeight="1" s="116">
      <c r="A164" s="119" t="inlineStr">
        <is>
          <t>Tier 11 (Adamantina)</t>
        </is>
      </c>
      <c r="B164" s="119" t="inlineStr">
        <is>
          <t>Manopla</t>
        </is>
      </c>
      <c r="C164" s="119" t="inlineStr">
        <is>
          <t>Presa Jovem de Devorador de Cavaleiros (2x)</t>
        </is>
      </c>
      <c r="D164" s="119" t="inlineStr">
        <is>
          <t>Veio Puro de Adamantina (1x)</t>
        </is>
      </c>
      <c r="E164" s="119" t="n">
        <v>130</v>
      </c>
      <c r="F164" s="119" t="inlineStr">
        <is>
          <t>Fragmento de Coroa do Titã (1x)</t>
        </is>
      </c>
      <c r="G164" s="119" t="n">
        <v>325</v>
      </c>
      <c r="H164" s="119" t="inlineStr">
        <is>
          <t>Valtiel o Mestre da Adamantina</t>
        </is>
      </c>
      <c r="I164" s="115" t="inlineStr">
        <is>
          <t>Arma/Armadura</t>
        </is>
      </c>
      <c r="J164" s="115" t="inlineStr">
        <is>
          <t>Forja</t>
        </is>
      </c>
    </row>
    <row r="165" ht="15" customHeight="1" s="116">
      <c r="A165" s="119" t="inlineStr">
        <is>
          <t>Tier 11 (Adamantina)</t>
        </is>
      </c>
      <c r="B165" s="119" t="inlineStr">
        <is>
          <t>Luvas</t>
        </is>
      </c>
      <c r="C165" s="119" t="inlineStr">
        <is>
          <t>Presa Jovem de Devorador de Cavaleiros (2x)</t>
        </is>
      </c>
      <c r="D165" s="119" t="inlineStr">
        <is>
          <t>Veio Puro de Adamantina (1x)</t>
        </is>
      </c>
      <c r="E165" s="119" t="n">
        <v>130</v>
      </c>
      <c r="F165" s="119" t="inlineStr">
        <is>
          <t>Fragmento de Coroa do Titã (1x)</t>
        </is>
      </c>
      <c r="G165" s="119" t="n">
        <v>325</v>
      </c>
      <c r="H165" s="119" t="inlineStr">
        <is>
          <t>Valtiel o Mestre da Adamantina</t>
        </is>
      </c>
      <c r="I165" s="115" t="inlineStr">
        <is>
          <t>Arma/Armadura</t>
        </is>
      </c>
      <c r="J165" s="115" t="inlineStr">
        <is>
          <t>Forja</t>
        </is>
      </c>
    </row>
    <row r="166" ht="15" customHeight="1" s="116">
      <c r="A166" s="119" t="inlineStr">
        <is>
          <t>Tier 11 (Adamantina)</t>
        </is>
      </c>
      <c r="B166" s="119" t="inlineStr">
        <is>
          <t>Bota</t>
        </is>
      </c>
      <c r="C166" s="119" t="inlineStr">
        <is>
          <t>Presa Jovem de Devorador de Cavaleiros (3x)</t>
        </is>
      </c>
      <c r="D166" s="119" t="inlineStr">
        <is>
          <t>Veio Puro de Adamantina (1x)</t>
        </is>
      </c>
      <c r="E166" s="119" t="n">
        <v>130</v>
      </c>
      <c r="F166" s="119" t="inlineStr">
        <is>
          <t>Fragmento de Coroa do Titã (1x)</t>
        </is>
      </c>
      <c r="G166" s="119" t="n">
        <v>325</v>
      </c>
      <c r="H166" s="119" t="inlineStr">
        <is>
          <t>Valtiel o Mestre da Adamantina</t>
        </is>
      </c>
      <c r="I166" s="115" t="inlineStr">
        <is>
          <t>Arma/Armadura</t>
        </is>
      </c>
      <c r="J166" s="115" t="inlineStr">
        <is>
          <t>Forja</t>
        </is>
      </c>
    </row>
    <row r="167" ht="15" customHeight="1" s="116">
      <c r="A167" s="119" t="inlineStr">
        <is>
          <t>Tier 11 (Adamantina)</t>
        </is>
      </c>
      <c r="B167" s="119" t="inlineStr">
        <is>
          <t>Calça</t>
        </is>
      </c>
      <c r="C167" s="119" t="inlineStr">
        <is>
          <t>Presa Jovem de Devorador de Cavaleiros (3x)</t>
        </is>
      </c>
      <c r="D167" s="119" t="inlineStr">
        <is>
          <t>Veio Puro de Adamantina (1x)</t>
        </is>
      </c>
      <c r="E167" s="119" t="n">
        <v>130</v>
      </c>
      <c r="F167" s="119" t="inlineStr">
        <is>
          <t>Fragmento de Coroa do Titã (1x)</t>
        </is>
      </c>
      <c r="G167" s="119" t="n">
        <v>325</v>
      </c>
      <c r="H167" s="119" t="inlineStr">
        <is>
          <t>Valtiel o Mestre da Adamantina</t>
        </is>
      </c>
      <c r="I167" s="115" t="inlineStr">
        <is>
          <t>Arma/Armadura</t>
        </is>
      </c>
      <c r="J167" s="115" t="inlineStr">
        <is>
          <t>Forja</t>
        </is>
      </c>
    </row>
    <row r="168" ht="15" customHeight="1" s="116">
      <c r="A168" s="119" t="inlineStr">
        <is>
          <t>Tier 11 (Adamantina)</t>
        </is>
      </c>
      <c r="B168" s="119" t="inlineStr">
        <is>
          <t>Amuleto</t>
        </is>
      </c>
      <c r="C168" s="119" t="inlineStr">
        <is>
          <t>Flor de Aço Titanica (2x)</t>
        </is>
      </c>
      <c r="D168" s="119" t="inlineStr">
        <is>
          <t>Veio Puro de Adamantina (1x)</t>
        </is>
      </c>
      <c r="E168" s="119" t="n">
        <v>130</v>
      </c>
      <c r="F168" s="119" t="inlineStr">
        <is>
          <t>Fragmento de Coroa do Titã (1x)</t>
        </is>
      </c>
      <c r="G168" s="119" t="n">
        <v>325</v>
      </c>
      <c r="H168" s="119" t="inlineStr">
        <is>
          <t>Valtiel o Mestre da Adamantina</t>
        </is>
      </c>
      <c r="I168" s="115" t="inlineStr">
        <is>
          <t>Arma/Armadura</t>
        </is>
      </c>
      <c r="J168" s="115" t="inlineStr">
        <is>
          <t>Forja</t>
        </is>
      </c>
    </row>
    <row r="169" ht="15" customHeight="1" s="116">
      <c r="A169" s="119" t="inlineStr">
        <is>
          <t>Tier 11 (Adamantina)</t>
        </is>
      </c>
      <c r="B169" s="119" t="inlineStr">
        <is>
          <t>Anel</t>
        </is>
      </c>
      <c r="C169" s="119" t="inlineStr">
        <is>
          <t>Flor de Aço Titanica (2x)</t>
        </is>
      </c>
      <c r="D169" s="119" t="inlineStr">
        <is>
          <t>Veio Puro de Adamantina (1x)</t>
        </is>
      </c>
      <c r="E169" s="119" t="n">
        <v>130</v>
      </c>
      <c r="F169" s="119" t="inlineStr">
        <is>
          <t>Fragmento de Coroa do Titã (1x)</t>
        </is>
      </c>
      <c r="G169" s="119" t="n">
        <v>325</v>
      </c>
      <c r="H169" s="119" t="inlineStr">
        <is>
          <t>Valtiel o Mestre da Adamantina</t>
        </is>
      </c>
      <c r="I169" s="115" t="inlineStr">
        <is>
          <t>Arma/Armadura</t>
        </is>
      </c>
      <c r="J169" s="115" t="inlineStr">
        <is>
          <t>Forja</t>
        </is>
      </c>
    </row>
    <row r="170" ht="15" customHeight="1" s="116">
      <c r="A170" s="119" t="inlineStr">
        <is>
          <t>Tier 12 (Osso de Dragão)</t>
        </is>
      </c>
      <c r="B170" s="119" t="inlineStr">
        <is>
          <t>Espada</t>
        </is>
      </c>
      <c r="C170" s="119" t="inlineStr">
        <is>
          <t>Marfim e Osso de Dragão Ancião (3x)</t>
        </is>
      </c>
      <c r="D170" s="119" t="inlineStr">
        <is>
          <t>Escama Ferida de Wyrmling Jovem (1x)</t>
        </is>
      </c>
      <c r="E170" s="119" t="n">
        <v>170</v>
      </c>
      <c r="F170" s="119" t="inlineStr">
        <is>
          <t>Coração Incandescente de Dragão (1x)</t>
        </is>
      </c>
      <c r="G170" s="119" t="n">
        <v>425</v>
      </c>
      <c r="H170" s="119" t="inlineStr">
        <is>
          <t>Valtiel o Mestre da Adamantina</t>
        </is>
      </c>
      <c r="I170" s="115" t="inlineStr">
        <is>
          <t>Arma/Armadura</t>
        </is>
      </c>
      <c r="J170" s="115" t="inlineStr">
        <is>
          <t>Forja</t>
        </is>
      </c>
    </row>
    <row r="171" ht="15" customHeight="1" s="116">
      <c r="A171" s="119" t="inlineStr">
        <is>
          <t>Tier 12 (Osso de Dragão)</t>
        </is>
      </c>
      <c r="B171" s="119" t="inlineStr">
        <is>
          <t>Machado</t>
        </is>
      </c>
      <c r="C171" s="119" t="inlineStr">
        <is>
          <t>Marfim e Osso de Dragão Ancião (4x)</t>
        </is>
      </c>
      <c r="D171" s="119" t="inlineStr">
        <is>
          <t>Pinheiro Draconiano de Alta Altitude (1x)</t>
        </is>
      </c>
      <c r="E171" s="119" t="n">
        <v>170</v>
      </c>
      <c r="F171" s="119" t="inlineStr">
        <is>
          <t>Coração Incandescente de Dragão (1x)</t>
        </is>
      </c>
      <c r="G171" s="119" t="n">
        <v>425</v>
      </c>
      <c r="H171" s="119" t="inlineStr">
        <is>
          <t>Valtiel o Mestre da Adamantina</t>
        </is>
      </c>
      <c r="I171" s="115" t="inlineStr">
        <is>
          <t>Arma/Armadura</t>
        </is>
      </c>
      <c r="J171" s="115" t="inlineStr">
        <is>
          <t>Forja</t>
        </is>
      </c>
    </row>
    <row r="172" ht="15" customHeight="1" s="116">
      <c r="A172" s="119" t="inlineStr">
        <is>
          <t>Tier 12 (Osso de Dragão)</t>
        </is>
      </c>
      <c r="B172" s="119" t="inlineStr">
        <is>
          <t>Maça</t>
        </is>
      </c>
      <c r="C172" s="119" t="inlineStr">
        <is>
          <t>Marfim e Osso de Dragão Ancião (3x)</t>
        </is>
      </c>
      <c r="D172" s="119" t="inlineStr">
        <is>
          <t>Pinheiro Draconiano de Alta Altitude (2x)</t>
        </is>
      </c>
      <c r="E172" s="119" t="n">
        <v>170</v>
      </c>
      <c r="F172" s="119" t="inlineStr">
        <is>
          <t>Coração Incandescente de Dragão (1x)</t>
        </is>
      </c>
      <c r="G172" s="119" t="n">
        <v>425</v>
      </c>
      <c r="H172" s="119" t="inlineStr">
        <is>
          <t>Valtiel o Mestre da Adamantina</t>
        </is>
      </c>
      <c r="I172" s="115" t="inlineStr">
        <is>
          <t>Arma/Armadura</t>
        </is>
      </c>
      <c r="J172" s="115" t="inlineStr">
        <is>
          <t>Forja</t>
        </is>
      </c>
    </row>
    <row r="173" ht="15" customHeight="1" s="116">
      <c r="A173" s="119" t="inlineStr">
        <is>
          <t>Tier 12 (Osso de Dragão)</t>
        </is>
      </c>
      <c r="B173" s="119" t="inlineStr">
        <is>
          <t>Peitoral</t>
        </is>
      </c>
      <c r="C173" s="119" t="inlineStr">
        <is>
          <t>Marfim e Osso de Dragão Ancião (3x)</t>
        </is>
      </c>
      <c r="D173" s="119" t="inlineStr">
        <is>
          <t>Escama Ferida de Wyrmling Jovem (2x)</t>
        </is>
      </c>
      <c r="E173" s="119" t="n">
        <v>170</v>
      </c>
      <c r="F173" s="119" t="inlineStr">
        <is>
          <t>Coração Incandescente de Dragão (1x)</t>
        </is>
      </c>
      <c r="G173" s="119" t="n">
        <v>425</v>
      </c>
      <c r="H173" s="119" t="inlineStr">
        <is>
          <t>Valtiel o Mestre da Adamantina</t>
        </is>
      </c>
      <c r="I173" s="115" t="inlineStr">
        <is>
          <t>Arma/Armadura</t>
        </is>
      </c>
      <c r="J173" s="115" t="inlineStr">
        <is>
          <t>Forja</t>
        </is>
      </c>
    </row>
    <row r="174" ht="15" customHeight="1" s="116">
      <c r="A174" s="119" t="inlineStr">
        <is>
          <t>Tier 12 (Osso de Dragão)</t>
        </is>
      </c>
      <c r="B174" s="119" t="inlineStr">
        <is>
          <t>Escudo</t>
        </is>
      </c>
      <c r="C174" s="119" t="inlineStr">
        <is>
          <t>Marfim e Osso de Dragão Ancião (4x)</t>
        </is>
      </c>
      <c r="D174" s="119" t="inlineStr">
        <is>
          <t>Pinheiro Draconiano de Alta Altitude (1x)</t>
        </is>
      </c>
      <c r="E174" s="119" t="n">
        <v>170</v>
      </c>
      <c r="F174" s="119" t="inlineStr">
        <is>
          <t>Coração Incandescente de Dragão (1x)</t>
        </is>
      </c>
      <c r="G174" s="119" t="n">
        <v>425</v>
      </c>
      <c r="H174" s="119" t="inlineStr">
        <is>
          <t>Valtiel o Mestre da Adamantina</t>
        </is>
      </c>
      <c r="I174" s="115" t="inlineStr">
        <is>
          <t>Arma/Armadura</t>
        </is>
      </c>
      <c r="J174" s="115" t="inlineStr">
        <is>
          <t>Forja</t>
        </is>
      </c>
    </row>
    <row r="175" ht="15" customHeight="1" s="116">
      <c r="A175" s="119" t="inlineStr">
        <is>
          <t>Tier 12 (Osso de Dragão)</t>
        </is>
      </c>
      <c r="B175" s="119" t="inlineStr">
        <is>
          <t>Elmo</t>
        </is>
      </c>
      <c r="C175" s="119" t="inlineStr">
        <is>
          <t>Marfim e Osso de Dragão Ancião (2x)</t>
        </is>
      </c>
      <c r="D175" s="119" t="inlineStr">
        <is>
          <t>Escama Ferida de Wyrmling Jovem (1x)</t>
        </is>
      </c>
      <c r="E175" s="119" t="n">
        <v>170</v>
      </c>
      <c r="F175" s="119" t="inlineStr">
        <is>
          <t>Coração Incandescente de Dragão (1x)</t>
        </is>
      </c>
      <c r="G175" s="119" t="n">
        <v>425</v>
      </c>
      <c r="H175" s="119" t="inlineStr">
        <is>
          <t>Valtiel o Mestre da Adamantina</t>
        </is>
      </c>
      <c r="I175" s="115" t="inlineStr">
        <is>
          <t>Arma/Armadura</t>
        </is>
      </c>
      <c r="J175" s="115" t="inlineStr">
        <is>
          <t>Forja</t>
        </is>
      </c>
    </row>
    <row r="176" ht="15" customHeight="1" s="116">
      <c r="A176" s="119" t="inlineStr">
        <is>
          <t>Tier 12 (Osso de Dragão)</t>
        </is>
      </c>
      <c r="B176" s="119" t="inlineStr">
        <is>
          <t>Arco</t>
        </is>
      </c>
      <c r="C176" s="119" t="inlineStr">
        <is>
          <t>Pinheiro Draconiano de Alta Altitude (3x)</t>
        </is>
      </c>
      <c r="D176" s="119" t="inlineStr">
        <is>
          <t>Escama Ferida de Wyrmling Jovem (1x)</t>
        </is>
      </c>
      <c r="E176" s="119" t="n">
        <v>170</v>
      </c>
      <c r="F176" s="119" t="inlineStr">
        <is>
          <t>Coração Incandescente de Dragão (1x)</t>
        </is>
      </c>
      <c r="G176" s="119" t="n">
        <v>425</v>
      </c>
      <c r="H176" s="119" t="inlineStr">
        <is>
          <t>Valtiel o Mestre da Adamantina</t>
        </is>
      </c>
      <c r="I176" s="115" t="inlineStr">
        <is>
          <t>Arma/Armadura</t>
        </is>
      </c>
      <c r="J176" s="115" t="inlineStr">
        <is>
          <t>Forja</t>
        </is>
      </c>
    </row>
    <row r="177" ht="15" customHeight="1" s="116">
      <c r="A177" s="119" t="inlineStr">
        <is>
          <t>Tier 12 (Osso de Dragão)</t>
        </is>
      </c>
      <c r="B177" s="119" t="inlineStr">
        <is>
          <t>Cetro</t>
        </is>
      </c>
      <c r="C177" s="119" t="inlineStr">
        <is>
          <t>Pinheiro Draconiano de Alta Altitude (3x)</t>
        </is>
      </c>
      <c r="D177" s="119" t="inlineStr">
        <is>
          <t>Flor Bafo-de-Dragão (1x)</t>
        </is>
      </c>
      <c r="E177" s="119" t="n">
        <v>170</v>
      </c>
      <c r="F177" s="119" t="inlineStr">
        <is>
          <t>Coração Incandescente de Dragão (1x)</t>
        </is>
      </c>
      <c r="G177" s="119" t="n">
        <v>425</v>
      </c>
      <c r="H177" s="119" t="inlineStr">
        <is>
          <t>Valtiel o Mestre da Adamantina</t>
        </is>
      </c>
      <c r="I177" s="115" t="inlineStr">
        <is>
          <t>Arma/Armadura</t>
        </is>
      </c>
      <c r="J177" s="115" t="inlineStr">
        <is>
          <t>Forja</t>
        </is>
      </c>
    </row>
    <row r="178" ht="15" customHeight="1" s="116">
      <c r="A178" s="119" t="inlineStr">
        <is>
          <t>Tier 12 (Osso de Dragão)</t>
        </is>
      </c>
      <c r="B178" s="119" t="inlineStr">
        <is>
          <t>Adaga</t>
        </is>
      </c>
      <c r="C178" s="119" t="inlineStr">
        <is>
          <t>Marfim e Osso de Dragão Ancião (2x)</t>
        </is>
      </c>
      <c r="D178" s="119" t="inlineStr">
        <is>
          <t>Marfim e Osso de Dragão Ancião (1x)</t>
        </is>
      </c>
      <c r="E178" s="119" t="n">
        <v>170</v>
      </c>
      <c r="F178" s="119" t="inlineStr">
        <is>
          <t>Coração Incandescente de Dragão (1x)</t>
        </is>
      </c>
      <c r="G178" s="119" t="n">
        <v>425</v>
      </c>
      <c r="H178" s="119" t="inlineStr">
        <is>
          <t>Valtiel o Mestre da Adamantina</t>
        </is>
      </c>
      <c r="I178" s="115" t="inlineStr">
        <is>
          <t>Arma/Armadura</t>
        </is>
      </c>
      <c r="J178" s="115" t="inlineStr">
        <is>
          <t>Forja</t>
        </is>
      </c>
    </row>
    <row r="179" ht="15" customHeight="1" s="116">
      <c r="A179" s="119" t="inlineStr">
        <is>
          <t>Tier 12 (Osso de Dragão)</t>
        </is>
      </c>
      <c r="B179" s="119" t="inlineStr">
        <is>
          <t>Manopla</t>
        </is>
      </c>
      <c r="C179" s="119" t="inlineStr">
        <is>
          <t>Escama Ferida de Wyrmling Jovem (2x)</t>
        </is>
      </c>
      <c r="D179" s="119" t="inlineStr">
        <is>
          <t>Marfim e Osso de Dragão Ancião (1x)</t>
        </is>
      </c>
      <c r="E179" s="119" t="n">
        <v>170</v>
      </c>
      <c r="F179" s="119" t="inlineStr">
        <is>
          <t>Coração Incandescente de Dragão (1x)</t>
        </is>
      </c>
      <c r="G179" s="119" t="n">
        <v>425</v>
      </c>
      <c r="H179" s="119" t="inlineStr">
        <is>
          <t>Valtiel o Mestre da Adamantina</t>
        </is>
      </c>
      <c r="I179" s="115" t="inlineStr">
        <is>
          <t>Arma/Armadura</t>
        </is>
      </c>
      <c r="J179" s="115" t="inlineStr">
        <is>
          <t>Forja</t>
        </is>
      </c>
    </row>
    <row r="180" ht="15" customHeight="1" s="116">
      <c r="A180" s="119" t="inlineStr">
        <is>
          <t>Tier 12 (Osso de Dragão)</t>
        </is>
      </c>
      <c r="B180" s="119" t="inlineStr">
        <is>
          <t>Luvas</t>
        </is>
      </c>
      <c r="C180" s="119" t="inlineStr">
        <is>
          <t>Escama Ferida de Wyrmling Jovem (2x)</t>
        </is>
      </c>
      <c r="D180" s="119" t="inlineStr">
        <is>
          <t>Marfim e Osso de Dragão Ancião (1x)</t>
        </is>
      </c>
      <c r="E180" s="119" t="n">
        <v>170</v>
      </c>
      <c r="F180" s="119" t="inlineStr">
        <is>
          <t>Coração Incandescente de Dragão (1x)</t>
        </is>
      </c>
      <c r="G180" s="119" t="n">
        <v>425</v>
      </c>
      <c r="H180" s="119" t="inlineStr">
        <is>
          <t>Valtiel o Mestre da Adamantina</t>
        </is>
      </c>
      <c r="I180" s="115" t="inlineStr">
        <is>
          <t>Arma/Armadura</t>
        </is>
      </c>
      <c r="J180" s="115" t="inlineStr">
        <is>
          <t>Forja</t>
        </is>
      </c>
    </row>
    <row r="181" ht="15" customHeight="1" s="116">
      <c r="A181" s="119" t="inlineStr">
        <is>
          <t>Tier 12 (Osso de Dragão)</t>
        </is>
      </c>
      <c r="B181" s="119" t="inlineStr">
        <is>
          <t>Bota</t>
        </is>
      </c>
      <c r="C181" s="119" t="inlineStr">
        <is>
          <t>Escama Ferida de Wyrmling Jovem (3x)</t>
        </is>
      </c>
      <c r="D181" s="119" t="inlineStr">
        <is>
          <t>Marfim e Osso de Dragão Ancião (1x)</t>
        </is>
      </c>
      <c r="E181" s="119" t="n">
        <v>170</v>
      </c>
      <c r="F181" s="119" t="inlineStr">
        <is>
          <t>Coração Incandescente de Dragão (1x)</t>
        </is>
      </c>
      <c r="G181" s="119" t="n">
        <v>425</v>
      </c>
      <c r="H181" s="119" t="inlineStr">
        <is>
          <t>Valtiel o Mestre da Adamantina</t>
        </is>
      </c>
      <c r="I181" s="115" t="inlineStr">
        <is>
          <t>Arma/Armadura</t>
        </is>
      </c>
      <c r="J181" s="115" t="inlineStr">
        <is>
          <t>Forja</t>
        </is>
      </c>
    </row>
    <row r="182" ht="15" customHeight="1" s="116">
      <c r="A182" s="119" t="inlineStr">
        <is>
          <t>Tier 12 (Osso de Dragão)</t>
        </is>
      </c>
      <c r="B182" s="119" t="inlineStr">
        <is>
          <t>Calça</t>
        </is>
      </c>
      <c r="C182" s="119" t="inlineStr">
        <is>
          <t>Escama Ferida de Wyrmling Jovem (3x)</t>
        </is>
      </c>
      <c r="D182" s="119" t="inlineStr">
        <is>
          <t>Marfim e Osso de Dragão Ancião (1x)</t>
        </is>
      </c>
      <c r="E182" s="119" t="n">
        <v>170</v>
      </c>
      <c r="F182" s="119" t="inlineStr">
        <is>
          <t>Coração Incandescente de Dragão (1x)</t>
        </is>
      </c>
      <c r="G182" s="119" t="n">
        <v>425</v>
      </c>
      <c r="H182" s="119" t="inlineStr">
        <is>
          <t>Valtiel o Mestre da Adamantina</t>
        </is>
      </c>
      <c r="I182" s="115" t="inlineStr">
        <is>
          <t>Arma/Armadura</t>
        </is>
      </c>
      <c r="J182" s="115" t="inlineStr">
        <is>
          <t>Forja</t>
        </is>
      </c>
    </row>
    <row r="183" ht="15" customHeight="1" s="116">
      <c r="A183" s="119" t="inlineStr">
        <is>
          <t>Tier 12 (Osso de Dragão)</t>
        </is>
      </c>
      <c r="B183" s="119" t="inlineStr">
        <is>
          <t>Amuleto</t>
        </is>
      </c>
      <c r="C183" s="119" t="inlineStr">
        <is>
          <t>Flor Bafo-de-Dragão (2x)</t>
        </is>
      </c>
      <c r="D183" s="119" t="inlineStr">
        <is>
          <t>Marfim e Osso de Dragão Ancião (1x)</t>
        </is>
      </c>
      <c r="E183" s="119" t="n">
        <v>170</v>
      </c>
      <c r="F183" s="119" t="inlineStr">
        <is>
          <t>Coração Incandescente de Dragão (1x)</t>
        </is>
      </c>
      <c r="G183" s="119" t="n">
        <v>425</v>
      </c>
      <c r="H183" s="119" t="inlineStr">
        <is>
          <t>Valtiel o Mestre da Adamantina</t>
        </is>
      </c>
      <c r="I183" s="115" t="inlineStr">
        <is>
          <t>Arma/Armadura</t>
        </is>
      </c>
      <c r="J183" s="115" t="inlineStr">
        <is>
          <t>Forja</t>
        </is>
      </c>
    </row>
    <row r="184" ht="15" customHeight="1" s="116">
      <c r="A184" s="119" t="inlineStr">
        <is>
          <t>Tier 12 (Osso de Dragão)</t>
        </is>
      </c>
      <c r="B184" s="119" t="inlineStr">
        <is>
          <t>Anel</t>
        </is>
      </c>
      <c r="C184" s="119" t="inlineStr">
        <is>
          <t>Flor Bafo-de-Dragão (2x)</t>
        </is>
      </c>
      <c r="D184" s="119" t="inlineStr">
        <is>
          <t>Marfim e Osso de Dragão Ancião (1x)</t>
        </is>
      </c>
      <c r="E184" s="119" t="n">
        <v>170</v>
      </c>
      <c r="F184" s="119" t="inlineStr">
        <is>
          <t>Coração Incandescente de Dragão (1x)</t>
        </is>
      </c>
      <c r="G184" s="119" t="n">
        <v>425</v>
      </c>
      <c r="H184" s="119" t="inlineStr">
        <is>
          <t>Valtiel o Mestre da Adamantina</t>
        </is>
      </c>
      <c r="I184" s="115" t="inlineStr">
        <is>
          <t>Arma/Armadura</t>
        </is>
      </c>
      <c r="J184" s="115" t="inlineStr">
        <is>
          <t>Forja</t>
        </is>
      </c>
    </row>
    <row r="185" ht="15" customHeight="1" s="116">
      <c r="A185" s="119" t="inlineStr">
        <is>
          <t>Tier 13 (Pacto Daédrico)</t>
        </is>
      </c>
      <c r="B185" s="119" t="inlineStr">
        <is>
          <t>Espada</t>
        </is>
      </c>
      <c r="C185" s="119" t="inlineStr">
        <is>
          <t>Veio do Pacto Abissal (3x)</t>
        </is>
      </c>
      <c r="D185" s="119" t="inlineStr">
        <is>
          <t>Presa Jovem de Devorador de Sacrifícios (1x)</t>
        </is>
      </c>
      <c r="E185" s="119" t="n">
        <v>240</v>
      </c>
      <c r="F185" s="119" t="inlineStr">
        <is>
          <t>Olho Preservado do Arauto (1x)</t>
        </is>
      </c>
      <c r="G185" s="119" t="n">
        <v>600</v>
      </c>
      <c r="H185" s="119" t="inlineStr">
        <is>
          <t>Azrael o Artífice do Vazio</t>
        </is>
      </c>
      <c r="I185" s="115" t="inlineStr">
        <is>
          <t>Arma/Armadura</t>
        </is>
      </c>
      <c r="J185" s="115" t="inlineStr">
        <is>
          <t>Forja</t>
        </is>
      </c>
    </row>
    <row r="186" ht="15" customHeight="1" s="116">
      <c r="A186" s="119" t="inlineStr">
        <is>
          <t>Tier 13 (Pacto Daédrico)</t>
        </is>
      </c>
      <c r="B186" s="119" t="inlineStr">
        <is>
          <t>Machado</t>
        </is>
      </c>
      <c r="C186" s="119" t="inlineStr">
        <is>
          <t>Veio do Pacto Abissal (4x)</t>
        </is>
      </c>
      <c r="D186" s="119" t="inlineStr">
        <is>
          <t>Madeira Sangrenta Amaldiçoada (1x)</t>
        </is>
      </c>
      <c r="E186" s="119" t="n">
        <v>240</v>
      </c>
      <c r="F186" s="119" t="inlineStr">
        <is>
          <t>Olho Preservado do Arauto (1x)</t>
        </is>
      </c>
      <c r="G186" s="119" t="n">
        <v>600</v>
      </c>
      <c r="H186" s="119" t="inlineStr">
        <is>
          <t>Azrael o Artífice do Vazio</t>
        </is>
      </c>
      <c r="I186" s="115" t="inlineStr">
        <is>
          <t>Arma/Armadura</t>
        </is>
      </c>
      <c r="J186" s="115" t="inlineStr">
        <is>
          <t>Forja</t>
        </is>
      </c>
    </row>
    <row r="187" ht="15" customHeight="1" s="116">
      <c r="A187" s="119" t="inlineStr">
        <is>
          <t>Tier 13 (Pacto Daédrico)</t>
        </is>
      </c>
      <c r="B187" s="119" t="inlineStr">
        <is>
          <t>Maça</t>
        </is>
      </c>
      <c r="C187" s="119" t="inlineStr">
        <is>
          <t>Veio do Pacto Abissal (3x)</t>
        </is>
      </c>
      <c r="D187" s="119" t="inlineStr">
        <is>
          <t>Madeira Sangrenta Amaldiçoada (2x)</t>
        </is>
      </c>
      <c r="E187" s="119" t="n">
        <v>240</v>
      </c>
      <c r="F187" s="119" t="inlineStr">
        <is>
          <t>Olho Preservado do Arauto (1x)</t>
        </is>
      </c>
      <c r="G187" s="119" t="n">
        <v>600</v>
      </c>
      <c r="H187" s="119" t="inlineStr">
        <is>
          <t>Azrael o Artífice do Vazio</t>
        </is>
      </c>
      <c r="I187" s="115" t="inlineStr">
        <is>
          <t>Arma/Armadura</t>
        </is>
      </c>
      <c r="J187" s="115" t="inlineStr">
        <is>
          <t>Forja</t>
        </is>
      </c>
    </row>
    <row r="188" ht="15" customHeight="1" s="116">
      <c r="A188" s="119" t="inlineStr">
        <is>
          <t>Tier 13 (Pacto Daédrico)</t>
        </is>
      </c>
      <c r="B188" s="119" t="inlineStr">
        <is>
          <t>Peitoral</t>
        </is>
      </c>
      <c r="C188" s="119" t="inlineStr">
        <is>
          <t>Veio do Pacto Abissal (3x)</t>
        </is>
      </c>
      <c r="D188" s="119" t="inlineStr">
        <is>
          <t>Presa Jovem de Devorador de Sacrifícios (2x)</t>
        </is>
      </c>
      <c r="E188" s="119" t="n">
        <v>240</v>
      </c>
      <c r="F188" s="119" t="inlineStr">
        <is>
          <t>Olho Preservado do Arauto (1x)</t>
        </is>
      </c>
      <c r="G188" s="119" t="n">
        <v>600</v>
      </c>
      <c r="H188" s="119" t="inlineStr">
        <is>
          <t>Azrael o Artífice do Vazio</t>
        </is>
      </c>
      <c r="I188" s="115" t="inlineStr">
        <is>
          <t>Arma/Armadura</t>
        </is>
      </c>
      <c r="J188" s="115" t="inlineStr">
        <is>
          <t>Forja</t>
        </is>
      </c>
    </row>
    <row r="189" ht="15" customHeight="1" s="116">
      <c r="A189" s="119" t="inlineStr">
        <is>
          <t>Tier 13 (Pacto Daédrico)</t>
        </is>
      </c>
      <c r="B189" s="119" t="inlineStr">
        <is>
          <t>Escudo</t>
        </is>
      </c>
      <c r="C189" s="119" t="inlineStr">
        <is>
          <t>Veio do Pacto Abissal (4x)</t>
        </is>
      </c>
      <c r="D189" s="119" t="inlineStr">
        <is>
          <t>Madeira Sangrenta Amaldiçoada (1x)</t>
        </is>
      </c>
      <c r="E189" s="119" t="n">
        <v>240</v>
      </c>
      <c r="F189" s="119" t="inlineStr">
        <is>
          <t>Olho Preservado do Arauto (1x)</t>
        </is>
      </c>
      <c r="G189" s="119" t="n">
        <v>600</v>
      </c>
      <c r="H189" s="119" t="inlineStr">
        <is>
          <t>Azrael o Artífice do Vazio</t>
        </is>
      </c>
      <c r="I189" s="115" t="inlineStr">
        <is>
          <t>Arma/Armadura</t>
        </is>
      </c>
      <c r="J189" s="115" t="inlineStr">
        <is>
          <t>Forja</t>
        </is>
      </c>
    </row>
    <row r="190" ht="15" customHeight="1" s="116">
      <c r="A190" s="119" t="inlineStr">
        <is>
          <t>Tier 13 (Pacto Daédrico)</t>
        </is>
      </c>
      <c r="B190" s="119" t="inlineStr">
        <is>
          <t>Elmo</t>
        </is>
      </c>
      <c r="C190" s="119" t="inlineStr">
        <is>
          <t>Veio do Pacto Abissal (2x)</t>
        </is>
      </c>
      <c r="D190" s="119" t="inlineStr">
        <is>
          <t>Presa Jovem de Devorador de Sacrifícios (1x)</t>
        </is>
      </c>
      <c r="E190" s="119" t="n">
        <v>240</v>
      </c>
      <c r="F190" s="119" t="inlineStr">
        <is>
          <t>Olho Preservado do Arauto (1x)</t>
        </is>
      </c>
      <c r="G190" s="119" t="n">
        <v>600</v>
      </c>
      <c r="H190" s="119" t="inlineStr">
        <is>
          <t>Azrael o Artífice do Vazio</t>
        </is>
      </c>
      <c r="I190" s="115" t="inlineStr">
        <is>
          <t>Arma/Armadura</t>
        </is>
      </c>
      <c r="J190" s="115" t="inlineStr">
        <is>
          <t>Forja</t>
        </is>
      </c>
    </row>
    <row r="191" ht="15" customHeight="1" s="116">
      <c r="A191" s="119" t="inlineStr">
        <is>
          <t>Tier 13 (Pacto Daédrico)</t>
        </is>
      </c>
      <c r="B191" s="119" t="inlineStr">
        <is>
          <t>Arco</t>
        </is>
      </c>
      <c r="C191" s="119" t="inlineStr">
        <is>
          <t>Madeira Sangrenta Amaldiçoada (3x)</t>
        </is>
      </c>
      <c r="D191" s="119" t="inlineStr">
        <is>
          <t>Presa Jovem de Devorador de Sacrifícios (1x)</t>
        </is>
      </c>
      <c r="E191" s="119" t="n">
        <v>240</v>
      </c>
      <c r="F191" s="119" t="inlineStr">
        <is>
          <t>Olho Preservado do Arauto (1x)</t>
        </is>
      </c>
      <c r="G191" s="119" t="n">
        <v>600</v>
      </c>
      <c r="H191" s="119" t="inlineStr">
        <is>
          <t>Azrael o Artífice do Vazio</t>
        </is>
      </c>
      <c r="I191" s="115" t="inlineStr">
        <is>
          <t>Arma/Armadura</t>
        </is>
      </c>
      <c r="J191" s="115" t="inlineStr">
        <is>
          <t>Forja</t>
        </is>
      </c>
    </row>
    <row r="192" ht="15" customHeight="1" s="116">
      <c r="A192" s="119" t="inlineStr">
        <is>
          <t>Tier 13 (Pacto Daédrico)</t>
        </is>
      </c>
      <c r="B192" s="119" t="inlineStr">
        <is>
          <t>Cetro</t>
        </is>
      </c>
      <c r="C192" s="119" t="inlineStr">
        <is>
          <t>Madeira Sangrenta Amaldiçoada (3x)</t>
        </is>
      </c>
      <c r="D192" s="119" t="inlineStr">
        <is>
          <t>Erva da Oferenda Sombria (1x)</t>
        </is>
      </c>
      <c r="E192" s="119" t="n">
        <v>240</v>
      </c>
      <c r="F192" s="119" t="inlineStr">
        <is>
          <t>Olho Preservado do Arauto (1x)</t>
        </is>
      </c>
      <c r="G192" s="119" t="n">
        <v>600</v>
      </c>
      <c r="H192" s="119" t="inlineStr">
        <is>
          <t>Azrael o Artífice do Vazio</t>
        </is>
      </c>
      <c r="I192" s="115" t="inlineStr">
        <is>
          <t>Arma/Armadura</t>
        </is>
      </c>
      <c r="J192" s="115" t="inlineStr">
        <is>
          <t>Forja</t>
        </is>
      </c>
    </row>
    <row r="193" ht="15" customHeight="1" s="116">
      <c r="A193" s="119" t="inlineStr">
        <is>
          <t>Tier 13 (Pacto Daédrico)</t>
        </is>
      </c>
      <c r="B193" s="119" t="inlineStr">
        <is>
          <t>Adaga</t>
        </is>
      </c>
      <c r="C193" s="119" t="inlineStr">
        <is>
          <t>Veio do Pacto Abissal (2x)</t>
        </is>
      </c>
      <c r="D193" s="119" t="inlineStr">
        <is>
          <t>Veio do Pacto Abissal (1x)</t>
        </is>
      </c>
      <c r="E193" s="119" t="n">
        <v>240</v>
      </c>
      <c r="F193" s="119" t="inlineStr">
        <is>
          <t>Olho Preservado do Arauto (1x)</t>
        </is>
      </c>
      <c r="G193" s="119" t="n">
        <v>600</v>
      </c>
      <c r="H193" s="119" t="inlineStr">
        <is>
          <t>Azrael o Artífice do Vazio</t>
        </is>
      </c>
      <c r="I193" s="115" t="inlineStr">
        <is>
          <t>Arma/Armadura</t>
        </is>
      </c>
      <c r="J193" s="115" t="inlineStr">
        <is>
          <t>Forja</t>
        </is>
      </c>
    </row>
    <row r="194" ht="15" customHeight="1" s="116">
      <c r="A194" s="119" t="inlineStr">
        <is>
          <t>Tier 13 (Pacto Daédrico)</t>
        </is>
      </c>
      <c r="B194" s="119" t="inlineStr">
        <is>
          <t>Manopla</t>
        </is>
      </c>
      <c r="C194" s="119" t="inlineStr">
        <is>
          <t>Presa Jovem de Devorador de Sacrifícios (2x)</t>
        </is>
      </c>
      <c r="D194" s="119" t="inlineStr">
        <is>
          <t>Veio do Pacto Abissal (1x)</t>
        </is>
      </c>
      <c r="E194" s="119" t="n">
        <v>240</v>
      </c>
      <c r="F194" s="119" t="inlineStr">
        <is>
          <t>Olho Preservado do Arauto (1x)</t>
        </is>
      </c>
      <c r="G194" s="119" t="n">
        <v>600</v>
      </c>
      <c r="H194" s="119" t="inlineStr">
        <is>
          <t>Azrael o Artífice do Vazio</t>
        </is>
      </c>
      <c r="I194" s="115" t="inlineStr">
        <is>
          <t>Arma/Armadura</t>
        </is>
      </c>
      <c r="J194" s="115" t="inlineStr">
        <is>
          <t>Forja</t>
        </is>
      </c>
    </row>
    <row r="195" ht="15" customHeight="1" s="116">
      <c r="A195" s="119" t="inlineStr">
        <is>
          <t>Tier 13 (Pacto Daédrico)</t>
        </is>
      </c>
      <c r="B195" s="119" t="inlineStr">
        <is>
          <t>Luvas</t>
        </is>
      </c>
      <c r="C195" s="119" t="inlineStr">
        <is>
          <t>Presa Jovem de Devorador de Sacrifícios (2x)</t>
        </is>
      </c>
      <c r="D195" s="119" t="inlineStr">
        <is>
          <t>Veio do Pacto Abissal (1x)</t>
        </is>
      </c>
      <c r="E195" s="119" t="n">
        <v>240</v>
      </c>
      <c r="F195" s="119" t="inlineStr">
        <is>
          <t>Olho Preservado do Arauto (1x)</t>
        </is>
      </c>
      <c r="G195" s="119" t="n">
        <v>600</v>
      </c>
      <c r="H195" s="119" t="inlineStr">
        <is>
          <t>Azrael o Artífice do Vazio</t>
        </is>
      </c>
      <c r="I195" s="115" t="inlineStr">
        <is>
          <t>Arma/Armadura</t>
        </is>
      </c>
      <c r="J195" s="115" t="inlineStr">
        <is>
          <t>Forja</t>
        </is>
      </c>
    </row>
    <row r="196" ht="15" customHeight="1" s="116">
      <c r="A196" s="119" t="inlineStr">
        <is>
          <t>Tier 13 (Pacto Daédrico)</t>
        </is>
      </c>
      <c r="B196" s="119" t="inlineStr">
        <is>
          <t>Bota</t>
        </is>
      </c>
      <c r="C196" s="119" t="inlineStr">
        <is>
          <t>Presa Jovem de Devorador de Sacrifícios (3x)</t>
        </is>
      </c>
      <c r="D196" s="119" t="inlineStr">
        <is>
          <t>Veio do Pacto Abissal (1x)</t>
        </is>
      </c>
      <c r="E196" s="119" t="n">
        <v>240</v>
      </c>
      <c r="F196" s="119" t="inlineStr">
        <is>
          <t>Olho Preservado do Arauto (1x)</t>
        </is>
      </c>
      <c r="G196" s="119" t="n">
        <v>600</v>
      </c>
      <c r="H196" s="119" t="inlineStr">
        <is>
          <t>Azrael o Artífice do Vazio</t>
        </is>
      </c>
      <c r="I196" s="115" t="inlineStr">
        <is>
          <t>Arma/Armadura</t>
        </is>
      </c>
      <c r="J196" s="115" t="inlineStr">
        <is>
          <t>Forja</t>
        </is>
      </c>
    </row>
    <row r="197" ht="15" customHeight="1" s="116">
      <c r="A197" s="119" t="inlineStr">
        <is>
          <t>Tier 13 (Pacto Daédrico)</t>
        </is>
      </c>
      <c r="B197" s="119" t="inlineStr">
        <is>
          <t>Calça</t>
        </is>
      </c>
      <c r="C197" s="119" t="inlineStr">
        <is>
          <t>Presa Jovem de Devorador de Sacrifícios (3x)</t>
        </is>
      </c>
      <c r="D197" s="119" t="inlineStr">
        <is>
          <t>Veio do Pacto Abissal (1x)</t>
        </is>
      </c>
      <c r="E197" s="119" t="n">
        <v>240</v>
      </c>
      <c r="F197" s="119" t="inlineStr">
        <is>
          <t>Olho Preservado do Arauto (1x)</t>
        </is>
      </c>
      <c r="G197" s="119" t="n">
        <v>600</v>
      </c>
      <c r="H197" s="119" t="inlineStr">
        <is>
          <t>Azrael o Artífice do Vazio</t>
        </is>
      </c>
      <c r="I197" s="115" t="inlineStr">
        <is>
          <t>Arma/Armadura</t>
        </is>
      </c>
      <c r="J197" s="115" t="inlineStr">
        <is>
          <t>Forja</t>
        </is>
      </c>
    </row>
    <row r="198" ht="15" customHeight="1" s="116">
      <c r="A198" s="119" t="inlineStr">
        <is>
          <t>Tier 13 (Pacto Daédrico)</t>
        </is>
      </c>
      <c r="B198" s="119" t="inlineStr">
        <is>
          <t>Amuleto</t>
        </is>
      </c>
      <c r="C198" s="119" t="inlineStr">
        <is>
          <t>Erva da Oferenda Sombria (2x)</t>
        </is>
      </c>
      <c r="D198" s="119" t="inlineStr">
        <is>
          <t>Veio do Pacto Abissal (1x)</t>
        </is>
      </c>
      <c r="E198" s="119" t="n">
        <v>240</v>
      </c>
      <c r="F198" s="119" t="inlineStr">
        <is>
          <t>Olho Preservado do Arauto (1x)</t>
        </is>
      </c>
      <c r="G198" s="119" t="n">
        <v>600</v>
      </c>
      <c r="H198" s="119" t="inlineStr">
        <is>
          <t>Azrael o Artífice do Vazio</t>
        </is>
      </c>
      <c r="I198" s="115" t="inlineStr">
        <is>
          <t>Arma/Armadura</t>
        </is>
      </c>
      <c r="J198" s="115" t="inlineStr">
        <is>
          <t>Forja</t>
        </is>
      </c>
    </row>
    <row r="199" ht="15" customHeight="1" s="116">
      <c r="A199" s="119" t="inlineStr">
        <is>
          <t>Tier 13 (Pacto Daédrico)</t>
        </is>
      </c>
      <c r="B199" s="119" t="inlineStr">
        <is>
          <t>Anel</t>
        </is>
      </c>
      <c r="C199" s="119" t="inlineStr">
        <is>
          <t>Erva da Oferenda Sombria (2x)</t>
        </is>
      </c>
      <c r="D199" s="119" t="inlineStr">
        <is>
          <t>Veio do Pacto Abissal (1x)</t>
        </is>
      </c>
      <c r="E199" s="119" t="n">
        <v>240</v>
      </c>
      <c r="F199" s="119" t="inlineStr">
        <is>
          <t>Olho Preservado do Arauto (1x)</t>
        </is>
      </c>
      <c r="G199" s="119" t="n">
        <v>600</v>
      </c>
      <c r="H199" s="119" t="inlineStr">
        <is>
          <t>Azrael o Artífice do Vazio</t>
        </is>
      </c>
      <c r="I199" s="115" t="inlineStr">
        <is>
          <t>Arma/Armadura</t>
        </is>
      </c>
      <c r="J199" s="115" t="inlineStr">
        <is>
          <t>Forja</t>
        </is>
      </c>
    </row>
    <row r="200" ht="15" customHeight="1" s="116">
      <c r="A200" s="119" t="inlineStr">
        <is>
          <t>Tier 14 (Estelar/Cósmico)</t>
        </is>
      </c>
      <c r="B200" s="119" t="inlineStr">
        <is>
          <t>Espada</t>
        </is>
      </c>
      <c r="C200" s="119" t="inlineStr">
        <is>
          <t>Minério Estelar / Poeira de Quasar (3x)</t>
        </is>
      </c>
      <c r="D200" s="119" t="inlineStr">
        <is>
          <t>Poeira de Fragmento Consciente (1x)</t>
        </is>
      </c>
      <c r="E200" s="119" t="n">
        <v>360</v>
      </c>
      <c r="F200" s="119" t="inlineStr">
        <is>
          <t>Centelha do Fim Inominável (1x)</t>
        </is>
      </c>
      <c r="G200" s="119" t="n">
        <v>900</v>
      </c>
      <c r="H200" s="119" t="inlineStr">
        <is>
          <t>Azrael o Artífice do Vazio</t>
        </is>
      </c>
      <c r="I200" s="115" t="inlineStr">
        <is>
          <t>Arma/Armadura</t>
        </is>
      </c>
      <c r="J200" s="115" t="inlineStr">
        <is>
          <t>Forja</t>
        </is>
      </c>
    </row>
    <row r="201" ht="15" customHeight="1" s="116">
      <c r="A201" s="119" t="inlineStr">
        <is>
          <t>Tier 14 (Estelar/Cósmico)</t>
        </is>
      </c>
      <c r="B201" s="119" t="inlineStr">
        <is>
          <t>Machado</t>
        </is>
      </c>
      <c r="C201" s="119" t="inlineStr">
        <is>
          <t>Minério Estelar / Poeira de Quasar (4x)</t>
        </is>
      </c>
      <c r="D201" s="119" t="inlineStr">
        <is>
          <t>Tronco Astral do Vazio (1x)</t>
        </is>
      </c>
      <c r="E201" s="119" t="n">
        <v>360</v>
      </c>
      <c r="F201" s="119" t="inlineStr">
        <is>
          <t>Centelha do Fim Inominável (1x)</t>
        </is>
      </c>
      <c r="G201" s="119" t="n">
        <v>900</v>
      </c>
      <c r="H201" s="119" t="inlineStr">
        <is>
          <t>Azrael o Artífice do Vazio</t>
        </is>
      </c>
      <c r="I201" s="115" t="inlineStr">
        <is>
          <t>Arma/Armadura</t>
        </is>
      </c>
      <c r="J201" s="115" t="inlineStr">
        <is>
          <t>Forja</t>
        </is>
      </c>
    </row>
    <row r="202" ht="15" customHeight="1" s="116">
      <c r="A202" s="119" t="inlineStr">
        <is>
          <t>Tier 14 (Estelar/Cósmico)</t>
        </is>
      </c>
      <c r="B202" s="119" t="inlineStr">
        <is>
          <t>Maça</t>
        </is>
      </c>
      <c r="C202" s="119" t="inlineStr">
        <is>
          <t>Minério Estelar / Poeira de Quasar (3x)</t>
        </is>
      </c>
      <c r="D202" s="119" t="inlineStr">
        <is>
          <t>Tronco Astral do Vazio (2x)</t>
        </is>
      </c>
      <c r="E202" s="119" t="n">
        <v>360</v>
      </c>
      <c r="F202" s="119" t="inlineStr">
        <is>
          <t>Centelha do Fim Inominável (1x)</t>
        </is>
      </c>
      <c r="G202" s="119" t="n">
        <v>900</v>
      </c>
      <c r="H202" s="119" t="inlineStr">
        <is>
          <t>Azrael o Artífice do Vazio</t>
        </is>
      </c>
      <c r="I202" s="115" t="inlineStr">
        <is>
          <t>Arma/Armadura</t>
        </is>
      </c>
      <c r="J202" s="115" t="inlineStr">
        <is>
          <t>Forja</t>
        </is>
      </c>
    </row>
    <row r="203" ht="15" customHeight="1" s="116">
      <c r="A203" s="119" t="inlineStr">
        <is>
          <t>Tier 14 (Estelar/Cósmico)</t>
        </is>
      </c>
      <c r="B203" s="119" t="inlineStr">
        <is>
          <t>Peitoral</t>
        </is>
      </c>
      <c r="C203" s="119" t="inlineStr">
        <is>
          <t>Minério Estelar / Poeira de Quasar (3x)</t>
        </is>
      </c>
      <c r="D203" s="119" t="inlineStr">
        <is>
          <t>Poeira de Fragmento Consciente (2x)</t>
        </is>
      </c>
      <c r="E203" s="119" t="n">
        <v>360</v>
      </c>
      <c r="F203" s="119" t="inlineStr">
        <is>
          <t>Centelha do Fim Inominável (1x)</t>
        </is>
      </c>
      <c r="G203" s="119" t="n">
        <v>900</v>
      </c>
      <c r="H203" s="119" t="inlineStr">
        <is>
          <t>Azrael o Artífice do Vazio</t>
        </is>
      </c>
      <c r="I203" s="115" t="inlineStr">
        <is>
          <t>Arma/Armadura</t>
        </is>
      </c>
      <c r="J203" s="115" t="inlineStr">
        <is>
          <t>Forja</t>
        </is>
      </c>
    </row>
    <row r="204" ht="15" customHeight="1" s="116">
      <c r="A204" s="119" t="inlineStr">
        <is>
          <t>Tier 14 (Estelar/Cósmico)</t>
        </is>
      </c>
      <c r="B204" s="119" t="inlineStr">
        <is>
          <t>Escudo</t>
        </is>
      </c>
      <c r="C204" s="119" t="inlineStr">
        <is>
          <t>Minério Estelar / Poeira de Quasar (4x)</t>
        </is>
      </c>
      <c r="D204" s="119" t="inlineStr">
        <is>
          <t>Tronco Astral do Vazio (1x)</t>
        </is>
      </c>
      <c r="E204" s="119" t="n">
        <v>360</v>
      </c>
      <c r="F204" s="119" t="inlineStr">
        <is>
          <t>Centelha do Fim Inominável (1x)</t>
        </is>
      </c>
      <c r="G204" s="119" t="n">
        <v>900</v>
      </c>
      <c r="H204" s="119" t="inlineStr">
        <is>
          <t>Azrael o Artífice do Vazio</t>
        </is>
      </c>
      <c r="I204" s="115" t="inlineStr">
        <is>
          <t>Arma/Armadura</t>
        </is>
      </c>
      <c r="J204" s="115" t="inlineStr">
        <is>
          <t>Forja</t>
        </is>
      </c>
    </row>
    <row r="205" ht="15" customHeight="1" s="116">
      <c r="A205" s="119" t="inlineStr">
        <is>
          <t>Tier 14 (Estelar/Cósmico)</t>
        </is>
      </c>
      <c r="B205" s="119" t="inlineStr">
        <is>
          <t>Elmo</t>
        </is>
      </c>
      <c r="C205" s="119" t="inlineStr">
        <is>
          <t>Minério Estelar / Poeira de Quasar (2x)</t>
        </is>
      </c>
      <c r="D205" s="119" t="inlineStr">
        <is>
          <t>Poeira de Fragmento Consciente (1x)</t>
        </is>
      </c>
      <c r="E205" s="119" t="n">
        <v>360</v>
      </c>
      <c r="F205" s="119" t="inlineStr">
        <is>
          <t>Centelha do Fim Inominável (1x)</t>
        </is>
      </c>
      <c r="G205" s="119" t="n">
        <v>900</v>
      </c>
      <c r="H205" s="119" t="inlineStr">
        <is>
          <t>Azrael o Artífice do Vazio</t>
        </is>
      </c>
      <c r="I205" s="115" t="inlineStr">
        <is>
          <t>Arma/Armadura</t>
        </is>
      </c>
      <c r="J205" s="115" t="inlineStr">
        <is>
          <t>Forja</t>
        </is>
      </c>
    </row>
    <row r="206" ht="15" customHeight="1" s="116">
      <c r="A206" s="119" t="inlineStr">
        <is>
          <t>Tier 14 (Estelar/Cósmico)</t>
        </is>
      </c>
      <c r="B206" s="119" t="inlineStr">
        <is>
          <t>Arco</t>
        </is>
      </c>
      <c r="C206" s="119" t="inlineStr">
        <is>
          <t>Tronco Astral do Vazio (3x)</t>
        </is>
      </c>
      <c r="D206" s="119" t="inlineStr">
        <is>
          <t>Poeira de Fragmento Consciente (1x)</t>
        </is>
      </c>
      <c r="E206" s="119" t="n">
        <v>360</v>
      </c>
      <c r="F206" s="119" t="inlineStr">
        <is>
          <t>Centelha do Fim Inominável (1x)</t>
        </is>
      </c>
      <c r="G206" s="119" t="n">
        <v>900</v>
      </c>
      <c r="H206" s="119" t="inlineStr">
        <is>
          <t>Azrael o Artífice do Vazio</t>
        </is>
      </c>
      <c r="I206" s="115" t="inlineStr">
        <is>
          <t>Arma/Armadura</t>
        </is>
      </c>
      <c r="J206" s="115" t="inlineStr">
        <is>
          <t>Forja</t>
        </is>
      </c>
    </row>
    <row r="207" ht="15" customHeight="1" s="116">
      <c r="A207" s="119" t="inlineStr">
        <is>
          <t>Tier 14 (Estelar/Cósmico)</t>
        </is>
      </c>
      <c r="B207" s="119" t="inlineStr">
        <is>
          <t>Cetro</t>
        </is>
      </c>
      <c r="C207" s="119" t="inlineStr">
        <is>
          <t>Tronco Astral do Vazio (3x)</t>
        </is>
      </c>
      <c r="D207" s="119" t="inlineStr">
        <is>
          <t>Lótus Cósmica do Fim dos Tempos (1x)</t>
        </is>
      </c>
      <c r="E207" s="119" t="n">
        <v>360</v>
      </c>
      <c r="F207" s="119" t="inlineStr">
        <is>
          <t>Centelha do Fim Inominável (1x)</t>
        </is>
      </c>
      <c r="G207" s="119" t="n">
        <v>900</v>
      </c>
      <c r="H207" s="119" t="inlineStr">
        <is>
          <t>Azrael o Artífice do Vazio</t>
        </is>
      </c>
      <c r="I207" s="115" t="inlineStr">
        <is>
          <t>Arma/Armadura</t>
        </is>
      </c>
      <c r="J207" s="115" t="inlineStr">
        <is>
          <t>Forja</t>
        </is>
      </c>
    </row>
    <row r="208" ht="15" customHeight="1" s="116">
      <c r="A208" s="119" t="inlineStr">
        <is>
          <t>Tier 14 (Estelar/Cósmico)</t>
        </is>
      </c>
      <c r="B208" s="119" t="inlineStr">
        <is>
          <t>Adaga</t>
        </is>
      </c>
      <c r="C208" s="119" t="inlineStr">
        <is>
          <t>Minério Estelar / Poeira de Quasar (2x)</t>
        </is>
      </c>
      <c r="D208" s="119" t="inlineStr">
        <is>
          <t>Minério Estelar / Poeira de Quasar (1x)</t>
        </is>
      </c>
      <c r="E208" s="119" t="n">
        <v>360</v>
      </c>
      <c r="F208" s="119" t="inlineStr">
        <is>
          <t>Centelha do Fim Inominável (1x)</t>
        </is>
      </c>
      <c r="G208" s="119" t="n">
        <v>900</v>
      </c>
      <c r="H208" s="119" t="inlineStr">
        <is>
          <t>Azrael o Artífice do Vazio</t>
        </is>
      </c>
      <c r="I208" s="115" t="inlineStr">
        <is>
          <t>Arma/Armadura</t>
        </is>
      </c>
      <c r="J208" s="115" t="inlineStr">
        <is>
          <t>Forja</t>
        </is>
      </c>
    </row>
    <row r="209" ht="15" customHeight="1" s="116">
      <c r="A209" s="119" t="inlineStr">
        <is>
          <t>Tier 14 (Estelar/Cósmico)</t>
        </is>
      </c>
      <c r="B209" s="119" t="inlineStr">
        <is>
          <t>Manopla</t>
        </is>
      </c>
      <c r="C209" s="119" t="inlineStr">
        <is>
          <t>Poeira de Fragmento Consciente (2x)</t>
        </is>
      </c>
      <c r="D209" s="119" t="inlineStr">
        <is>
          <t>Minério Estelar / Poeira de Quasar (1x)</t>
        </is>
      </c>
      <c r="E209" s="119" t="n">
        <v>360</v>
      </c>
      <c r="F209" s="119" t="inlineStr">
        <is>
          <t>Centelha do Fim Inominável (1x)</t>
        </is>
      </c>
      <c r="G209" s="119" t="n">
        <v>900</v>
      </c>
      <c r="H209" s="119" t="inlineStr">
        <is>
          <t>Azrael o Artífice do Vazio</t>
        </is>
      </c>
      <c r="I209" s="115" t="inlineStr">
        <is>
          <t>Arma/Armadura</t>
        </is>
      </c>
      <c r="J209" s="115" t="inlineStr">
        <is>
          <t>Forja</t>
        </is>
      </c>
    </row>
    <row r="210" ht="15" customHeight="1" s="116">
      <c r="A210" s="119" t="inlineStr">
        <is>
          <t>Tier 14 (Estelar/Cósmico)</t>
        </is>
      </c>
      <c r="B210" s="119" t="inlineStr">
        <is>
          <t>Luvas</t>
        </is>
      </c>
      <c r="C210" s="119" t="inlineStr">
        <is>
          <t>Poeira de Fragmento Consciente (2x)</t>
        </is>
      </c>
      <c r="D210" s="119" t="inlineStr">
        <is>
          <t>Minério Estelar / Poeira de Quasar (1x)</t>
        </is>
      </c>
      <c r="E210" s="119" t="n">
        <v>360</v>
      </c>
      <c r="F210" s="119" t="inlineStr">
        <is>
          <t>Centelha do Fim Inominável (1x)</t>
        </is>
      </c>
      <c r="G210" s="119" t="n">
        <v>900</v>
      </c>
      <c r="H210" s="119" t="inlineStr">
        <is>
          <t>Azrael o Artífice do Vazio</t>
        </is>
      </c>
      <c r="I210" s="115" t="inlineStr">
        <is>
          <t>Arma/Armadura</t>
        </is>
      </c>
      <c r="J210" s="115" t="inlineStr">
        <is>
          <t>Forja</t>
        </is>
      </c>
    </row>
    <row r="211" ht="15" customHeight="1" s="116">
      <c r="A211" s="119" t="inlineStr">
        <is>
          <t>Tier 14 (Estelar/Cósmico)</t>
        </is>
      </c>
      <c r="B211" s="119" t="inlineStr">
        <is>
          <t>Bota</t>
        </is>
      </c>
      <c r="C211" s="119" t="inlineStr">
        <is>
          <t>Poeira de Fragmento Consciente (3x)</t>
        </is>
      </c>
      <c r="D211" s="119" t="inlineStr">
        <is>
          <t>Minério Estelar / Poeira de Quasar (1x)</t>
        </is>
      </c>
      <c r="E211" s="119" t="n">
        <v>360</v>
      </c>
      <c r="F211" s="119" t="inlineStr">
        <is>
          <t>Centelha do Fim Inominável (1x)</t>
        </is>
      </c>
      <c r="G211" s="119" t="n">
        <v>900</v>
      </c>
      <c r="H211" s="119" t="inlineStr">
        <is>
          <t>Azrael o Artífice do Vazio</t>
        </is>
      </c>
      <c r="I211" s="115" t="inlineStr">
        <is>
          <t>Arma/Armadura</t>
        </is>
      </c>
      <c r="J211" s="115" t="inlineStr">
        <is>
          <t>Forja</t>
        </is>
      </c>
    </row>
    <row r="212" ht="15" customHeight="1" s="116">
      <c r="A212" s="119" t="inlineStr">
        <is>
          <t>Tier 14 (Estelar/Cósmico)</t>
        </is>
      </c>
      <c r="B212" s="119" t="inlineStr">
        <is>
          <t>Calça</t>
        </is>
      </c>
      <c r="C212" s="119" t="inlineStr">
        <is>
          <t>Poeira de Fragmento Consciente (3x)</t>
        </is>
      </c>
      <c r="D212" s="119" t="inlineStr">
        <is>
          <t>Minério Estelar / Poeira de Quasar (1x)</t>
        </is>
      </c>
      <c r="E212" s="119" t="n">
        <v>360</v>
      </c>
      <c r="F212" s="119" t="inlineStr">
        <is>
          <t>Centelha do Fim Inominável (1x)</t>
        </is>
      </c>
      <c r="G212" s="119" t="n">
        <v>900</v>
      </c>
      <c r="H212" s="119" t="inlineStr">
        <is>
          <t>Azrael o Artífice do Vazio</t>
        </is>
      </c>
      <c r="I212" s="115" t="inlineStr">
        <is>
          <t>Arma/Armadura</t>
        </is>
      </c>
      <c r="J212" s="115" t="inlineStr">
        <is>
          <t>Forja</t>
        </is>
      </c>
    </row>
    <row r="213" ht="15" customHeight="1" s="116">
      <c r="A213" s="119" t="inlineStr">
        <is>
          <t>Tier 14 (Estelar/Cósmico)</t>
        </is>
      </c>
      <c r="B213" s="119" t="inlineStr">
        <is>
          <t>Amuleto</t>
        </is>
      </c>
      <c r="C213" s="119" t="inlineStr">
        <is>
          <t>Lótus Cósmica do Fim dos Tempos (2x)</t>
        </is>
      </c>
      <c r="D213" s="119" t="inlineStr">
        <is>
          <t>Minério Estelar / Poeira de Quasar (1x)</t>
        </is>
      </c>
      <c r="E213" s="119" t="n">
        <v>360</v>
      </c>
      <c r="F213" s="119" t="inlineStr">
        <is>
          <t>Centelha do Fim Inominável (1x)</t>
        </is>
      </c>
      <c r="G213" s="119" t="n">
        <v>900</v>
      </c>
      <c r="H213" s="119" t="inlineStr">
        <is>
          <t>Azrael o Artífice do Vazio</t>
        </is>
      </c>
      <c r="I213" s="115" t="inlineStr">
        <is>
          <t>Arma/Armadura</t>
        </is>
      </c>
      <c r="J213" s="115" t="inlineStr">
        <is>
          <t>Forja</t>
        </is>
      </c>
    </row>
    <row r="214" ht="15" customHeight="1" s="116">
      <c r="A214" s="119" t="inlineStr">
        <is>
          <t>Tier 14 (Estelar/Cósmico)</t>
        </is>
      </c>
      <c r="B214" s="119" t="inlineStr">
        <is>
          <t>Anel</t>
        </is>
      </c>
      <c r="C214" s="119" t="inlineStr">
        <is>
          <t>Lótus Cósmica do Fim dos Tempos (2x)</t>
        </is>
      </c>
      <c r="D214" s="119" t="inlineStr">
        <is>
          <t>Minério Estelar / Poeira de Quasar (1x)</t>
        </is>
      </c>
      <c r="E214" s="119" t="n">
        <v>360</v>
      </c>
      <c r="F214" s="119" t="inlineStr">
        <is>
          <t>Centelha do Fim Inominável (1x)</t>
        </is>
      </c>
      <c r="G214" s="119" t="n">
        <v>900</v>
      </c>
      <c r="H214" s="119" t="inlineStr">
        <is>
          <t>Azrael o Artífice do Vazio</t>
        </is>
      </c>
      <c r="I214" s="115" t="inlineStr">
        <is>
          <t>Arma/Armadura</t>
        </is>
      </c>
      <c r="J214" s="115" t="inlineStr">
        <is>
          <t>Forja</t>
        </is>
      </c>
    </row>
    <row r="216" ht="15" customHeight="1" s="116">
      <c r="A216" s="231" t="inlineStr">
        <is>
          <t>Nota — Tiers 13 e 14: Nível 4 (receita de quest) exige também 1x Componente Raro (Sangue Selado dos Dez / Fragmento do Véu Traído / Poeira de Matéria Impossível / Eco do Último Fiel / Centelha Fragmentada — ver Recursos Naturais), além dos materiais acima.</t>
        </is>
      </c>
    </row>
    <row r="220" ht="15" customHeight="1" s="116">
      <c r="A220" s="119" t="inlineStr">
        <is>
          <t>Tier 1 (Sucata Enferrujada)</t>
        </is>
      </c>
      <c r="B220" s="119" t="inlineStr">
        <is>
          <t>Picareta</t>
        </is>
      </c>
      <c r="C220" s="119" t="inlineStr">
        <is>
          <t>1x Sucata Retorcida</t>
        </is>
      </c>
      <c r="D220" s="119" t="inlineStr">
        <is>
          <t>Coleta até Tier 1</t>
        </is>
      </c>
      <c r="E220" s="119" t="n">
        <v>1</v>
      </c>
      <c r="F220" s="119" t="inlineStr">
        <is>
          <t>Picareta de Sucata Enferrujada</t>
        </is>
      </c>
      <c r="G220" s="119" t="n">
        <v>7</v>
      </c>
      <c r="H220" s="119" t="inlineStr">
        <is>
          <t>Qualquer ferreiro da cidade do tier</t>
        </is>
      </c>
      <c r="I220" s="119" t="inlineStr">
        <is>
          <t>Ferramenta de Coleta</t>
        </is>
      </c>
      <c r="J220" s="119" t="inlineStr">
        <is>
          <t>Forja</t>
        </is>
      </c>
    </row>
    <row r="221" ht="15" customHeight="1" s="116">
      <c r="A221" s="119" t="inlineStr">
        <is>
          <t>Tier 1 (Sucata Enferrujada)</t>
        </is>
      </c>
      <c r="B221" s="119" t="inlineStr">
        <is>
          <t>Picareta</t>
        </is>
      </c>
      <c r="C221" s="119" t="inlineStr">
        <is>
          <t>1x Sucata Retorcida + 1x Couro Áspero de Javali</t>
        </is>
      </c>
      <c r="D221" s="119" t="inlineStr">
        <is>
          <t>Coleta até Tier 1 | +15% chance de minério extra</t>
        </is>
      </c>
      <c r="E221" s="119" t="n">
        <v>1</v>
      </c>
      <c r="F221" s="119" t="inlineStr">
        <is>
          <t>Picareta Refinada de Sucata Enferrujada</t>
        </is>
      </c>
      <c r="G221" s="119" t="n">
        <v>7</v>
      </c>
      <c r="H221" s="119" t="inlineStr">
        <is>
          <t>Qualquer ferreiro da cidade do tier</t>
        </is>
      </c>
      <c r="I221" s="119" t="inlineStr">
        <is>
          <t>Ferramenta de Coleta</t>
        </is>
      </c>
      <c r="J221" s="119" t="inlineStr">
        <is>
          <t>Forja</t>
        </is>
      </c>
    </row>
    <row r="222" ht="15" customHeight="1" s="116">
      <c r="A222" s="119" t="inlineStr">
        <is>
          <t>Tier 1 (Sucata Enferrujada)</t>
        </is>
      </c>
      <c r="B222" s="119" t="inlineStr">
        <is>
          <t>Machado</t>
        </is>
      </c>
      <c r="C222" s="119" t="inlineStr">
        <is>
          <t>1x Carvalho Ressequido</t>
        </is>
      </c>
      <c r="D222" s="119" t="inlineStr">
        <is>
          <t>Coleta até Tier 1</t>
        </is>
      </c>
      <c r="E222" s="119" t="n">
        <v>1</v>
      </c>
      <c r="F222" s="119" t="inlineStr">
        <is>
          <t>Machado de Lenhador de Sucata Enferrujada</t>
        </is>
      </c>
      <c r="G222" s="119" t="n">
        <v>7</v>
      </c>
      <c r="H222" s="119" t="inlineStr">
        <is>
          <t>Qualquer ferreiro da cidade do tier</t>
        </is>
      </c>
      <c r="I222" s="119" t="inlineStr">
        <is>
          <t>Ferramenta de Coleta</t>
        </is>
      </c>
      <c r="J222" s="119" t="inlineStr">
        <is>
          <t>Forja</t>
        </is>
      </c>
    </row>
    <row r="223" ht="15" customHeight="1" s="116">
      <c r="A223" s="119" t="inlineStr">
        <is>
          <t>Tier 1 (Sucata Enferrujada)</t>
        </is>
      </c>
      <c r="B223" s="119" t="inlineStr">
        <is>
          <t>Machado</t>
        </is>
      </c>
      <c r="C223" s="119" t="inlineStr">
        <is>
          <t>1x Carvalho Ressequido + 1x Couro Áspero de Javali</t>
        </is>
      </c>
      <c r="D223" s="119" t="inlineStr">
        <is>
          <t>Coleta até Tier 1 | +15% chance de madeira extra</t>
        </is>
      </c>
      <c r="E223" s="119" t="n">
        <v>1</v>
      </c>
      <c r="F223" s="119" t="inlineStr">
        <is>
          <t>Machado de Lenhador Refinado de Sucata Enferrujada</t>
        </is>
      </c>
      <c r="G223" s="119" t="n">
        <v>7</v>
      </c>
      <c r="H223" s="119" t="inlineStr">
        <is>
          <t>Qualquer ferreiro da cidade do tier</t>
        </is>
      </c>
      <c r="I223" s="119" t="inlineStr">
        <is>
          <t>Ferramenta de Coleta</t>
        </is>
      </c>
      <c r="J223" s="119" t="inlineStr">
        <is>
          <t>Forja</t>
        </is>
      </c>
    </row>
    <row r="224" ht="15" customHeight="1" s="116">
      <c r="A224" s="119" t="inlineStr">
        <is>
          <t>Tier 1 (Sucata Enferrujada)</t>
        </is>
      </c>
      <c r="B224" s="119" t="inlineStr">
        <is>
          <t>Faca</t>
        </is>
      </c>
      <c r="C224" s="119" t="inlineStr">
        <is>
          <t>1x Raiz de Sangue-Seco</t>
        </is>
      </c>
      <c r="D224" s="119" t="inlineStr">
        <is>
          <t>Coleta até Tier 1</t>
        </is>
      </c>
      <c r="E224" s="119" t="n">
        <v>1</v>
      </c>
      <c r="F224" s="119" t="inlineStr">
        <is>
          <t>Faca de Esfolar de Sucata Enferrujada</t>
        </is>
      </c>
      <c r="G224" s="119" t="n">
        <v>7</v>
      </c>
      <c r="H224" s="119" t="inlineStr">
        <is>
          <t>Qualquer ferreiro da cidade do tier</t>
        </is>
      </c>
      <c r="I224" s="119" t="inlineStr">
        <is>
          <t>Ferramenta de Coleta</t>
        </is>
      </c>
      <c r="J224" s="119" t="inlineStr">
        <is>
          <t>Forja</t>
        </is>
      </c>
    </row>
    <row r="225" ht="15" customHeight="1" s="116">
      <c r="A225" s="119" t="inlineStr">
        <is>
          <t>Tier 1 (Sucata Enferrujada)</t>
        </is>
      </c>
      <c r="B225" s="119" t="inlineStr">
        <is>
          <t>Faca</t>
        </is>
      </c>
      <c r="C225" s="119" t="inlineStr">
        <is>
          <t>1x Raiz de Sangue-Seco + 1x Couro Áspero de Javali</t>
        </is>
      </c>
      <c r="D225" s="119" t="inlineStr">
        <is>
          <t>Coleta até Tier 1 | +15% chance de essência extra</t>
        </is>
      </c>
      <c r="E225" s="119" t="n">
        <v>1</v>
      </c>
      <c r="F225" s="119" t="inlineStr">
        <is>
          <t>Faca de Esfolar Refinada de Sucata Enferrujada</t>
        </is>
      </c>
      <c r="G225" s="119" t="n">
        <v>7</v>
      </c>
      <c r="H225" s="119" t="inlineStr">
        <is>
          <t>Qualquer ferreiro da cidade do tier</t>
        </is>
      </c>
      <c r="I225" s="119" t="inlineStr">
        <is>
          <t>Ferramenta de Coleta</t>
        </is>
      </c>
      <c r="J225" s="119" t="inlineStr">
        <is>
          <t>Forja</t>
        </is>
      </c>
    </row>
    <row r="226" ht="15" customHeight="1" s="116">
      <c r="A226" s="119" t="inlineStr">
        <is>
          <t>Tier 2 (Bronze)</t>
        </is>
      </c>
      <c r="B226" s="119" t="inlineStr">
        <is>
          <t>Picareta</t>
        </is>
      </c>
      <c r="C226" s="119" t="inlineStr">
        <is>
          <t>1x Minério de Bronze Sulfuroso</t>
        </is>
      </c>
      <c r="D226" s="119" t="inlineStr">
        <is>
          <t>Coleta até Tier 2</t>
        </is>
      </c>
      <c r="E226" s="119" t="n">
        <v>2</v>
      </c>
      <c r="F226" s="119" t="inlineStr">
        <is>
          <t>Picareta de Bronze</t>
        </is>
      </c>
      <c r="G226" s="119" t="n">
        <v>8</v>
      </c>
      <c r="H226" s="119" t="inlineStr">
        <is>
          <t>Qualquer ferreiro da cidade do tier</t>
        </is>
      </c>
      <c r="I226" s="119" t="inlineStr">
        <is>
          <t>Ferramenta de Coleta</t>
        </is>
      </c>
      <c r="J226" s="119" t="inlineStr">
        <is>
          <t>Forja</t>
        </is>
      </c>
    </row>
    <row r="227" ht="15" customHeight="1" s="116">
      <c r="A227" s="119" t="inlineStr">
        <is>
          <t>Tier 2 (Bronze)</t>
        </is>
      </c>
      <c r="B227" s="119" t="inlineStr">
        <is>
          <t>Picareta</t>
        </is>
      </c>
      <c r="C227" s="119" t="inlineStr">
        <is>
          <t>1x Minério de Bronze Sulfuroso + 1x Quitina de Aranha das Cavernas</t>
        </is>
      </c>
      <c r="D227" s="119" t="inlineStr">
        <is>
          <t>Coleta até Tier 2 | +15% chance de minério extra</t>
        </is>
      </c>
      <c r="E227" s="119" t="n">
        <v>2</v>
      </c>
      <c r="F227" s="119" t="inlineStr">
        <is>
          <t>Picareta Refinada de Bronze</t>
        </is>
      </c>
      <c r="G227" s="119" t="n">
        <v>8</v>
      </c>
      <c r="H227" s="119" t="inlineStr">
        <is>
          <t>Qualquer ferreiro da cidade do tier</t>
        </is>
      </c>
      <c r="I227" s="119" t="inlineStr">
        <is>
          <t>Ferramenta de Coleta</t>
        </is>
      </c>
      <c r="J227" s="119" t="inlineStr">
        <is>
          <t>Forja</t>
        </is>
      </c>
    </row>
    <row r="228" ht="15" customHeight="1" s="116">
      <c r="A228" s="119" t="inlineStr">
        <is>
          <t>Tier 2 (Bronze)</t>
        </is>
      </c>
      <c r="B228" s="119" t="inlineStr">
        <is>
          <t>Machado</t>
        </is>
      </c>
      <c r="C228" s="119" t="inlineStr">
        <is>
          <t>1x Pinheiro da Mina</t>
        </is>
      </c>
      <c r="D228" s="119" t="inlineStr">
        <is>
          <t>Coleta até Tier 2</t>
        </is>
      </c>
      <c r="E228" s="119" t="n">
        <v>2</v>
      </c>
      <c r="F228" s="119" t="inlineStr">
        <is>
          <t>Machado de Lenhador de Bronze</t>
        </is>
      </c>
      <c r="G228" s="119" t="n">
        <v>8</v>
      </c>
      <c r="H228" s="119" t="inlineStr">
        <is>
          <t>Qualquer ferreiro da cidade do tier</t>
        </is>
      </c>
      <c r="I228" s="119" t="inlineStr">
        <is>
          <t>Ferramenta de Coleta</t>
        </is>
      </c>
      <c r="J228" s="119" t="inlineStr">
        <is>
          <t>Forja</t>
        </is>
      </c>
    </row>
    <row r="229" ht="15" customHeight="1" s="116">
      <c r="A229" s="119" t="inlineStr">
        <is>
          <t>Tier 2 (Bronze)</t>
        </is>
      </c>
      <c r="B229" s="119" t="inlineStr">
        <is>
          <t>Machado</t>
        </is>
      </c>
      <c r="C229" s="119" t="inlineStr">
        <is>
          <t>1x Pinheiro da Mina + 1x Quitina de Aranha das Cavernas</t>
        </is>
      </c>
      <c r="D229" s="119" t="inlineStr">
        <is>
          <t>Coleta até Tier 2 | +15% chance de madeira extra</t>
        </is>
      </c>
      <c r="E229" s="119" t="n">
        <v>2</v>
      </c>
      <c r="F229" s="119" t="inlineStr">
        <is>
          <t>Machado de Lenhador Refinado de Bronze</t>
        </is>
      </c>
      <c r="G229" s="119" t="n">
        <v>8</v>
      </c>
      <c r="H229" s="119" t="inlineStr">
        <is>
          <t>Qualquer ferreiro da cidade do tier</t>
        </is>
      </c>
      <c r="I229" s="119" t="inlineStr">
        <is>
          <t>Ferramenta de Coleta</t>
        </is>
      </c>
      <c r="J229" s="119" t="inlineStr">
        <is>
          <t>Forja</t>
        </is>
      </c>
    </row>
    <row r="230" ht="15" customHeight="1" s="116">
      <c r="A230" s="119" t="inlineStr">
        <is>
          <t>Tier 2 (Bronze)</t>
        </is>
      </c>
      <c r="B230" s="119" t="inlineStr">
        <is>
          <t>Faca</t>
        </is>
      </c>
      <c r="C230" s="119" t="inlineStr">
        <is>
          <t>1x Cogumelo do Escuro</t>
        </is>
      </c>
      <c r="D230" s="119" t="inlineStr">
        <is>
          <t>Coleta até Tier 2</t>
        </is>
      </c>
      <c r="E230" s="119" t="n">
        <v>2</v>
      </c>
      <c r="F230" s="119" t="inlineStr">
        <is>
          <t>Faca de Esfolar de Bronze</t>
        </is>
      </c>
      <c r="G230" s="119" t="n">
        <v>8</v>
      </c>
      <c r="H230" s="119" t="inlineStr">
        <is>
          <t>Qualquer ferreiro da cidade do tier</t>
        </is>
      </c>
      <c r="I230" s="119" t="inlineStr">
        <is>
          <t>Ferramenta de Coleta</t>
        </is>
      </c>
      <c r="J230" s="119" t="inlineStr">
        <is>
          <t>Forja</t>
        </is>
      </c>
    </row>
    <row r="231" ht="15" customHeight="1" s="116">
      <c r="A231" s="119" t="inlineStr">
        <is>
          <t>Tier 2 (Bronze)</t>
        </is>
      </c>
      <c r="B231" s="119" t="inlineStr">
        <is>
          <t>Faca</t>
        </is>
      </c>
      <c r="C231" s="119" t="inlineStr">
        <is>
          <t>1x Cogumelo do Escuro + 1x Quitina de Aranha das Cavernas</t>
        </is>
      </c>
      <c r="D231" s="119" t="inlineStr">
        <is>
          <t>Coleta até Tier 2 | +15% chance de essência extra</t>
        </is>
      </c>
      <c r="E231" s="119" t="n">
        <v>2</v>
      </c>
      <c r="F231" s="119" t="inlineStr">
        <is>
          <t>Faca de Esfolar Refinada de Bronze</t>
        </is>
      </c>
      <c r="G231" s="119" t="n">
        <v>8</v>
      </c>
      <c r="H231" s="119" t="inlineStr">
        <is>
          <t>Qualquer ferreiro da cidade do tier</t>
        </is>
      </c>
      <c r="I231" s="119" t="inlineStr">
        <is>
          <t>Ferramenta de Coleta</t>
        </is>
      </c>
      <c r="J231" s="119" t="inlineStr">
        <is>
          <t>Forja</t>
        </is>
      </c>
    </row>
    <row r="232" ht="15" customHeight="1" s="116">
      <c r="A232" s="119" t="inlineStr">
        <is>
          <t>Tier 3 (Ferro)</t>
        </is>
      </c>
      <c r="B232" s="119" t="inlineStr">
        <is>
          <t>Picareta</t>
        </is>
      </c>
      <c r="C232" s="119" t="inlineStr">
        <is>
          <t>1x Veio de Ferro Negro</t>
        </is>
      </c>
      <c r="D232" s="119" t="inlineStr">
        <is>
          <t>Coleta até Tier 3</t>
        </is>
      </c>
      <c r="E232" s="119" t="n">
        <v>4</v>
      </c>
      <c r="F232" s="119" t="inlineStr">
        <is>
          <t>Picareta de Ferro</t>
        </is>
      </c>
      <c r="G232" s="119" t="n">
        <v>11</v>
      </c>
      <c r="H232" s="119" t="inlineStr">
        <is>
          <t>Qualquer ferreiro da cidade do tier</t>
        </is>
      </c>
      <c r="I232" s="119" t="inlineStr">
        <is>
          <t>Ferramenta de Coleta</t>
        </is>
      </c>
      <c r="J232" s="119" t="inlineStr">
        <is>
          <t>Forja</t>
        </is>
      </c>
    </row>
    <row r="233" ht="15" customHeight="1" s="116">
      <c r="A233" s="119" t="inlineStr">
        <is>
          <t>Tier 3 (Ferro)</t>
        </is>
      </c>
      <c r="B233" s="119" t="inlineStr">
        <is>
          <t>Picareta</t>
        </is>
      </c>
      <c r="C233" s="119" t="inlineStr">
        <is>
          <t>1x Veio de Ferro Negro + 1x Fragmento de Golem Corrompido</t>
        </is>
      </c>
      <c r="D233" s="119" t="inlineStr">
        <is>
          <t>Coleta até Tier 3 | +15% chance de minério extra</t>
        </is>
      </c>
      <c r="E233" s="119" t="n">
        <v>4</v>
      </c>
      <c r="F233" s="119" t="inlineStr">
        <is>
          <t>Picareta Refinada de Ferro</t>
        </is>
      </c>
      <c r="G233" s="119" t="n">
        <v>11</v>
      </c>
      <c r="H233" s="119" t="inlineStr">
        <is>
          <t>Qualquer ferreiro da cidade do tier</t>
        </is>
      </c>
      <c r="I233" s="119" t="inlineStr">
        <is>
          <t>Ferramenta de Coleta</t>
        </is>
      </c>
      <c r="J233" s="119" t="inlineStr">
        <is>
          <t>Forja</t>
        </is>
      </c>
    </row>
    <row r="234" ht="15" customHeight="1" s="116">
      <c r="A234" s="119" t="inlineStr">
        <is>
          <t>Tier 3 (Ferro)</t>
        </is>
      </c>
      <c r="B234" s="119" t="inlineStr">
        <is>
          <t>Machado</t>
        </is>
      </c>
      <c r="C234" s="119" t="inlineStr">
        <is>
          <t>1x Freixo das Ruínas</t>
        </is>
      </c>
      <c r="D234" s="119" t="inlineStr">
        <is>
          <t>Coleta até Tier 3</t>
        </is>
      </c>
      <c r="E234" s="119" t="n">
        <v>4</v>
      </c>
      <c r="F234" s="119" t="inlineStr">
        <is>
          <t>Machado de Lenhador de Ferro</t>
        </is>
      </c>
      <c r="G234" s="119" t="n">
        <v>11</v>
      </c>
      <c r="H234" s="119" t="inlineStr">
        <is>
          <t>Qualquer ferreiro da cidade do tier</t>
        </is>
      </c>
      <c r="I234" s="119" t="inlineStr">
        <is>
          <t>Ferramenta de Coleta</t>
        </is>
      </c>
      <c r="J234" s="119" t="inlineStr">
        <is>
          <t>Forja</t>
        </is>
      </c>
    </row>
    <row r="235" ht="15" customHeight="1" s="116">
      <c r="A235" s="119" t="inlineStr">
        <is>
          <t>Tier 3 (Ferro)</t>
        </is>
      </c>
      <c r="B235" s="119" t="inlineStr">
        <is>
          <t>Machado</t>
        </is>
      </c>
      <c r="C235" s="119" t="inlineStr">
        <is>
          <t>1x Freixo das Ruínas + 1x Pão Roubado do Acólito</t>
        </is>
      </c>
      <c r="D235" s="119" t="inlineStr">
        <is>
          <t>Coleta até Tier 3 | +15% chance de madeira extra</t>
        </is>
      </c>
      <c r="E235" s="119" t="n">
        <v>4</v>
      </c>
      <c r="F235" s="119" t="inlineStr">
        <is>
          <t>Machado de Lenhador Refinado de Ferro</t>
        </is>
      </c>
      <c r="G235" s="119" t="n">
        <v>11</v>
      </c>
      <c r="H235" s="119" t="inlineStr">
        <is>
          <t>Qualquer ferreiro da cidade do tier</t>
        </is>
      </c>
      <c r="I235" s="119" t="inlineStr">
        <is>
          <t>Ferramenta de Coleta</t>
        </is>
      </c>
      <c r="J235" s="119" t="inlineStr">
        <is>
          <t>Forja</t>
        </is>
      </c>
    </row>
    <row r="236" ht="15" customHeight="1" s="116">
      <c r="A236" s="119" t="inlineStr">
        <is>
          <t>Tier 3 (Ferro)</t>
        </is>
      </c>
      <c r="B236" s="119" t="inlineStr">
        <is>
          <t>Faca</t>
        </is>
      </c>
      <c r="C236" s="119" t="inlineStr">
        <is>
          <t>1x Líquen Ferruginoso</t>
        </is>
      </c>
      <c r="D236" s="119" t="inlineStr">
        <is>
          <t>Coleta até Tier 3</t>
        </is>
      </c>
      <c r="E236" s="119" t="n">
        <v>4</v>
      </c>
      <c r="F236" s="119" t="inlineStr">
        <is>
          <t>Faca de Esfolar de Ferro</t>
        </is>
      </c>
      <c r="G236" s="119" t="n">
        <v>11</v>
      </c>
      <c r="H236" s="119" t="inlineStr">
        <is>
          <t>Qualquer ferreiro da cidade do tier</t>
        </is>
      </c>
      <c r="I236" s="119" t="inlineStr">
        <is>
          <t>Ferramenta de Coleta</t>
        </is>
      </c>
      <c r="J236" s="119" t="inlineStr">
        <is>
          <t>Forja</t>
        </is>
      </c>
    </row>
    <row r="237" ht="15" customHeight="1" s="116">
      <c r="A237" s="119" t="inlineStr">
        <is>
          <t>Tier 3 (Ferro)</t>
        </is>
      </c>
      <c r="B237" s="119" t="inlineStr">
        <is>
          <t>Faca</t>
        </is>
      </c>
      <c r="C237" s="119" t="inlineStr">
        <is>
          <t>1x Líquen Ferruginoso + 1x Fragmento de Golem Corrompido</t>
        </is>
      </c>
      <c r="D237" s="119" t="inlineStr">
        <is>
          <t>Coleta até Tier 3 | +15% chance de essência extra</t>
        </is>
      </c>
      <c r="E237" s="119" t="n">
        <v>4</v>
      </c>
      <c r="F237" s="119" t="inlineStr">
        <is>
          <t>Faca de Esfolar Refinada de Ferro</t>
        </is>
      </c>
      <c r="G237" s="119" t="n">
        <v>11</v>
      </c>
      <c r="H237" s="119" t="inlineStr">
        <is>
          <t>Qualquer ferreiro da cidade do tier</t>
        </is>
      </c>
      <c r="I237" s="119" t="inlineStr">
        <is>
          <t>Ferramenta de Coleta</t>
        </is>
      </c>
      <c r="J237" s="119" t="inlineStr">
        <is>
          <t>Forja</t>
        </is>
      </c>
    </row>
    <row r="238" ht="15" customHeight="1" s="116">
      <c r="A238" s="119" t="inlineStr">
        <is>
          <t>Tier 4 (Prata)</t>
        </is>
      </c>
      <c r="B238" s="119" t="inlineStr">
        <is>
          <t>Picareta</t>
        </is>
      </c>
      <c r="C238" s="119" t="inlineStr">
        <is>
          <t>1x Veio de Prata Pálida</t>
        </is>
      </c>
      <c r="D238" s="119" t="inlineStr">
        <is>
          <t>Coleta até Tier 4</t>
        </is>
      </c>
      <c r="E238" s="119" t="n">
        <v>8</v>
      </c>
      <c r="F238" s="119" t="inlineStr">
        <is>
          <t>Picareta de Prata</t>
        </is>
      </c>
      <c r="G238" s="119" t="n">
        <v>17</v>
      </c>
      <c r="H238" s="119" t="inlineStr">
        <is>
          <t>Qualquer ferreiro da cidade do tier</t>
        </is>
      </c>
      <c r="I238" s="119" t="inlineStr">
        <is>
          <t>Ferramenta de Coleta</t>
        </is>
      </c>
      <c r="J238" s="119" t="inlineStr">
        <is>
          <t>Forja</t>
        </is>
      </c>
    </row>
    <row r="239" ht="15" customHeight="1" s="116">
      <c r="A239" s="119" t="inlineStr">
        <is>
          <t>Tier 4 (Prata)</t>
        </is>
      </c>
      <c r="B239" s="119" t="inlineStr">
        <is>
          <t>Picareta</t>
        </is>
      </c>
      <c r="C239" s="119" t="inlineStr">
        <is>
          <t>1x Veio de Prata Pálida + 1x Pó de Ectoplasma Cristalizado</t>
        </is>
      </c>
      <c r="D239" s="119" t="inlineStr">
        <is>
          <t>Coleta até Tier 4 | +15% chance de minério extra</t>
        </is>
      </c>
      <c r="E239" s="119" t="n">
        <v>8</v>
      </c>
      <c r="F239" s="119" t="inlineStr">
        <is>
          <t>Picareta Refinada de Prata</t>
        </is>
      </c>
      <c r="G239" s="119" t="n">
        <v>17</v>
      </c>
      <c r="H239" s="119" t="inlineStr">
        <is>
          <t>Qualquer ferreiro da cidade do tier</t>
        </is>
      </c>
      <c r="I239" s="119" t="inlineStr">
        <is>
          <t>Ferramenta de Coleta</t>
        </is>
      </c>
      <c r="J239" s="119" t="inlineStr">
        <is>
          <t>Forja</t>
        </is>
      </c>
    </row>
    <row r="240" ht="15" customHeight="1" s="116">
      <c r="A240" s="119" t="inlineStr">
        <is>
          <t>Tier 4 (Prata)</t>
        </is>
      </c>
      <c r="B240" s="119" t="inlineStr">
        <is>
          <t>Machado</t>
        </is>
      </c>
      <c r="C240" s="119" t="inlineStr">
        <is>
          <t>1x Cipreste das Criptas</t>
        </is>
      </c>
      <c r="D240" s="119" t="inlineStr">
        <is>
          <t>Coleta até Tier 4</t>
        </is>
      </c>
      <c r="E240" s="119" t="n">
        <v>8</v>
      </c>
      <c r="F240" s="119" t="inlineStr">
        <is>
          <t>Machado de Lenhador de Prata</t>
        </is>
      </c>
      <c r="G240" s="119" t="n">
        <v>17</v>
      </c>
      <c r="H240" s="119" t="inlineStr">
        <is>
          <t>Qualquer ferreiro da cidade do tier</t>
        </is>
      </c>
      <c r="I240" s="119" t="inlineStr">
        <is>
          <t>Ferramenta de Coleta</t>
        </is>
      </c>
      <c r="J240" s="119" t="inlineStr">
        <is>
          <t>Forja</t>
        </is>
      </c>
    </row>
    <row r="241" ht="15" customHeight="1" s="116">
      <c r="A241" s="119" t="inlineStr">
        <is>
          <t>Tier 4 (Prata)</t>
        </is>
      </c>
      <c r="B241" s="119" t="inlineStr">
        <is>
          <t>Machado</t>
        </is>
      </c>
      <c r="C241" s="119" t="inlineStr">
        <is>
          <t>1x Cipreste das Criptas + 1x Mortalha Fresca de Zumbi</t>
        </is>
      </c>
      <c r="D241" s="119" t="inlineStr">
        <is>
          <t>Coleta até Tier 4 | +15% chance de madeira extra</t>
        </is>
      </c>
      <c r="E241" s="119" t="n">
        <v>8</v>
      </c>
      <c r="F241" s="119" t="inlineStr">
        <is>
          <t>Machado de Lenhador Refinado de Prata</t>
        </is>
      </c>
      <c r="G241" s="119" t="n">
        <v>17</v>
      </c>
      <c r="H241" s="119" t="inlineStr">
        <is>
          <t>Qualquer ferreiro da cidade do tier</t>
        </is>
      </c>
      <c r="I241" s="119" t="inlineStr">
        <is>
          <t>Ferramenta de Coleta</t>
        </is>
      </c>
      <c r="J241" s="119" t="inlineStr">
        <is>
          <t>Forja</t>
        </is>
      </c>
    </row>
    <row r="242" ht="15" customHeight="1" s="116">
      <c r="A242" s="119" t="inlineStr">
        <is>
          <t>Tier 4 (Prata)</t>
        </is>
      </c>
      <c r="B242" s="119" t="inlineStr">
        <is>
          <t>Faca</t>
        </is>
      </c>
      <c r="C242" s="119" t="inlineStr">
        <is>
          <t>1x Flor do Sudário</t>
        </is>
      </c>
      <c r="D242" s="119" t="inlineStr">
        <is>
          <t>Coleta até Tier 4</t>
        </is>
      </c>
      <c r="E242" s="119" t="n">
        <v>8</v>
      </c>
      <c r="F242" s="119" t="inlineStr">
        <is>
          <t>Faca de Esfolar de Prata</t>
        </is>
      </c>
      <c r="G242" s="119" t="n">
        <v>17</v>
      </c>
      <c r="H242" s="119" t="inlineStr">
        <is>
          <t>Qualquer ferreiro da cidade do tier</t>
        </is>
      </c>
      <c r="I242" s="119" t="inlineStr">
        <is>
          <t>Ferramenta de Coleta</t>
        </is>
      </c>
      <c r="J242" s="119" t="inlineStr">
        <is>
          <t>Forja</t>
        </is>
      </c>
    </row>
    <row r="243" ht="15" customHeight="1" s="116">
      <c r="A243" s="119" t="inlineStr">
        <is>
          <t>Tier 4 (Prata)</t>
        </is>
      </c>
      <c r="B243" s="119" t="inlineStr">
        <is>
          <t>Faca</t>
        </is>
      </c>
      <c r="C243" s="119" t="inlineStr">
        <is>
          <t>1x Flor do Sudário + 1x Pó de Ectoplasma Cristalizado</t>
        </is>
      </c>
      <c r="D243" s="119" t="inlineStr">
        <is>
          <t>Coleta até Tier 4 | +15% chance de essência extra</t>
        </is>
      </c>
      <c r="E243" s="119" t="n">
        <v>8</v>
      </c>
      <c r="F243" s="119" t="inlineStr">
        <is>
          <t>Faca de Esfolar Refinada de Prata</t>
        </is>
      </c>
      <c r="G243" s="119" t="n">
        <v>17</v>
      </c>
      <c r="H243" s="119" t="inlineStr">
        <is>
          <t>Qualquer ferreiro da cidade do tier</t>
        </is>
      </c>
      <c r="I243" s="119" t="inlineStr">
        <is>
          <t>Ferramenta de Coleta</t>
        </is>
      </c>
      <c r="J243" s="119" t="inlineStr">
        <is>
          <t>Forja</t>
        </is>
      </c>
    </row>
    <row r="244" ht="15" customHeight="1" s="116">
      <c r="A244" s="119" t="inlineStr">
        <is>
          <t>Tier 5 (Aço Élfico)</t>
        </is>
      </c>
      <c r="B244" s="119" t="inlineStr">
        <is>
          <t>Picareta</t>
        </is>
      </c>
      <c r="C244" s="119" t="inlineStr">
        <is>
          <t>1x Metal Estriado Élfico</t>
        </is>
      </c>
      <c r="D244" s="119" t="inlineStr">
        <is>
          <t>Coleta até Tier 5</t>
        </is>
      </c>
      <c r="E244" s="119" t="n">
        <v>13</v>
      </c>
      <c r="F244" s="119" t="inlineStr">
        <is>
          <t>Picareta de Aço Élfico</t>
        </is>
      </c>
      <c r="G244" s="119" t="n">
        <v>25</v>
      </c>
      <c r="H244" s="119" t="inlineStr">
        <is>
          <t>Qualquer ferreiro da cidade do tier</t>
        </is>
      </c>
      <c r="I244" s="119" t="inlineStr">
        <is>
          <t>Ferramenta de Coleta</t>
        </is>
      </c>
      <c r="J244" s="119" t="inlineStr">
        <is>
          <t>Forja</t>
        </is>
      </c>
    </row>
    <row r="245" ht="15" customHeight="1" s="116">
      <c r="A245" s="119" t="inlineStr">
        <is>
          <t>Tier 5 (Aço Élfico)</t>
        </is>
      </c>
      <c r="B245" s="119" t="inlineStr">
        <is>
          <t>Picareta</t>
        </is>
      </c>
      <c r="C245" s="119" t="inlineStr">
        <is>
          <t>1x Metal Estriado Élfico + 1x Cristal Ressonante da Elfa</t>
        </is>
      </c>
      <c r="D245" s="119" t="inlineStr">
        <is>
          <t>Coleta até Tier 5 | +15% chance de minério extra</t>
        </is>
      </c>
      <c r="E245" s="119" t="n">
        <v>13</v>
      </c>
      <c r="F245" s="119" t="inlineStr">
        <is>
          <t>Picareta Refinada de Aço Élfico</t>
        </is>
      </c>
      <c r="G245" s="119" t="n">
        <v>25</v>
      </c>
      <c r="H245" s="119" t="inlineStr">
        <is>
          <t>Qualquer ferreiro da cidade do tier</t>
        </is>
      </c>
      <c r="I245" s="119" t="inlineStr">
        <is>
          <t>Ferramenta de Coleta</t>
        </is>
      </c>
      <c r="J245" s="119" t="inlineStr">
        <is>
          <t>Forja</t>
        </is>
      </c>
    </row>
    <row r="246" ht="15" customHeight="1" s="116">
      <c r="A246" s="119" t="inlineStr">
        <is>
          <t>Tier 5 (Aço Élfico)</t>
        </is>
      </c>
      <c r="B246" s="119" t="inlineStr">
        <is>
          <t>Machado</t>
        </is>
      </c>
      <c r="C246" s="119" t="inlineStr">
        <is>
          <t>1x Sabugueiro Ancestral (Madeira Viva)</t>
        </is>
      </c>
      <c r="D246" s="119" t="inlineStr">
        <is>
          <t>Coleta até Tier 5</t>
        </is>
      </c>
      <c r="E246" s="119" t="n">
        <v>13</v>
      </c>
      <c r="F246" s="119" t="inlineStr">
        <is>
          <t>Machado de Lenhador de Aço Élfico</t>
        </is>
      </c>
      <c r="G246" s="119" t="n">
        <v>25</v>
      </c>
      <c r="H246" s="119" t="inlineStr">
        <is>
          <t>Qualquer ferreiro da cidade do tier</t>
        </is>
      </c>
      <c r="I246" s="119" t="inlineStr">
        <is>
          <t>Ferramenta de Coleta</t>
        </is>
      </c>
      <c r="J246" s="119" t="inlineStr">
        <is>
          <t>Forja</t>
        </is>
      </c>
    </row>
    <row r="247" ht="15" customHeight="1" s="116">
      <c r="A247" s="119" t="inlineStr">
        <is>
          <t>Tier 5 (Aço Élfico)</t>
        </is>
      </c>
      <c r="B247" s="119" t="inlineStr">
        <is>
          <t>Machado</t>
        </is>
      </c>
      <c r="C247" s="119" t="inlineStr">
        <is>
          <t>1x Sabugueiro Ancestral (Madeira Viva) + 1x Amostra de Musgo Devorador</t>
        </is>
      </c>
      <c r="D247" s="119" t="inlineStr">
        <is>
          <t>Coleta até Tier 5 | +15% chance de madeira extra</t>
        </is>
      </c>
      <c r="E247" s="119" t="n">
        <v>13</v>
      </c>
      <c r="F247" s="119" t="inlineStr">
        <is>
          <t>Machado de Lenhador Refinado de Aço Élfico</t>
        </is>
      </c>
      <c r="G247" s="119" t="n">
        <v>25</v>
      </c>
      <c r="H247" s="119" t="inlineStr">
        <is>
          <t>Qualquer ferreiro da cidade do tier</t>
        </is>
      </c>
      <c r="I247" s="119" t="inlineStr">
        <is>
          <t>Ferramenta de Coleta</t>
        </is>
      </c>
      <c r="J247" s="119" t="inlineStr">
        <is>
          <t>Forja</t>
        </is>
      </c>
    </row>
    <row r="248" ht="15" customHeight="1" s="116">
      <c r="A248" s="119" t="inlineStr">
        <is>
          <t>Tier 5 (Aço Élfico)</t>
        </is>
      </c>
      <c r="B248" s="119" t="inlineStr">
        <is>
          <t>Faca</t>
        </is>
      </c>
      <c r="C248" s="119" t="inlineStr">
        <is>
          <t>1x Folha Cantante</t>
        </is>
      </c>
      <c r="D248" s="119" t="inlineStr">
        <is>
          <t>Coleta até Tier 5</t>
        </is>
      </c>
      <c r="E248" s="119" t="n">
        <v>13</v>
      </c>
      <c r="F248" s="119" t="inlineStr">
        <is>
          <t>Faca de Esfolar de Aço Élfico</t>
        </is>
      </c>
      <c r="G248" s="119" t="n">
        <v>25</v>
      </c>
      <c r="H248" s="119" t="inlineStr">
        <is>
          <t>Qualquer ferreiro da cidade do tier</t>
        </is>
      </c>
      <c r="I248" s="119" t="inlineStr">
        <is>
          <t>Ferramenta de Coleta</t>
        </is>
      </c>
      <c r="J248" s="119" t="inlineStr">
        <is>
          <t>Forja</t>
        </is>
      </c>
    </row>
    <row r="249" ht="15" customHeight="1" s="116">
      <c r="A249" s="119" t="inlineStr">
        <is>
          <t>Tier 5 (Aço Élfico)</t>
        </is>
      </c>
      <c r="B249" s="119" t="inlineStr">
        <is>
          <t>Faca</t>
        </is>
      </c>
      <c r="C249" s="119" t="inlineStr">
        <is>
          <t>1x Folha Cantante + 1x Cristal Ressonante da Elfa</t>
        </is>
      </c>
      <c r="D249" s="119" t="inlineStr">
        <is>
          <t>Coleta até Tier 5 | +15% chance de essência extra</t>
        </is>
      </c>
      <c r="E249" s="119" t="n">
        <v>13</v>
      </c>
      <c r="F249" s="119" t="inlineStr">
        <is>
          <t>Faca de Esfolar Refinada de Aço Élfico</t>
        </is>
      </c>
      <c r="G249" s="119" t="n">
        <v>25</v>
      </c>
      <c r="H249" s="119" t="inlineStr">
        <is>
          <t>Qualquer ferreiro da cidade do tier</t>
        </is>
      </c>
      <c r="I249" s="119" t="inlineStr">
        <is>
          <t>Ferramenta de Coleta</t>
        </is>
      </c>
      <c r="J249" s="119" t="inlineStr">
        <is>
          <t>Forja</t>
        </is>
      </c>
    </row>
    <row r="250" ht="15" customHeight="1" s="116">
      <c r="A250" s="119" t="inlineStr">
        <is>
          <t>Tier 6 (Mecanismo Anão)</t>
        </is>
      </c>
      <c r="B250" s="119" t="inlineStr">
        <is>
          <t>Picareta</t>
        </is>
      </c>
      <c r="C250" s="119" t="inlineStr">
        <is>
          <t>1x Latão de Fornalha Subterrânea</t>
        </is>
      </c>
      <c r="D250" s="119" t="inlineStr">
        <is>
          <t>Coleta até Tier 6</t>
        </is>
      </c>
      <c r="E250" s="119" t="n">
        <v>20</v>
      </c>
      <c r="F250" s="119" t="inlineStr">
        <is>
          <t>Picareta de Mecanismo Anão</t>
        </is>
      </c>
      <c r="G250" s="119" t="n">
        <v>35</v>
      </c>
      <c r="H250" s="119" t="inlineStr">
        <is>
          <t>Qualquer ferreiro da cidade do tier</t>
        </is>
      </c>
      <c r="I250" s="119" t="inlineStr">
        <is>
          <t>Ferramenta de Coleta</t>
        </is>
      </c>
      <c r="J250" s="119" t="inlineStr">
        <is>
          <t>Forja</t>
        </is>
      </c>
    </row>
    <row r="251" ht="15" customHeight="1" s="116">
      <c r="A251" s="119" t="inlineStr">
        <is>
          <t>Tier 6 (Mecanismo Anão)</t>
        </is>
      </c>
      <c r="B251" s="119" t="inlineStr">
        <is>
          <t>Picareta</t>
        </is>
      </c>
      <c r="C251" s="119" t="inlineStr">
        <is>
          <t>1x Latão de Fornalha Subterrânea + 1x Núcleo de Engrenagem Ancestral</t>
        </is>
      </c>
      <c r="D251" s="119" t="inlineStr">
        <is>
          <t>Coleta até Tier 6 | +15% chance de minério extra</t>
        </is>
      </c>
      <c r="E251" s="119" t="n">
        <v>20</v>
      </c>
      <c r="F251" s="119" t="inlineStr">
        <is>
          <t>Picareta Refinada de Mecanismo Anão</t>
        </is>
      </c>
      <c r="G251" s="119" t="n">
        <v>35</v>
      </c>
      <c r="H251" s="119" t="inlineStr">
        <is>
          <t>Qualquer ferreiro da cidade do tier</t>
        </is>
      </c>
      <c r="I251" s="119" t="inlineStr">
        <is>
          <t>Ferramenta de Coleta</t>
        </is>
      </c>
      <c r="J251" s="119" t="inlineStr">
        <is>
          <t>Forja</t>
        </is>
      </c>
    </row>
    <row r="252" ht="15" customHeight="1" s="116">
      <c r="A252" s="119" t="inlineStr">
        <is>
          <t>Tier 6 (Mecanismo Anão)</t>
        </is>
      </c>
      <c r="B252" s="119" t="inlineStr">
        <is>
          <t>Machado</t>
        </is>
      </c>
      <c r="C252" s="119" t="inlineStr">
        <is>
          <t>1x Madeira Petrificada a Vapor</t>
        </is>
      </c>
      <c r="D252" s="119" t="inlineStr">
        <is>
          <t>Coleta até Tier 6</t>
        </is>
      </c>
      <c r="E252" s="119" t="n">
        <v>20</v>
      </c>
      <c r="F252" s="119" t="inlineStr">
        <is>
          <t>Machado de Lenhador de Mecanismo Anão</t>
        </is>
      </c>
      <c r="G252" s="119" t="n">
        <v>35</v>
      </c>
      <c r="H252" s="119" t="inlineStr">
        <is>
          <t>Qualquer ferreiro da cidade do tier</t>
        </is>
      </c>
      <c r="I252" s="119" t="inlineStr">
        <is>
          <t>Ferramenta de Coleta</t>
        </is>
      </c>
      <c r="J252" s="119" t="inlineStr">
        <is>
          <t>Forja</t>
        </is>
      </c>
    </row>
    <row r="253" ht="15" customHeight="1" s="116">
      <c r="A253" s="119" t="inlineStr">
        <is>
          <t>Tier 6 (Mecanismo Anão)</t>
        </is>
      </c>
      <c r="B253" s="119" t="inlineStr">
        <is>
          <t>Machado</t>
        </is>
      </c>
      <c r="C253" s="119" t="inlineStr">
        <is>
          <t>1x Madeira Petrificada a Vapor + 1x Luva Gasta de Engenheiro Cansado</t>
        </is>
      </c>
      <c r="D253" s="119" t="inlineStr">
        <is>
          <t>Coleta até Tier 6 | +15% chance de madeira extra</t>
        </is>
      </c>
      <c r="E253" s="119" t="n">
        <v>20</v>
      </c>
      <c r="F253" s="119" t="inlineStr">
        <is>
          <t>Machado de Lenhador Refinado de Mecanismo Anão</t>
        </is>
      </c>
      <c r="G253" s="119" t="n">
        <v>35</v>
      </c>
      <c r="H253" s="119" t="inlineStr">
        <is>
          <t>Qualquer ferreiro da cidade do tier</t>
        </is>
      </c>
      <c r="I253" s="119" t="inlineStr">
        <is>
          <t>Ferramenta de Coleta</t>
        </is>
      </c>
      <c r="J253" s="119" t="inlineStr">
        <is>
          <t>Forja</t>
        </is>
      </c>
    </row>
    <row r="254" ht="15" customHeight="1" s="116">
      <c r="A254" s="119" t="inlineStr">
        <is>
          <t>Tier 6 (Mecanismo Anão)</t>
        </is>
      </c>
      <c r="B254" s="119" t="inlineStr">
        <is>
          <t>Faca</t>
        </is>
      </c>
      <c r="C254" s="119" t="inlineStr">
        <is>
          <t>1x Musgo de Graxa Arcana</t>
        </is>
      </c>
      <c r="D254" s="119" t="inlineStr">
        <is>
          <t>Coleta até Tier 6</t>
        </is>
      </c>
      <c r="E254" s="119" t="n">
        <v>20</v>
      </c>
      <c r="F254" s="119" t="inlineStr">
        <is>
          <t>Faca de Esfolar de Mecanismo Anão</t>
        </is>
      </c>
      <c r="G254" s="119" t="n">
        <v>35</v>
      </c>
      <c r="H254" s="119" t="inlineStr">
        <is>
          <t>Qualquer ferreiro da cidade do tier</t>
        </is>
      </c>
      <c r="I254" s="119" t="inlineStr">
        <is>
          <t>Ferramenta de Coleta</t>
        </is>
      </c>
      <c r="J254" s="119" t="inlineStr">
        <is>
          <t>Forja</t>
        </is>
      </c>
    </row>
    <row r="255" ht="15" customHeight="1" s="116">
      <c r="A255" s="119" t="inlineStr">
        <is>
          <t>Tier 6 (Mecanismo Anão)</t>
        </is>
      </c>
      <c r="B255" s="119" t="inlineStr">
        <is>
          <t>Faca</t>
        </is>
      </c>
      <c r="C255" s="119" t="inlineStr">
        <is>
          <t>1x Musgo de Graxa Arcana + 1x Núcleo de Engrenagem Ancestral</t>
        </is>
      </c>
      <c r="D255" s="119" t="inlineStr">
        <is>
          <t>Coleta até Tier 6 | +15% chance de essência extra</t>
        </is>
      </c>
      <c r="E255" s="119" t="n">
        <v>20</v>
      </c>
      <c r="F255" s="119" t="inlineStr">
        <is>
          <t>Faca de Esfolar Refinada de Mecanismo Anão</t>
        </is>
      </c>
      <c r="G255" s="119" t="n">
        <v>35</v>
      </c>
      <c r="H255" s="119" t="inlineStr">
        <is>
          <t>Qualquer ferreiro da cidade do tier</t>
        </is>
      </c>
      <c r="I255" s="119" t="inlineStr">
        <is>
          <t>Ferramenta de Coleta</t>
        </is>
      </c>
      <c r="J255" s="119" t="inlineStr">
        <is>
          <t>Forja</t>
        </is>
      </c>
    </row>
    <row r="256" ht="15" customHeight="1" s="116">
      <c r="A256" s="119" t="inlineStr">
        <is>
          <t>Tier 7 (Vidro Vulcânico)</t>
        </is>
      </c>
      <c r="B256" s="119" t="inlineStr">
        <is>
          <t>Picareta</t>
        </is>
      </c>
      <c r="C256" s="119" t="inlineStr">
        <is>
          <t>1x Obsidiana Incandescente (Vidro Vulcânico)</t>
        </is>
      </c>
      <c r="D256" s="119" t="inlineStr">
        <is>
          <t>Coleta até Tier 7</t>
        </is>
      </c>
      <c r="E256" s="119" t="n">
        <v>27</v>
      </c>
      <c r="F256" s="119" t="inlineStr">
        <is>
          <t>Picareta de Vidro Vulcânico</t>
        </is>
      </c>
      <c r="G256" s="119" t="n">
        <v>45</v>
      </c>
      <c r="H256" s="119" t="inlineStr">
        <is>
          <t>Qualquer ferreiro da cidade do tier</t>
        </is>
      </c>
      <c r="I256" s="119" t="inlineStr">
        <is>
          <t>Ferramenta de Coleta</t>
        </is>
      </c>
      <c r="J256" s="119" t="inlineStr">
        <is>
          <t>Forja</t>
        </is>
      </c>
    </row>
    <row r="257" ht="15" customHeight="1" s="116">
      <c r="A257" s="119" t="inlineStr">
        <is>
          <t>Tier 7 (Vidro Vulcânico)</t>
        </is>
      </c>
      <c r="B257" s="119" t="inlineStr">
        <is>
          <t>Picareta</t>
        </is>
      </c>
      <c r="C257" s="119" t="inlineStr">
        <is>
          <t>1x Obsidiana Incandescente (Vidro Vulcânico) + 1x Escama de Fera Vítrea</t>
        </is>
      </c>
      <c r="D257" s="119" t="inlineStr">
        <is>
          <t>Coleta até Tier 7 | +15% chance de minério extra</t>
        </is>
      </c>
      <c r="E257" s="119" t="n">
        <v>27</v>
      </c>
      <c r="F257" s="119" t="inlineStr">
        <is>
          <t>Picareta Refinada de Vidro Vulcânico</t>
        </is>
      </c>
      <c r="G257" s="119" t="n">
        <v>45</v>
      </c>
      <c r="H257" s="119" t="inlineStr">
        <is>
          <t>Qualquer ferreiro da cidade do tier</t>
        </is>
      </c>
      <c r="I257" s="119" t="inlineStr">
        <is>
          <t>Ferramenta de Coleta</t>
        </is>
      </c>
      <c r="J257" s="119" t="inlineStr">
        <is>
          <t>Forja</t>
        </is>
      </c>
    </row>
    <row r="258" ht="15" customHeight="1" s="116">
      <c r="A258" s="119" t="inlineStr">
        <is>
          <t>Tier 7 (Vidro Vulcânico)</t>
        </is>
      </c>
      <c r="B258" s="119" t="inlineStr">
        <is>
          <t>Machado</t>
        </is>
      </c>
      <c r="C258" s="119" t="inlineStr">
        <is>
          <t>1x Tronco Queimado de Fenda (Ébano de Fogo)</t>
        </is>
      </c>
      <c r="D258" s="119" t="inlineStr">
        <is>
          <t>Coleta até Tier 7</t>
        </is>
      </c>
      <c r="E258" s="119" t="n">
        <v>27</v>
      </c>
      <c r="F258" s="119" t="inlineStr">
        <is>
          <t>Machado de Lenhador de Vidro Vulcânico</t>
        </is>
      </c>
      <c r="G258" s="119" t="n">
        <v>45</v>
      </c>
      <c r="H258" s="119" t="inlineStr">
        <is>
          <t>Qualquer ferreiro da cidade do tier</t>
        </is>
      </c>
      <c r="I258" s="119" t="inlineStr">
        <is>
          <t>Ferramenta de Coleta</t>
        </is>
      </c>
      <c r="J258" s="119" t="inlineStr">
        <is>
          <t>Forja</t>
        </is>
      </c>
    </row>
    <row r="259" ht="15" customHeight="1" s="116">
      <c r="A259" s="119" t="inlineStr">
        <is>
          <t>Tier 7 (Vidro Vulcânico)</t>
        </is>
      </c>
      <c r="B259" s="119" t="inlineStr">
        <is>
          <t>Machado</t>
        </is>
      </c>
      <c r="C259" s="119" t="inlineStr">
        <is>
          <t>1x Tronco Queimado de Fenda (Ébano de Fogo) + 1x Escama de Fera Vítrea</t>
        </is>
      </c>
      <c r="D259" s="119" t="inlineStr">
        <is>
          <t>Coleta até Tier 7 | +15% chance de madeira extra</t>
        </is>
      </c>
      <c r="E259" s="119" t="n">
        <v>27</v>
      </c>
      <c r="F259" s="119" t="inlineStr">
        <is>
          <t>Machado de Lenhador Refinado de Vidro Vulcânico</t>
        </is>
      </c>
      <c r="G259" s="119" t="n">
        <v>45</v>
      </c>
      <c r="H259" s="119" t="inlineStr">
        <is>
          <t>Qualquer ferreiro da cidade do tier</t>
        </is>
      </c>
      <c r="I259" s="119" t="inlineStr">
        <is>
          <t>Ferramenta de Coleta</t>
        </is>
      </c>
      <c r="J259" s="119" t="inlineStr">
        <is>
          <t>Forja</t>
        </is>
      </c>
    </row>
    <row r="260" ht="15" customHeight="1" s="116">
      <c r="A260" s="119" t="inlineStr">
        <is>
          <t>Tier 7 (Vidro Vulcânico)</t>
        </is>
      </c>
      <c r="B260" s="119" t="inlineStr">
        <is>
          <t>Faca</t>
        </is>
      </c>
      <c r="C260" s="119" t="inlineStr">
        <is>
          <t>1x Orquídea de Magma</t>
        </is>
      </c>
      <c r="D260" s="119" t="inlineStr">
        <is>
          <t>Coleta até Tier 7</t>
        </is>
      </c>
      <c r="E260" s="119" t="n">
        <v>27</v>
      </c>
      <c r="F260" s="119" t="inlineStr">
        <is>
          <t>Faca de Esfolar de Vidro Vulcânico</t>
        </is>
      </c>
      <c r="G260" s="119" t="n">
        <v>45</v>
      </c>
      <c r="H260" s="119" t="inlineStr">
        <is>
          <t>Qualquer ferreiro da cidade do tier</t>
        </is>
      </c>
      <c r="I260" s="119" t="inlineStr">
        <is>
          <t>Ferramenta de Coleta</t>
        </is>
      </c>
      <c r="J260" s="119" t="inlineStr">
        <is>
          <t>Forja</t>
        </is>
      </c>
    </row>
    <row r="261" ht="15" customHeight="1" s="116">
      <c r="A261" s="119" t="inlineStr">
        <is>
          <t>Tier 7 (Vidro Vulcânico)</t>
        </is>
      </c>
      <c r="B261" s="119" t="inlineStr">
        <is>
          <t>Faca</t>
        </is>
      </c>
      <c r="C261" s="119" t="inlineStr">
        <is>
          <t>1x Orquídea de Magma + 1x Escama de Fera Vítrea</t>
        </is>
      </c>
      <c r="D261" s="119" t="inlineStr">
        <is>
          <t>Coleta até Tier 7 | +15% chance de essência extra</t>
        </is>
      </c>
      <c r="E261" s="119" t="n">
        <v>27</v>
      </c>
      <c r="F261" s="119" t="inlineStr">
        <is>
          <t>Faca de Esfolar Refinada de Vidro Vulcânico</t>
        </is>
      </c>
      <c r="G261" s="119" t="n">
        <v>45</v>
      </c>
      <c r="H261" s="119" t="inlineStr">
        <is>
          <t>Qualquer ferreiro da cidade do tier</t>
        </is>
      </c>
      <c r="I261" s="119" t="inlineStr">
        <is>
          <t>Ferramenta de Coleta</t>
        </is>
      </c>
      <c r="J261" s="119" t="inlineStr">
        <is>
          <t>Forja</t>
        </is>
      </c>
    </row>
    <row r="262" ht="15" customHeight="1" s="116">
      <c r="A262" s="119" t="inlineStr">
        <is>
          <t>Tier 8 (Ferro Órquico)</t>
        </is>
      </c>
      <c r="B262" s="119" t="inlineStr">
        <is>
          <t>Picareta</t>
        </is>
      </c>
      <c r="C262" s="119" t="inlineStr">
        <is>
          <t>1x Lingote de Ferro Órquico Bruto</t>
        </is>
      </c>
      <c r="D262" s="119" t="inlineStr">
        <is>
          <t>Coleta até Tier 8</t>
        </is>
      </c>
      <c r="E262" s="119" t="n">
        <v>38</v>
      </c>
      <c r="F262" s="119" t="inlineStr">
        <is>
          <t>Picareta de Ferro Órquico</t>
        </is>
      </c>
      <c r="G262" s="119" t="n">
        <v>62</v>
      </c>
      <c r="H262" s="119" t="inlineStr">
        <is>
          <t>Qualquer ferreiro da cidade do tier</t>
        </is>
      </c>
      <c r="I262" s="119" t="inlineStr">
        <is>
          <t>Ferramenta de Coleta</t>
        </is>
      </c>
      <c r="J262" s="119" t="inlineStr">
        <is>
          <t>Forja</t>
        </is>
      </c>
    </row>
    <row r="263" ht="15" customHeight="1" s="116">
      <c r="A263" s="119" t="inlineStr">
        <is>
          <t>Tier 8 (Ferro Órquico)</t>
        </is>
      </c>
      <c r="B263" s="119" t="inlineStr">
        <is>
          <t>Picareta</t>
        </is>
      </c>
      <c r="C263" s="119" t="inlineStr">
        <is>
          <t>1x Lingote de Ferro Órquico Bruto + 1x Crânio Troféu do Chefe Orc</t>
        </is>
      </c>
      <c r="D263" s="119" t="inlineStr">
        <is>
          <t>Coleta até Tier 8 | +15% chance de minério extra</t>
        </is>
      </c>
      <c r="E263" s="119" t="n">
        <v>38</v>
      </c>
      <c r="F263" s="119" t="inlineStr">
        <is>
          <t>Picareta Refinada de Ferro Órquico</t>
        </is>
      </c>
      <c r="G263" s="119" t="n">
        <v>62</v>
      </c>
      <c r="H263" s="119" t="inlineStr">
        <is>
          <t>Qualquer ferreiro da cidade do tier</t>
        </is>
      </c>
      <c r="I263" s="119" t="inlineStr">
        <is>
          <t>Ferramenta de Coleta</t>
        </is>
      </c>
      <c r="J263" s="119" t="inlineStr">
        <is>
          <t>Forja</t>
        </is>
      </c>
    </row>
    <row r="264" ht="15" customHeight="1" s="116">
      <c r="A264" s="119" t="inlineStr">
        <is>
          <t>Tier 8 (Ferro Órquico)</t>
        </is>
      </c>
      <c r="B264" s="119" t="inlineStr">
        <is>
          <t>Machado</t>
        </is>
      </c>
      <c r="C264" s="119" t="inlineStr">
        <is>
          <t>1x Carvalho Sangrento de Paliçada</t>
        </is>
      </c>
      <c r="D264" s="119" t="inlineStr">
        <is>
          <t>Coleta até Tier 8</t>
        </is>
      </c>
      <c r="E264" s="119" t="n">
        <v>38</v>
      </c>
      <c r="F264" s="119" t="inlineStr">
        <is>
          <t>Machado de Lenhador de Ferro Órquico</t>
        </is>
      </c>
      <c r="G264" s="119" t="n">
        <v>62</v>
      </c>
      <c r="H264" s="119" t="inlineStr">
        <is>
          <t>Qualquer ferreiro da cidade do tier</t>
        </is>
      </c>
      <c r="I264" s="119" t="inlineStr">
        <is>
          <t>Ferramenta de Coleta</t>
        </is>
      </c>
      <c r="J264" s="119" t="inlineStr">
        <is>
          <t>Forja</t>
        </is>
      </c>
    </row>
    <row r="265" ht="15" customHeight="1" s="116">
      <c r="A265" s="119" t="inlineStr">
        <is>
          <t>Tier 8 (Ferro Órquico)</t>
        </is>
      </c>
      <c r="B265" s="119" t="inlineStr">
        <is>
          <t>Machado</t>
        </is>
      </c>
      <c r="C265" s="119" t="inlineStr">
        <is>
          <t>1x Carvalho Sangrento de Paliçada + 1x Crânio Troféu do Chefe Orc</t>
        </is>
      </c>
      <c r="D265" s="119" t="inlineStr">
        <is>
          <t>Coleta até Tier 8 | +15% chance de madeira extra</t>
        </is>
      </c>
      <c r="E265" s="119" t="n">
        <v>38</v>
      </c>
      <c r="F265" s="119" t="inlineStr">
        <is>
          <t>Machado de Lenhador Refinado de Ferro Órquico</t>
        </is>
      </c>
      <c r="G265" s="119" t="n">
        <v>62</v>
      </c>
      <c r="H265" s="119" t="inlineStr">
        <is>
          <t>Qualquer ferreiro da cidade do tier</t>
        </is>
      </c>
      <c r="I265" s="119" t="inlineStr">
        <is>
          <t>Ferramenta de Coleta</t>
        </is>
      </c>
      <c r="J265" s="119" t="inlineStr">
        <is>
          <t>Forja</t>
        </is>
      </c>
    </row>
    <row r="266" ht="15" customHeight="1" s="116">
      <c r="A266" s="119" t="inlineStr">
        <is>
          <t>Tier 8 (Ferro Órquico)</t>
        </is>
      </c>
      <c r="B266" s="119" t="inlineStr">
        <is>
          <t>Faca</t>
        </is>
      </c>
      <c r="C266" s="119" t="inlineStr">
        <is>
          <t>1x Raiz da Fúria Vermelha</t>
        </is>
      </c>
      <c r="D266" s="119" t="inlineStr">
        <is>
          <t>Coleta até Tier 8</t>
        </is>
      </c>
      <c r="E266" s="119" t="n">
        <v>38</v>
      </c>
      <c r="F266" s="119" t="inlineStr">
        <is>
          <t>Faca de Esfolar de Ferro Órquico</t>
        </is>
      </c>
      <c r="G266" s="119" t="n">
        <v>62</v>
      </c>
      <c r="H266" s="119" t="inlineStr">
        <is>
          <t>Qualquer ferreiro da cidade do tier</t>
        </is>
      </c>
      <c r="I266" s="119" t="inlineStr">
        <is>
          <t>Ferramenta de Coleta</t>
        </is>
      </c>
      <c r="J266" s="119" t="inlineStr">
        <is>
          <t>Forja</t>
        </is>
      </c>
    </row>
    <row r="267" ht="15" customHeight="1" s="116">
      <c r="A267" s="119" t="inlineStr">
        <is>
          <t>Tier 8 (Ferro Órquico)</t>
        </is>
      </c>
      <c r="B267" s="119" t="inlineStr">
        <is>
          <t>Faca</t>
        </is>
      </c>
      <c r="C267" s="119" t="inlineStr">
        <is>
          <t>1x Raiz da Fúria Vermelha + 1x Crânio Troféu do Chefe Orc</t>
        </is>
      </c>
      <c r="D267" s="119" t="inlineStr">
        <is>
          <t>Coleta até Tier 8 | +15% chance de essência extra</t>
        </is>
      </c>
      <c r="E267" s="119" t="n">
        <v>38</v>
      </c>
      <c r="F267" s="119" t="inlineStr">
        <is>
          <t>Faca de Esfolar Refinada de Ferro Órquico</t>
        </is>
      </c>
      <c r="G267" s="119" t="n">
        <v>62</v>
      </c>
      <c r="H267" s="119" t="inlineStr">
        <is>
          <t>Qualquer ferreiro da cidade do tier</t>
        </is>
      </c>
      <c r="I267" s="119" t="inlineStr">
        <is>
          <t>Ferramenta de Coleta</t>
        </is>
      </c>
      <c r="J267" s="119" t="inlineStr">
        <is>
          <t>Forja</t>
        </is>
      </c>
    </row>
    <row r="268" ht="15" customHeight="1" s="116">
      <c r="A268" s="119" t="inlineStr">
        <is>
          <t>Tier 9 (Mithril)</t>
        </is>
      </c>
      <c r="B268" s="119" t="inlineStr">
        <is>
          <t>Picareta</t>
        </is>
      </c>
      <c r="C268" s="119" t="inlineStr">
        <is>
          <t>1x Veio Profundo de Mithril</t>
        </is>
      </c>
      <c r="D268" s="119" t="inlineStr">
        <is>
          <t>Coleta até Tier 9</t>
        </is>
      </c>
      <c r="E268" s="119" t="n">
        <v>52</v>
      </c>
      <c r="F268" s="119" t="inlineStr">
        <is>
          <t>Picareta de Mithril</t>
        </is>
      </c>
      <c r="G268" s="119" t="n">
        <v>83</v>
      </c>
      <c r="H268" s="119" t="inlineStr">
        <is>
          <t>Qualquer ferreiro da cidade do tier</t>
        </is>
      </c>
      <c r="I268" s="119" t="inlineStr">
        <is>
          <t>Ferramenta de Coleta</t>
        </is>
      </c>
      <c r="J268" s="119" t="inlineStr">
        <is>
          <t>Forja</t>
        </is>
      </c>
    </row>
    <row r="269" ht="15" customHeight="1" s="116">
      <c r="A269" s="119" t="inlineStr">
        <is>
          <t>Tier 9 (Mithril)</t>
        </is>
      </c>
      <c r="B269" s="119" t="inlineStr">
        <is>
          <t>Picareta</t>
        </is>
      </c>
      <c r="C269" s="119" t="inlineStr">
        <is>
          <t>1x Veio Profundo de Mithril + 1x Núcleo de Cristal Elemental</t>
        </is>
      </c>
      <c r="D269" s="119" t="inlineStr">
        <is>
          <t>Coleta até Tier 9 | +15% chance de minério extra</t>
        </is>
      </c>
      <c r="E269" s="119" t="n">
        <v>52</v>
      </c>
      <c r="F269" s="119" t="inlineStr">
        <is>
          <t>Picareta Refinada de Mithril</t>
        </is>
      </c>
      <c r="G269" s="119" t="n">
        <v>83</v>
      </c>
      <c r="H269" s="119" t="inlineStr">
        <is>
          <t>Qualquer ferreiro da cidade do tier</t>
        </is>
      </c>
      <c r="I269" s="119" t="inlineStr">
        <is>
          <t>Ferramenta de Coleta</t>
        </is>
      </c>
      <c r="J269" s="119" t="inlineStr">
        <is>
          <t>Forja</t>
        </is>
      </c>
    </row>
    <row r="270" ht="15" customHeight="1" s="116">
      <c r="A270" s="119" t="inlineStr">
        <is>
          <t>Tier 9 (Mithril)</t>
        </is>
      </c>
      <c r="B270" s="119" t="inlineStr">
        <is>
          <t>Machado</t>
        </is>
      </c>
      <c r="C270" s="119" t="inlineStr">
        <is>
          <t>1x Raiz Abissal dos Pilares</t>
        </is>
      </c>
      <c r="D270" s="119" t="inlineStr">
        <is>
          <t>Coleta até Tier 9</t>
        </is>
      </c>
      <c r="E270" s="119" t="n">
        <v>52</v>
      </c>
      <c r="F270" s="119" t="inlineStr">
        <is>
          <t>Machado de Lenhador de Mithril</t>
        </is>
      </c>
      <c r="G270" s="119" t="n">
        <v>83</v>
      </c>
      <c r="H270" s="119" t="inlineStr">
        <is>
          <t>Qualquer ferreiro da cidade do tier</t>
        </is>
      </c>
      <c r="I270" s="119" t="inlineStr">
        <is>
          <t>Ferramenta de Coleta</t>
        </is>
      </c>
      <c r="J270" s="119" t="inlineStr">
        <is>
          <t>Forja</t>
        </is>
      </c>
    </row>
    <row r="271" ht="15" customHeight="1" s="116">
      <c r="A271" s="119" t="inlineStr">
        <is>
          <t>Tier 9 (Mithril)</t>
        </is>
      </c>
      <c r="B271" s="119" t="inlineStr">
        <is>
          <t>Machado</t>
        </is>
      </c>
      <c r="C271" s="119" t="inlineStr">
        <is>
          <t>1x Raiz Abissal dos Pilares + 1x Manto Encharcado de Acólito Menor</t>
        </is>
      </c>
      <c r="D271" s="119" t="inlineStr">
        <is>
          <t>Coleta até Tier 9 | +15% chance de madeira extra</t>
        </is>
      </c>
      <c r="E271" s="119" t="n">
        <v>52</v>
      </c>
      <c r="F271" s="119" t="inlineStr">
        <is>
          <t>Machado de Lenhador Refinado de Mithril</t>
        </is>
      </c>
      <c r="G271" s="119" t="n">
        <v>83</v>
      </c>
      <c r="H271" s="119" t="inlineStr">
        <is>
          <t>Qualquer ferreiro da cidade do tier</t>
        </is>
      </c>
      <c r="I271" s="119" t="inlineStr">
        <is>
          <t>Ferramenta de Coleta</t>
        </is>
      </c>
      <c r="J271" s="119" t="inlineStr">
        <is>
          <t>Forja</t>
        </is>
      </c>
    </row>
    <row r="272" ht="15" customHeight="1" s="116">
      <c r="A272" s="119" t="inlineStr">
        <is>
          <t>Tier 9 (Mithril)</t>
        </is>
      </c>
      <c r="B272" s="119" t="inlineStr">
        <is>
          <t>Faca</t>
        </is>
      </c>
      <c r="C272" s="119" t="inlineStr">
        <is>
          <t>1x Lótus do Lago Sem Sol</t>
        </is>
      </c>
      <c r="D272" s="119" t="inlineStr">
        <is>
          <t>Coleta até Tier 9</t>
        </is>
      </c>
      <c r="E272" s="119" t="n">
        <v>52</v>
      </c>
      <c r="F272" s="119" t="inlineStr">
        <is>
          <t>Faca de Esfolar de Mithril</t>
        </is>
      </c>
      <c r="G272" s="119" t="n">
        <v>83</v>
      </c>
      <c r="H272" s="119" t="inlineStr">
        <is>
          <t>Qualquer ferreiro da cidade do tier</t>
        </is>
      </c>
      <c r="I272" s="119" t="inlineStr">
        <is>
          <t>Ferramenta de Coleta</t>
        </is>
      </c>
      <c r="J272" s="119" t="inlineStr">
        <is>
          <t>Forja</t>
        </is>
      </c>
    </row>
    <row r="273" ht="15" customHeight="1" s="116">
      <c r="A273" s="119" t="inlineStr">
        <is>
          <t>Tier 9 (Mithril)</t>
        </is>
      </c>
      <c r="B273" s="119" t="inlineStr">
        <is>
          <t>Faca</t>
        </is>
      </c>
      <c r="C273" s="119" t="inlineStr">
        <is>
          <t>1x Lótus do Lago Sem Sol + 1x Núcleo de Cristal Elemental</t>
        </is>
      </c>
      <c r="D273" s="119" t="inlineStr">
        <is>
          <t>Coleta até Tier 9 | +15% chance de essência extra</t>
        </is>
      </c>
      <c r="E273" s="119" t="n">
        <v>52</v>
      </c>
      <c r="F273" s="119" t="inlineStr">
        <is>
          <t>Faca de Esfolar Refinada de Mithril</t>
        </is>
      </c>
      <c r="G273" s="119" t="n">
        <v>83</v>
      </c>
      <c r="H273" s="119" t="inlineStr">
        <is>
          <t>Qualquer ferreiro da cidade do tier</t>
        </is>
      </c>
      <c r="I273" s="119" t="inlineStr">
        <is>
          <t>Ferramenta de Coleta</t>
        </is>
      </c>
      <c r="J273" s="119" t="inlineStr">
        <is>
          <t>Forja</t>
        </is>
      </c>
    </row>
    <row r="274" ht="15" customHeight="1" s="116">
      <c r="A274" s="119" t="inlineStr">
        <is>
          <t>Tier 10 (Ébano)</t>
        </is>
      </c>
      <c r="B274" s="119" t="inlineStr">
        <is>
          <t>Picareta</t>
        </is>
      </c>
      <c r="C274" s="119" t="inlineStr">
        <is>
          <t>1x Rocha Negra de Ébano</t>
        </is>
      </c>
      <c r="D274" s="119" t="inlineStr">
        <is>
          <t>Coleta até Tier 10</t>
        </is>
      </c>
      <c r="E274" s="119" t="n">
        <v>72</v>
      </c>
      <c r="F274" s="119" t="inlineStr">
        <is>
          <t>Picareta de Ébano</t>
        </is>
      </c>
      <c r="G274" s="119" t="n">
        <v>113</v>
      </c>
      <c r="H274" s="119" t="inlineStr">
        <is>
          <t>Qualquer ferreiro da cidade do tier</t>
        </is>
      </c>
      <c r="I274" s="119" t="inlineStr">
        <is>
          <t>Ferramenta de Coleta</t>
        </is>
      </c>
      <c r="J274" s="119" t="inlineStr">
        <is>
          <t>Forja</t>
        </is>
      </c>
    </row>
    <row r="275" ht="15" customHeight="1" s="116">
      <c r="A275" s="119" t="inlineStr">
        <is>
          <t>Tier 10 (Ébano)</t>
        </is>
      </c>
      <c r="B275" s="119" t="inlineStr">
        <is>
          <t>Picareta</t>
        </is>
      </c>
      <c r="C275" s="119" t="inlineStr">
        <is>
          <t>1x Rocha Negra de Ébano + 1x Essência da Fenda Extinta</t>
        </is>
      </c>
      <c r="D275" s="119" t="inlineStr">
        <is>
          <t>Coleta até Tier 10 | +15% chance de minério extra</t>
        </is>
      </c>
      <c r="E275" s="119" t="n">
        <v>72</v>
      </c>
      <c r="F275" s="119" t="inlineStr">
        <is>
          <t>Picareta Refinada de Ébano</t>
        </is>
      </c>
      <c r="G275" s="119" t="n">
        <v>113</v>
      </c>
      <c r="H275" s="119" t="inlineStr">
        <is>
          <t>Qualquer ferreiro da cidade do tier</t>
        </is>
      </c>
      <c r="I275" s="119" t="inlineStr">
        <is>
          <t>Ferramenta de Coleta</t>
        </is>
      </c>
      <c r="J275" s="119" t="inlineStr">
        <is>
          <t>Forja</t>
        </is>
      </c>
    </row>
    <row r="276" ht="15" customHeight="1" s="116">
      <c r="A276" s="119" t="inlineStr">
        <is>
          <t>Tier 10 (Ébano)</t>
        </is>
      </c>
      <c r="B276" s="119" t="inlineStr">
        <is>
          <t>Machado</t>
        </is>
      </c>
      <c r="C276" s="119" t="inlineStr">
        <is>
          <t>1x Tronco Negro Dessecado</t>
        </is>
      </c>
      <c r="D276" s="119" t="inlineStr">
        <is>
          <t>Coleta até Tier 10</t>
        </is>
      </c>
      <c r="E276" s="119" t="n">
        <v>72</v>
      </c>
      <c r="F276" s="119" t="inlineStr">
        <is>
          <t>Machado de Lenhador de Ébano</t>
        </is>
      </c>
      <c r="G276" s="119" t="n">
        <v>113</v>
      </c>
      <c r="H276" s="119" t="inlineStr">
        <is>
          <t>Qualquer ferreiro da cidade do tier</t>
        </is>
      </c>
      <c r="I276" s="119" t="inlineStr">
        <is>
          <t>Ferramenta de Coleta</t>
        </is>
      </c>
      <c r="J276" s="119" t="inlineStr">
        <is>
          <t>Forja</t>
        </is>
      </c>
    </row>
    <row r="277" ht="15" customHeight="1" s="116">
      <c r="A277" s="119" t="inlineStr">
        <is>
          <t>Tier 10 (Ébano)</t>
        </is>
      </c>
      <c r="B277" s="119" t="inlineStr">
        <is>
          <t>Machado</t>
        </is>
      </c>
      <c r="C277" s="119" t="inlineStr">
        <is>
          <t>1x Tronco Negro Dessecado + 1x Resíduo de Sombra Vulcânica</t>
        </is>
      </c>
      <c r="D277" s="119" t="inlineStr">
        <is>
          <t>Coleta até Tier 10 | +15% chance de madeira extra</t>
        </is>
      </c>
      <c r="E277" s="119" t="n">
        <v>72</v>
      </c>
      <c r="F277" s="119" t="inlineStr">
        <is>
          <t>Machado de Lenhador Refinado de Ébano</t>
        </is>
      </c>
      <c r="G277" s="119" t="n">
        <v>113</v>
      </c>
      <c r="H277" s="119" t="inlineStr">
        <is>
          <t>Qualquer ferreiro da cidade do tier</t>
        </is>
      </c>
      <c r="I277" s="119" t="inlineStr">
        <is>
          <t>Ferramenta de Coleta</t>
        </is>
      </c>
      <c r="J277" s="119" t="inlineStr">
        <is>
          <t>Forja</t>
        </is>
      </c>
    </row>
    <row r="278" ht="15" customHeight="1" s="116">
      <c r="A278" s="119" t="inlineStr">
        <is>
          <t>Tier 10 (Ébano)</t>
        </is>
      </c>
      <c r="B278" s="119" t="inlineStr">
        <is>
          <t>Faca</t>
        </is>
      </c>
      <c r="C278" s="119" t="inlineStr">
        <is>
          <t>1x Cogumelo da Cinza Fria</t>
        </is>
      </c>
      <c r="D278" s="119" t="inlineStr">
        <is>
          <t>Coleta até Tier 10</t>
        </is>
      </c>
      <c r="E278" s="119" t="n">
        <v>72</v>
      </c>
      <c r="F278" s="119" t="inlineStr">
        <is>
          <t>Faca de Esfolar de Ébano</t>
        </is>
      </c>
      <c r="G278" s="119" t="n">
        <v>113</v>
      </c>
      <c r="H278" s="119" t="inlineStr">
        <is>
          <t>Qualquer ferreiro da cidade do tier</t>
        </is>
      </c>
      <c r="I278" s="119" t="inlineStr">
        <is>
          <t>Ferramenta de Coleta</t>
        </is>
      </c>
      <c r="J278" s="119" t="inlineStr">
        <is>
          <t>Forja</t>
        </is>
      </c>
    </row>
    <row r="279" ht="15" customHeight="1" s="116">
      <c r="A279" s="119" t="inlineStr">
        <is>
          <t>Tier 10 (Ébano)</t>
        </is>
      </c>
      <c r="B279" s="119" t="inlineStr">
        <is>
          <t>Faca</t>
        </is>
      </c>
      <c r="C279" s="119" t="inlineStr">
        <is>
          <t>1x Cogumelo da Cinza Fria + 1x Essência da Fenda Extinta</t>
        </is>
      </c>
      <c r="D279" s="119" t="inlineStr">
        <is>
          <t>Coleta até Tier 10 | +15% chance de essência extra</t>
        </is>
      </c>
      <c r="E279" s="119" t="n">
        <v>72</v>
      </c>
      <c r="F279" s="119" t="inlineStr">
        <is>
          <t>Faca de Esfolar Refinada de Ébano</t>
        </is>
      </c>
      <c r="G279" s="119" t="n">
        <v>113</v>
      </c>
      <c r="H279" s="119" t="inlineStr">
        <is>
          <t>Qualquer ferreiro da cidade do tier</t>
        </is>
      </c>
      <c r="I279" s="119" t="inlineStr">
        <is>
          <t>Ferramenta de Coleta</t>
        </is>
      </c>
      <c r="J279" s="119" t="inlineStr">
        <is>
          <t>Forja</t>
        </is>
      </c>
    </row>
    <row r="280" ht="15" customHeight="1" s="116">
      <c r="A280" s="119" t="inlineStr">
        <is>
          <t>Tier 11 (Adamantina)</t>
        </is>
      </c>
      <c r="B280" s="119" t="inlineStr">
        <is>
          <t>Picareta</t>
        </is>
      </c>
      <c r="C280" s="119" t="inlineStr">
        <is>
          <t>1x Veio Puro de Adamantina</t>
        </is>
      </c>
      <c r="D280" s="119" t="inlineStr">
        <is>
          <t>Coleta até Tier 11</t>
        </is>
      </c>
      <c r="E280" s="119" t="n">
        <v>98</v>
      </c>
      <c r="F280" s="119" t="inlineStr">
        <is>
          <t>Picareta de Adamantina</t>
        </is>
      </c>
      <c r="G280" s="119" t="n">
        <v>152</v>
      </c>
      <c r="H280" s="119" t="inlineStr">
        <is>
          <t>Qualquer ferreiro da cidade do tier</t>
        </is>
      </c>
      <c r="I280" s="119" t="inlineStr">
        <is>
          <t>Ferramenta de Coleta</t>
        </is>
      </c>
      <c r="J280" s="119" t="inlineStr">
        <is>
          <t>Forja</t>
        </is>
      </c>
    </row>
    <row r="281" ht="15" customHeight="1" s="116">
      <c r="A281" s="119" t="inlineStr">
        <is>
          <t>Tier 11 (Adamantina)</t>
        </is>
      </c>
      <c r="B281" s="119" t="inlineStr">
        <is>
          <t>Picareta</t>
        </is>
      </c>
      <c r="C281" s="119" t="inlineStr">
        <is>
          <t>1x Veio Puro de Adamantina + 1x Fragmento de Coroa do Titã</t>
        </is>
      </c>
      <c r="D281" s="119" t="inlineStr">
        <is>
          <t>Coleta até Tier 11 | +15% chance de minério extra</t>
        </is>
      </c>
      <c r="E281" s="119" t="n">
        <v>98</v>
      </c>
      <c r="F281" s="119" t="inlineStr">
        <is>
          <t>Picareta Refinada de Adamantina</t>
        </is>
      </c>
      <c r="G281" s="119" t="n">
        <v>152</v>
      </c>
      <c r="H281" s="119" t="inlineStr">
        <is>
          <t>Qualquer ferreiro da cidade do tier</t>
        </is>
      </c>
      <c r="I281" s="119" t="inlineStr">
        <is>
          <t>Ferramenta de Coleta</t>
        </is>
      </c>
      <c r="J281" s="119" t="inlineStr">
        <is>
          <t>Forja</t>
        </is>
      </c>
    </row>
    <row r="282" ht="15" customHeight="1" s="116">
      <c r="A282" s="119" t="inlineStr">
        <is>
          <t>Tier 11 (Adamantina)</t>
        </is>
      </c>
      <c r="B282" s="119" t="inlineStr">
        <is>
          <t>Machado</t>
        </is>
      </c>
      <c r="C282" s="119" t="inlineStr">
        <is>
          <t>1x Madeira de Pau-Ferro Ancestral</t>
        </is>
      </c>
      <c r="D282" s="119" t="inlineStr">
        <is>
          <t>Coleta até Tier 11</t>
        </is>
      </c>
      <c r="E282" s="119" t="n">
        <v>98</v>
      </c>
      <c r="F282" s="119" t="inlineStr">
        <is>
          <t>Machado de Lenhador de Adamantina</t>
        </is>
      </c>
      <c r="G282" s="119" t="n">
        <v>152</v>
      </c>
      <c r="H282" s="119" t="inlineStr">
        <is>
          <t>Qualquer ferreiro da cidade do tier</t>
        </is>
      </c>
      <c r="I282" s="119" t="inlineStr">
        <is>
          <t>Ferramenta de Coleta</t>
        </is>
      </c>
      <c r="J282" s="119" t="inlineStr">
        <is>
          <t>Forja</t>
        </is>
      </c>
    </row>
    <row r="283" ht="15" customHeight="1" s="116">
      <c r="A283" s="119" t="inlineStr">
        <is>
          <t>Tier 11 (Adamantina)</t>
        </is>
      </c>
      <c r="B283" s="119" t="inlineStr">
        <is>
          <t>Machado</t>
        </is>
      </c>
      <c r="C283" s="119" t="inlineStr">
        <is>
          <t>1x Madeira de Pau-Ferro Ancestral + 1x Presa Jovem de Devorador de Cavaleiros</t>
        </is>
      </c>
      <c r="D283" s="119" t="inlineStr">
        <is>
          <t>Coleta até Tier 11 | +15% chance de madeira extra</t>
        </is>
      </c>
      <c r="E283" s="119" t="n">
        <v>98</v>
      </c>
      <c r="F283" s="119" t="inlineStr">
        <is>
          <t>Machado de Lenhador Refinado de Adamantina</t>
        </is>
      </c>
      <c r="G283" s="119" t="n">
        <v>152</v>
      </c>
      <c r="H283" s="119" t="inlineStr">
        <is>
          <t>Qualquer ferreiro da cidade do tier</t>
        </is>
      </c>
      <c r="I283" s="119" t="inlineStr">
        <is>
          <t>Ferramenta de Coleta</t>
        </is>
      </c>
      <c r="J283" s="119" t="inlineStr">
        <is>
          <t>Forja</t>
        </is>
      </c>
    </row>
    <row r="284" ht="15" customHeight="1" s="116">
      <c r="A284" s="119" t="inlineStr">
        <is>
          <t>Tier 11 (Adamantina)</t>
        </is>
      </c>
      <c r="B284" s="119" t="inlineStr">
        <is>
          <t>Faca</t>
        </is>
      </c>
      <c r="C284" s="119" t="inlineStr">
        <is>
          <t>1x Flor de Aço Titanica</t>
        </is>
      </c>
      <c r="D284" s="119" t="inlineStr">
        <is>
          <t>Coleta até Tier 11</t>
        </is>
      </c>
      <c r="E284" s="119" t="n">
        <v>98</v>
      </c>
      <c r="F284" s="119" t="inlineStr">
        <is>
          <t>Faca de Esfolar de Adamantina</t>
        </is>
      </c>
      <c r="G284" s="119" t="n">
        <v>152</v>
      </c>
      <c r="H284" s="119" t="inlineStr">
        <is>
          <t>Qualquer ferreiro da cidade do tier</t>
        </is>
      </c>
      <c r="I284" s="119" t="inlineStr">
        <is>
          <t>Ferramenta de Coleta</t>
        </is>
      </c>
      <c r="J284" s="119" t="inlineStr">
        <is>
          <t>Forja</t>
        </is>
      </c>
    </row>
    <row r="285" ht="15" customHeight="1" s="116">
      <c r="A285" s="119" t="inlineStr">
        <is>
          <t>Tier 11 (Adamantina)</t>
        </is>
      </c>
      <c r="B285" s="119" t="inlineStr">
        <is>
          <t>Faca</t>
        </is>
      </c>
      <c r="C285" s="119" t="inlineStr">
        <is>
          <t>1x Flor de Aço Titanica + 1x Fragmento de Coroa do Titã</t>
        </is>
      </c>
      <c r="D285" s="119" t="inlineStr">
        <is>
          <t>Coleta até Tier 11 | +15% chance de essência extra</t>
        </is>
      </c>
      <c r="E285" s="119" t="n">
        <v>98</v>
      </c>
      <c r="F285" s="119" t="inlineStr">
        <is>
          <t>Faca de Esfolar Refinada de Adamantina</t>
        </is>
      </c>
      <c r="G285" s="119" t="n">
        <v>152</v>
      </c>
      <c r="H285" s="119" t="inlineStr">
        <is>
          <t>Qualquer ferreiro da cidade do tier</t>
        </is>
      </c>
      <c r="I285" s="119" t="inlineStr">
        <is>
          <t>Ferramenta de Coleta</t>
        </is>
      </c>
      <c r="J285" s="119" t="inlineStr">
        <is>
          <t>Forja</t>
        </is>
      </c>
    </row>
    <row r="286" ht="15" customHeight="1" s="116">
      <c r="A286" s="119" t="inlineStr">
        <is>
          <t>Tier 12 (Osso de Dragão)</t>
        </is>
      </c>
      <c r="B286" s="119" t="inlineStr">
        <is>
          <t>Picareta</t>
        </is>
      </c>
      <c r="C286" s="119" t="inlineStr">
        <is>
          <t>1x Marfim e Osso de Dragão Ancião</t>
        </is>
      </c>
      <c r="D286" s="119" t="inlineStr">
        <is>
          <t>Coleta até Tier 12</t>
        </is>
      </c>
      <c r="E286" s="119" t="n">
        <v>128</v>
      </c>
      <c r="F286" s="119" t="inlineStr">
        <is>
          <t>Picareta de Osso de Dragão</t>
        </is>
      </c>
      <c r="G286" s="119" t="n">
        <v>197</v>
      </c>
      <c r="H286" s="119" t="inlineStr">
        <is>
          <t>Qualquer ferreiro da cidade do tier</t>
        </is>
      </c>
      <c r="I286" s="119" t="inlineStr">
        <is>
          <t>Ferramenta de Coleta</t>
        </is>
      </c>
      <c r="J286" s="119" t="inlineStr">
        <is>
          <t>Forja</t>
        </is>
      </c>
    </row>
    <row r="287" ht="15" customHeight="1" s="116">
      <c r="A287" s="119" t="inlineStr">
        <is>
          <t>Tier 12 (Osso de Dragão)</t>
        </is>
      </c>
      <c r="B287" s="119" t="inlineStr">
        <is>
          <t>Picareta</t>
        </is>
      </c>
      <c r="C287" s="119" t="inlineStr">
        <is>
          <t>1x Marfim e Osso de Dragão Ancião + 1x Coração Incandescente de Dragão</t>
        </is>
      </c>
      <c r="D287" s="119" t="inlineStr">
        <is>
          <t>Coleta até Tier 12 | +15% chance de minério extra</t>
        </is>
      </c>
      <c r="E287" s="119" t="n">
        <v>128</v>
      </c>
      <c r="F287" s="119" t="inlineStr">
        <is>
          <t>Picareta Refinada de Osso de Dragão</t>
        </is>
      </c>
      <c r="G287" s="119" t="n">
        <v>197</v>
      </c>
      <c r="H287" s="119" t="inlineStr">
        <is>
          <t>Qualquer ferreiro da cidade do tier</t>
        </is>
      </c>
      <c r="I287" s="119" t="inlineStr">
        <is>
          <t>Ferramenta de Coleta</t>
        </is>
      </c>
      <c r="J287" s="119" t="inlineStr">
        <is>
          <t>Forja</t>
        </is>
      </c>
    </row>
    <row r="288" ht="15" customHeight="1" s="116">
      <c r="A288" s="119" t="inlineStr">
        <is>
          <t>Tier 12 (Osso de Dragão)</t>
        </is>
      </c>
      <c r="B288" s="119" t="inlineStr">
        <is>
          <t>Machado</t>
        </is>
      </c>
      <c r="C288" s="119" t="inlineStr">
        <is>
          <t>1x Pinheiro Draconiano de Alta Altitude</t>
        </is>
      </c>
      <c r="D288" s="119" t="inlineStr">
        <is>
          <t>Coleta até Tier 12</t>
        </is>
      </c>
      <c r="E288" s="119" t="n">
        <v>128</v>
      </c>
      <c r="F288" s="119" t="inlineStr">
        <is>
          <t>Machado de Lenhador de Osso de Dragão</t>
        </is>
      </c>
      <c r="G288" s="119" t="n">
        <v>197</v>
      </c>
      <c r="H288" s="119" t="inlineStr">
        <is>
          <t>Qualquer ferreiro da cidade do tier</t>
        </is>
      </c>
      <c r="I288" s="119" t="inlineStr">
        <is>
          <t>Ferramenta de Coleta</t>
        </is>
      </c>
      <c r="J288" s="119" t="inlineStr">
        <is>
          <t>Forja</t>
        </is>
      </c>
    </row>
    <row r="289" ht="15" customHeight="1" s="116">
      <c r="A289" s="119" t="inlineStr">
        <is>
          <t>Tier 12 (Osso de Dragão)</t>
        </is>
      </c>
      <c r="B289" s="119" t="inlineStr">
        <is>
          <t>Machado</t>
        </is>
      </c>
      <c r="C289" s="119" t="inlineStr">
        <is>
          <t>1x Pinheiro Draconiano de Alta Altitude + 1x Escama Ferida de Wyrmling Jovem</t>
        </is>
      </c>
      <c r="D289" s="119" t="inlineStr">
        <is>
          <t>Coleta até Tier 12 | +15% chance de madeira extra</t>
        </is>
      </c>
      <c r="E289" s="119" t="n">
        <v>128</v>
      </c>
      <c r="F289" s="119" t="inlineStr">
        <is>
          <t>Machado de Lenhador Refinado de Osso de Dragão</t>
        </is>
      </c>
      <c r="G289" s="119" t="n">
        <v>197</v>
      </c>
      <c r="H289" s="119" t="inlineStr">
        <is>
          <t>Qualquer ferreiro da cidade do tier</t>
        </is>
      </c>
      <c r="I289" s="119" t="inlineStr">
        <is>
          <t>Ferramenta de Coleta</t>
        </is>
      </c>
      <c r="J289" s="119" t="inlineStr">
        <is>
          <t>Forja</t>
        </is>
      </c>
    </row>
    <row r="290" ht="15" customHeight="1" s="116">
      <c r="A290" s="119" t="inlineStr">
        <is>
          <t>Tier 12 (Osso de Dragão)</t>
        </is>
      </c>
      <c r="B290" s="119" t="inlineStr">
        <is>
          <t>Faca</t>
        </is>
      </c>
      <c r="C290" s="119" t="inlineStr">
        <is>
          <t>1x Flor Bafo-de-Dragão</t>
        </is>
      </c>
      <c r="D290" s="119" t="inlineStr">
        <is>
          <t>Coleta até Tier 12</t>
        </is>
      </c>
      <c r="E290" s="119" t="n">
        <v>128</v>
      </c>
      <c r="F290" s="119" t="inlineStr">
        <is>
          <t>Faca de Esfolar de Osso de Dragão</t>
        </is>
      </c>
      <c r="G290" s="119" t="n">
        <v>197</v>
      </c>
      <c r="H290" s="119" t="inlineStr">
        <is>
          <t>Qualquer ferreiro da cidade do tier</t>
        </is>
      </c>
      <c r="I290" s="119" t="inlineStr">
        <is>
          <t>Ferramenta de Coleta</t>
        </is>
      </c>
      <c r="J290" s="119" t="inlineStr">
        <is>
          <t>Forja</t>
        </is>
      </c>
    </row>
    <row r="291" ht="15" customHeight="1" s="116">
      <c r="A291" s="119" t="inlineStr">
        <is>
          <t>Tier 12 (Osso de Dragão)</t>
        </is>
      </c>
      <c r="B291" s="119" t="inlineStr">
        <is>
          <t>Faca</t>
        </is>
      </c>
      <c r="C291" s="119" t="inlineStr">
        <is>
          <t>1x Flor Bafo-de-Dragão + 1x Coração Incandescente de Dragão</t>
        </is>
      </c>
      <c r="D291" s="119" t="inlineStr">
        <is>
          <t>Coleta até Tier 12 | +15% chance de essência extra</t>
        </is>
      </c>
      <c r="E291" s="119" t="n">
        <v>128</v>
      </c>
      <c r="F291" s="119" t="inlineStr">
        <is>
          <t>Faca de Esfolar Refinada de Osso de Dragão</t>
        </is>
      </c>
      <c r="G291" s="119" t="n">
        <v>197</v>
      </c>
      <c r="H291" s="119" t="inlineStr">
        <is>
          <t>Qualquer ferreiro da cidade do tier</t>
        </is>
      </c>
      <c r="I291" s="119" t="inlineStr">
        <is>
          <t>Ferramenta de Coleta</t>
        </is>
      </c>
      <c r="J291" s="119" t="inlineStr">
        <is>
          <t>Forja</t>
        </is>
      </c>
    </row>
    <row r="292" ht="15" customHeight="1" s="116">
      <c r="A292" s="119" t="inlineStr">
        <is>
          <t>Tier 13 (Pacto Daédrico)</t>
        </is>
      </c>
      <c r="B292" s="119" t="inlineStr">
        <is>
          <t>Picareta</t>
        </is>
      </c>
      <c r="C292" s="119" t="inlineStr">
        <is>
          <t>1x Veio do Pacto Abissal</t>
        </is>
      </c>
      <c r="D292" s="119" t="inlineStr">
        <is>
          <t>Coleta até Tier 13</t>
        </is>
      </c>
      <c r="E292" s="119" t="n">
        <v>180</v>
      </c>
      <c r="F292" s="119" t="inlineStr">
        <is>
          <t>Picareta de Pacto Daédrico</t>
        </is>
      </c>
      <c r="G292" s="119" t="n">
        <v>275</v>
      </c>
      <c r="H292" s="119" t="inlineStr">
        <is>
          <t>Qualquer ferreiro da cidade do tier</t>
        </is>
      </c>
      <c r="I292" s="119" t="inlineStr">
        <is>
          <t>Ferramenta de Coleta</t>
        </is>
      </c>
      <c r="J292" s="119" t="inlineStr">
        <is>
          <t>Forja</t>
        </is>
      </c>
    </row>
    <row r="293" ht="15" customHeight="1" s="116">
      <c r="A293" s="119" t="inlineStr">
        <is>
          <t>Tier 13 (Pacto Daédrico)</t>
        </is>
      </c>
      <c r="B293" s="119" t="inlineStr">
        <is>
          <t>Picareta</t>
        </is>
      </c>
      <c r="C293" s="119" t="inlineStr">
        <is>
          <t>1x Veio do Pacto Abissal + 1x Olho Preservado do Arauto</t>
        </is>
      </c>
      <c r="D293" s="119" t="inlineStr">
        <is>
          <t>Coleta até Tier 13 | +15% chance de minério extra</t>
        </is>
      </c>
      <c r="E293" s="119" t="n">
        <v>180</v>
      </c>
      <c r="F293" s="119" t="inlineStr">
        <is>
          <t>Picareta Refinada de Pacto Daédrico</t>
        </is>
      </c>
      <c r="G293" s="119" t="n">
        <v>275</v>
      </c>
      <c r="H293" s="119" t="inlineStr">
        <is>
          <t>Qualquer ferreiro da cidade do tier</t>
        </is>
      </c>
      <c r="I293" s="119" t="inlineStr">
        <is>
          <t>Ferramenta de Coleta</t>
        </is>
      </c>
      <c r="J293" s="119" t="inlineStr">
        <is>
          <t>Forja</t>
        </is>
      </c>
    </row>
    <row r="294" ht="15" customHeight="1" s="116">
      <c r="A294" s="119" t="inlineStr">
        <is>
          <t>Tier 13 (Pacto Daédrico)</t>
        </is>
      </c>
      <c r="B294" s="119" t="inlineStr">
        <is>
          <t>Machado</t>
        </is>
      </c>
      <c r="C294" s="119" t="inlineStr">
        <is>
          <t>1x Madeira Sangrenta Amaldiçoada</t>
        </is>
      </c>
      <c r="D294" s="119" t="inlineStr">
        <is>
          <t>Coleta até Tier 13</t>
        </is>
      </c>
      <c r="E294" s="119" t="n">
        <v>180</v>
      </c>
      <c r="F294" s="119" t="inlineStr">
        <is>
          <t>Machado de Lenhador de Pacto Daédrico</t>
        </is>
      </c>
      <c r="G294" s="119" t="n">
        <v>275</v>
      </c>
      <c r="H294" s="119" t="inlineStr">
        <is>
          <t>Qualquer ferreiro da cidade do tier</t>
        </is>
      </c>
      <c r="I294" s="119" t="inlineStr">
        <is>
          <t>Ferramenta de Coleta</t>
        </is>
      </c>
      <c r="J294" s="119" t="inlineStr">
        <is>
          <t>Forja</t>
        </is>
      </c>
    </row>
    <row r="295" ht="15" customHeight="1" s="116">
      <c r="A295" s="119" t="inlineStr">
        <is>
          <t>Tier 13 (Pacto Daédrico)</t>
        </is>
      </c>
      <c r="B295" s="119" t="inlineStr">
        <is>
          <t>Machado</t>
        </is>
      </c>
      <c r="C295" s="119" t="inlineStr">
        <is>
          <t>1x Madeira Sangrenta Amaldiçoada + 1x Presa Jovem de Devorador de Sacrifícios</t>
        </is>
      </c>
      <c r="D295" s="119" t="inlineStr">
        <is>
          <t>Coleta até Tier 13 | +15% chance de madeira extra</t>
        </is>
      </c>
      <c r="E295" s="119" t="n">
        <v>180</v>
      </c>
      <c r="F295" s="119" t="inlineStr">
        <is>
          <t>Machado de Lenhador Refinado de Pacto Daédrico</t>
        </is>
      </c>
      <c r="G295" s="119" t="n">
        <v>275</v>
      </c>
      <c r="H295" s="119" t="inlineStr">
        <is>
          <t>Qualquer ferreiro da cidade do tier</t>
        </is>
      </c>
      <c r="I295" s="119" t="inlineStr">
        <is>
          <t>Ferramenta de Coleta</t>
        </is>
      </c>
      <c r="J295" s="119" t="inlineStr">
        <is>
          <t>Forja</t>
        </is>
      </c>
    </row>
    <row r="296" ht="15" customHeight="1" s="116">
      <c r="A296" s="119" t="inlineStr">
        <is>
          <t>Tier 13 (Pacto Daédrico)</t>
        </is>
      </c>
      <c r="B296" s="119" t="inlineStr">
        <is>
          <t>Faca</t>
        </is>
      </c>
      <c r="C296" s="119" t="inlineStr">
        <is>
          <t>1x Erva da Oferenda Sombria</t>
        </is>
      </c>
      <c r="D296" s="119" t="inlineStr">
        <is>
          <t>Coleta até Tier 13</t>
        </is>
      </c>
      <c r="E296" s="119" t="n">
        <v>180</v>
      </c>
      <c r="F296" s="119" t="inlineStr">
        <is>
          <t>Faca de Esfolar de Pacto Daédrico</t>
        </is>
      </c>
      <c r="G296" s="119" t="n">
        <v>275</v>
      </c>
      <c r="H296" s="119" t="inlineStr">
        <is>
          <t>Qualquer ferreiro da cidade do tier</t>
        </is>
      </c>
      <c r="I296" s="119" t="inlineStr">
        <is>
          <t>Ferramenta de Coleta</t>
        </is>
      </c>
      <c r="J296" s="119" t="inlineStr">
        <is>
          <t>Forja</t>
        </is>
      </c>
    </row>
    <row r="297" ht="15" customHeight="1" s="116">
      <c r="A297" s="119" t="inlineStr">
        <is>
          <t>Tier 13 (Pacto Daédrico)</t>
        </is>
      </c>
      <c r="B297" s="119" t="inlineStr">
        <is>
          <t>Faca</t>
        </is>
      </c>
      <c r="C297" s="119" t="inlineStr">
        <is>
          <t>1x Erva da Oferenda Sombria + 1x Olho Preservado do Arauto</t>
        </is>
      </c>
      <c r="D297" s="119" t="inlineStr">
        <is>
          <t>Coleta até Tier 13 | +15% chance de essência extra</t>
        </is>
      </c>
      <c r="E297" s="119" t="n">
        <v>180</v>
      </c>
      <c r="F297" s="119" t="inlineStr">
        <is>
          <t>Faca de Esfolar Refinada de Pacto Daédrico</t>
        </is>
      </c>
      <c r="G297" s="119" t="n">
        <v>275</v>
      </c>
      <c r="H297" s="119" t="inlineStr">
        <is>
          <t>Qualquer ferreiro da cidade do tier</t>
        </is>
      </c>
      <c r="I297" s="119" t="inlineStr">
        <is>
          <t>Ferramenta de Coleta</t>
        </is>
      </c>
      <c r="J297" s="119" t="inlineStr">
        <is>
          <t>Forja</t>
        </is>
      </c>
    </row>
    <row r="298" ht="15" customHeight="1" s="116">
      <c r="A298" s="119" t="inlineStr">
        <is>
          <t>Tier 14 (Estelar/Cósmico)</t>
        </is>
      </c>
      <c r="B298" s="119" t="inlineStr">
        <is>
          <t>Picareta</t>
        </is>
      </c>
      <c r="C298" s="119" t="inlineStr">
        <is>
          <t>1x Minério Estelar / Poeira de Quasar</t>
        </is>
      </c>
      <c r="D298" s="119" t="inlineStr">
        <is>
          <t>Coleta até Tier 14</t>
        </is>
      </c>
      <c r="E298" s="119" t="n">
        <v>270</v>
      </c>
      <c r="F298" s="119" t="inlineStr">
        <is>
          <t>Picareta de Estelar/Cósmico</t>
        </is>
      </c>
      <c r="G298" s="119" t="n">
        <v>410</v>
      </c>
      <c r="H298" s="119" t="inlineStr">
        <is>
          <t>Qualquer ferreiro da cidade do tier</t>
        </is>
      </c>
      <c r="I298" s="119" t="inlineStr">
        <is>
          <t>Ferramenta de Coleta</t>
        </is>
      </c>
      <c r="J298" s="119" t="inlineStr">
        <is>
          <t>Forja</t>
        </is>
      </c>
    </row>
    <row r="299" ht="15" customHeight="1" s="116">
      <c r="A299" s="119" t="inlineStr">
        <is>
          <t>Tier 14 (Estelar/Cósmico)</t>
        </is>
      </c>
      <c r="B299" s="119" t="inlineStr">
        <is>
          <t>Picareta</t>
        </is>
      </c>
      <c r="C299" s="119" t="inlineStr">
        <is>
          <t>1x Minério Estelar / Poeira de Quasar + 1x Centelha do Fim Inominável</t>
        </is>
      </c>
      <c r="D299" s="119" t="inlineStr">
        <is>
          <t>Coleta até Tier 14 | +15% chance de minério extra</t>
        </is>
      </c>
      <c r="E299" s="119" t="n">
        <v>270</v>
      </c>
      <c r="F299" s="119" t="inlineStr">
        <is>
          <t>Picareta Refinada de Estelar/Cósmico</t>
        </is>
      </c>
      <c r="G299" s="119" t="n">
        <v>410</v>
      </c>
      <c r="H299" s="119" t="inlineStr">
        <is>
          <t>Qualquer ferreiro da cidade do tier</t>
        </is>
      </c>
      <c r="I299" s="119" t="inlineStr">
        <is>
          <t>Ferramenta de Coleta</t>
        </is>
      </c>
      <c r="J299" s="119" t="inlineStr">
        <is>
          <t>Forja</t>
        </is>
      </c>
    </row>
    <row r="300" ht="15" customHeight="1" s="116">
      <c r="A300" s="119" t="inlineStr">
        <is>
          <t>Tier 14 (Estelar/Cósmico)</t>
        </is>
      </c>
      <c r="B300" s="119" t="inlineStr">
        <is>
          <t>Machado</t>
        </is>
      </c>
      <c r="C300" s="119" t="inlineStr">
        <is>
          <t>1x Tronco Astral do Vazio</t>
        </is>
      </c>
      <c r="D300" s="119" t="inlineStr">
        <is>
          <t>Coleta até Tier 14</t>
        </is>
      </c>
      <c r="E300" s="119" t="n">
        <v>270</v>
      </c>
      <c r="F300" s="119" t="inlineStr">
        <is>
          <t>Machado de Lenhador de Estelar/Cósmico</t>
        </is>
      </c>
      <c r="G300" s="119" t="n">
        <v>410</v>
      </c>
      <c r="H300" s="119" t="inlineStr">
        <is>
          <t>Qualquer ferreiro da cidade do tier</t>
        </is>
      </c>
      <c r="I300" s="119" t="inlineStr">
        <is>
          <t>Ferramenta de Coleta</t>
        </is>
      </c>
      <c r="J300" s="119" t="inlineStr">
        <is>
          <t>Forja</t>
        </is>
      </c>
    </row>
    <row r="301" ht="15" customHeight="1" s="116">
      <c r="A301" s="119" t="inlineStr">
        <is>
          <t>Tier 14 (Estelar/Cósmico)</t>
        </is>
      </c>
      <c r="B301" s="119" t="inlineStr">
        <is>
          <t>Machado</t>
        </is>
      </c>
      <c r="C301" s="119" t="inlineStr">
        <is>
          <t>1x Tronco Astral do Vazio + 1x Poeira de Fragmento Consciente</t>
        </is>
      </c>
      <c r="D301" s="119" t="inlineStr">
        <is>
          <t>Coleta até Tier 14 | +15% chance de madeira extra</t>
        </is>
      </c>
      <c r="E301" s="119" t="n">
        <v>270</v>
      </c>
      <c r="F301" s="119" t="inlineStr">
        <is>
          <t>Machado de Lenhador Refinado de Estelar/Cósmico</t>
        </is>
      </c>
      <c r="G301" s="119" t="n">
        <v>410</v>
      </c>
      <c r="H301" s="119" t="inlineStr">
        <is>
          <t>Qualquer ferreiro da cidade do tier</t>
        </is>
      </c>
      <c r="I301" s="119" t="inlineStr">
        <is>
          <t>Ferramenta de Coleta</t>
        </is>
      </c>
      <c r="J301" s="119" t="inlineStr">
        <is>
          <t>Forja</t>
        </is>
      </c>
    </row>
    <row r="302" ht="15" customHeight="1" s="116">
      <c r="A302" s="119" t="inlineStr">
        <is>
          <t>Tier 14 (Estelar/Cósmico)</t>
        </is>
      </c>
      <c r="B302" s="119" t="inlineStr">
        <is>
          <t>Faca</t>
        </is>
      </c>
      <c r="C302" s="119" t="inlineStr">
        <is>
          <t>1x Lótus Cósmica do Fim dos Tempos</t>
        </is>
      </c>
      <c r="D302" s="119" t="inlineStr">
        <is>
          <t>Coleta até Tier 14</t>
        </is>
      </c>
      <c r="E302" s="119" t="n">
        <v>270</v>
      </c>
      <c r="F302" s="119" t="inlineStr">
        <is>
          <t>Faca de Esfolar de Estelar/Cósmico</t>
        </is>
      </c>
      <c r="G302" s="119" t="n">
        <v>410</v>
      </c>
      <c r="H302" s="119" t="inlineStr">
        <is>
          <t>Qualquer ferreiro da cidade do tier</t>
        </is>
      </c>
      <c r="I302" s="119" t="inlineStr">
        <is>
          <t>Ferramenta de Coleta</t>
        </is>
      </c>
      <c r="J302" s="119" t="inlineStr">
        <is>
          <t>Forja</t>
        </is>
      </c>
    </row>
    <row r="303" ht="15" customHeight="1" s="116">
      <c r="A303" s="119" t="inlineStr">
        <is>
          <t>Tier 14 (Estelar/Cósmico)</t>
        </is>
      </c>
      <c r="B303" s="119" t="inlineStr">
        <is>
          <t>Faca</t>
        </is>
      </c>
      <c r="C303" s="119" t="inlineStr">
        <is>
          <t>1x Lótus Cósmica do Fim dos Tempos + 1x Centelha do Fim Inominável</t>
        </is>
      </c>
      <c r="D303" s="119" t="inlineStr">
        <is>
          <t>Coleta até Tier 14 | +15% chance de essência extra</t>
        </is>
      </c>
      <c r="E303" s="119" t="n">
        <v>270</v>
      </c>
      <c r="F303" s="119" t="inlineStr">
        <is>
          <t>Faca de Esfolar Refinada de Estelar/Cósmico</t>
        </is>
      </c>
      <c r="G303" s="119" t="n">
        <v>410</v>
      </c>
      <c r="H303" s="119" t="inlineStr">
        <is>
          <t>Qualquer ferreiro da cidade do tier</t>
        </is>
      </c>
      <c r="I303" s="119" t="inlineStr">
        <is>
          <t>Ferramenta de Coleta</t>
        </is>
      </c>
      <c r="J303" s="119" t="inlineStr">
        <is>
          <t>Forja</t>
        </is>
      </c>
    </row>
    <row r="304" ht="15" customHeight="1" s="116">
      <c r="A304" s="119" t="inlineStr">
        <is>
          <t>Tier 1 (Sucata Enferrujada)</t>
        </is>
      </c>
      <c r="B304" s="119" t="inlineStr">
        <is>
          <t>Comida/Bebida</t>
        </is>
      </c>
      <c r="C304" s="119" t="inlineStr">
        <is>
          <t>2x Raiz de Sangue-Seco</t>
        </is>
      </c>
      <c r="D304" s="119" t="inlineStr">
        <is>
          <t>+1 em testes físicos (FOR/DES) até o próximo Descanso</t>
        </is>
      </c>
      <c r="E304" s="119" t="n">
        <v>0</v>
      </c>
      <c r="F304" s="119" t="inlineStr">
        <is>
          <t>Ensopado de Raiz de Sangue-Seco</t>
        </is>
      </c>
      <c r="G304" s="119" t="n">
        <v>3</v>
      </c>
      <c r="H304" s="119" t="inlineStr">
        <is>
          <t>Qualquer Fogueira (não precisa de cidade)</t>
        </is>
      </c>
      <c r="I304" s="119" t="inlineStr">
        <is>
          <t>Comida/Bebida</t>
        </is>
      </c>
      <c r="J304" s="119" t="inlineStr">
        <is>
          <t>Fogueira</t>
        </is>
      </c>
    </row>
    <row r="305" ht="15" customHeight="1" s="116">
      <c r="A305" s="119" t="inlineStr">
        <is>
          <t>Tier 2 (Bronze)</t>
        </is>
      </c>
      <c r="B305" s="119" t="inlineStr">
        <is>
          <t>Comida/Bebida</t>
        </is>
      </c>
      <c r="C305" s="119" t="inlineStr">
        <is>
          <t>2x Cogumelo do Escuro</t>
        </is>
      </c>
      <c r="D305" s="119" t="inlineStr">
        <is>
          <t>+1 em testes de Percepção (SAB) até o próximo Descanso</t>
        </is>
      </c>
      <c r="E305" s="119" t="n">
        <v>1</v>
      </c>
      <c r="F305" s="119" t="inlineStr">
        <is>
          <t>Cogumelos Assados na Forja</t>
        </is>
      </c>
      <c r="G305" s="119" t="n">
        <v>5</v>
      </c>
      <c r="H305" s="119" t="inlineStr">
        <is>
          <t>Qualquer Fogueira (não precisa de cidade)</t>
        </is>
      </c>
      <c r="I305" s="119" t="inlineStr">
        <is>
          <t>Comida/Bebida</t>
        </is>
      </c>
      <c r="J305" s="119" t="inlineStr">
        <is>
          <t>Fogueira</t>
        </is>
      </c>
    </row>
    <row r="306" ht="15" customHeight="1" s="116">
      <c r="A306" s="119" t="inlineStr">
        <is>
          <t>Tier 3 (Ferro)</t>
        </is>
      </c>
      <c r="B306" s="119" t="inlineStr">
        <is>
          <t>Comida/Bebida</t>
        </is>
      </c>
      <c r="C306" s="119" t="inlineStr">
        <is>
          <t>2x Líquen Ferruginoso</t>
        </is>
      </c>
      <c r="D306" s="119" t="inlineStr">
        <is>
          <t>+1 de Defesa até o próximo Descanso</t>
        </is>
      </c>
      <c r="E306" s="119" t="n">
        <v>2</v>
      </c>
      <c r="F306" s="119" t="inlineStr">
        <is>
          <t>Chá de Líquen Ferruginoso</t>
        </is>
      </c>
      <c r="G306" s="119" t="n">
        <v>6</v>
      </c>
      <c r="H306" s="119" t="inlineStr">
        <is>
          <t>Qualquer Fogueira (não precisa de cidade)</t>
        </is>
      </c>
      <c r="I306" s="119" t="inlineStr">
        <is>
          <t>Comida/Bebida</t>
        </is>
      </c>
      <c r="J306" s="119" t="inlineStr">
        <is>
          <t>Fogueira</t>
        </is>
      </c>
    </row>
    <row r="307" ht="15" customHeight="1" s="116">
      <c r="A307" s="119" t="inlineStr">
        <is>
          <t>Tier 4 (Prata)</t>
        </is>
      </c>
      <c r="B307" s="119" t="inlineStr">
        <is>
          <t>Comida/Bebida</t>
        </is>
      </c>
      <c r="C307" s="119" t="inlineStr">
        <is>
          <t>2x Flor do Sudário</t>
        </is>
      </c>
      <c r="D307" s="119" t="inlineStr">
        <is>
          <t>+10% de resistência a efeitos de Medo até o próximo Descanso</t>
        </is>
      </c>
      <c r="E307" s="119" t="n">
        <v>4</v>
      </c>
      <c r="F307" s="119" t="inlineStr">
        <is>
          <t>Infusão da Flor do Sudário</t>
        </is>
      </c>
      <c r="G307" s="119" t="n">
        <v>9</v>
      </c>
      <c r="H307" s="119" t="inlineStr">
        <is>
          <t>Qualquer Fogueira (não precisa de cidade)</t>
        </is>
      </c>
      <c r="I307" s="119" t="inlineStr">
        <is>
          <t>Comida/Bebida</t>
        </is>
      </c>
      <c r="J307" s="119" t="inlineStr">
        <is>
          <t>Fogueira</t>
        </is>
      </c>
    </row>
    <row r="308" ht="15" customHeight="1" s="116">
      <c r="A308" s="119" t="inlineStr">
        <is>
          <t>Tier 5 (Aço Élfico)</t>
        </is>
      </c>
      <c r="B308" s="119" t="inlineStr">
        <is>
          <t>Comida/Bebida</t>
        </is>
      </c>
      <c r="C308" s="119" t="inlineStr">
        <is>
          <t>2x Folha Cantante</t>
        </is>
      </c>
      <c r="D308" s="119" t="inlineStr">
        <is>
          <t>+1 de Bônus de Ataque com Arco/Cetro até o próximo Descanso</t>
        </is>
      </c>
      <c r="E308" s="119" t="n">
        <v>7</v>
      </c>
      <c r="F308" s="119" t="inlineStr">
        <is>
          <t>Salada de Folha Cantante</t>
        </is>
      </c>
      <c r="G308" s="119" t="n">
        <v>13</v>
      </c>
      <c r="H308" s="119" t="inlineStr">
        <is>
          <t>Qualquer Fogueira (não precisa de cidade)</t>
        </is>
      </c>
      <c r="I308" s="119" t="inlineStr">
        <is>
          <t>Comida/Bebida</t>
        </is>
      </c>
      <c r="J308" s="119" t="inlineStr">
        <is>
          <t>Fogueira</t>
        </is>
      </c>
    </row>
    <row r="309" ht="15" customHeight="1" s="116">
      <c r="A309" s="119" t="inlineStr">
        <is>
          <t>Tier 6 (Mecanismo Anão)</t>
        </is>
      </c>
      <c r="B309" s="119" t="inlineStr">
        <is>
          <t>Comida/Bebida</t>
        </is>
      </c>
      <c r="C309" s="119" t="inlineStr">
        <is>
          <t>2x Musgo de Graxa Arcana</t>
        </is>
      </c>
      <c r="D309" s="119" t="inlineStr">
        <is>
          <t>Reduz custo de VIG de Exploração em 1 até o próximo Descanso</t>
        </is>
      </c>
      <c r="E309" s="119" t="n">
        <v>10</v>
      </c>
      <c r="F309" s="119" t="inlineStr">
        <is>
          <t>Óleo de Musgo de Graxa (bebida industrial)</t>
        </is>
      </c>
      <c r="G309" s="119" t="n">
        <v>18</v>
      </c>
      <c r="H309" s="119" t="inlineStr">
        <is>
          <t>Qualquer Fogueira (não precisa de cidade)</t>
        </is>
      </c>
      <c r="I309" s="119" t="inlineStr">
        <is>
          <t>Comida/Bebida</t>
        </is>
      </c>
      <c r="J309" s="119" t="inlineStr">
        <is>
          <t>Fogueira</t>
        </is>
      </c>
    </row>
    <row r="310" ht="15" customHeight="1" s="116">
      <c r="A310" s="119" t="inlineStr">
        <is>
          <t>Tier 7 (Vidro Vulcânico)</t>
        </is>
      </c>
      <c r="B310" s="119" t="inlineStr">
        <is>
          <t>Comida/Bebida</t>
        </is>
      </c>
      <c r="C310" s="119" t="inlineStr">
        <is>
          <t>2x Orquídea de Magma</t>
        </is>
      </c>
      <c r="D310" s="119" t="inlineStr">
        <is>
          <t>+10% de resistência a Queimadura até o próximo Descanso</t>
        </is>
      </c>
      <c r="E310" s="119" t="n">
        <v>14</v>
      </c>
      <c r="F310" s="119" t="inlineStr">
        <is>
          <t>Orquídea Grelhada na Lava</t>
        </is>
      </c>
      <c r="G310" s="119" t="n">
        <v>24</v>
      </c>
      <c r="H310" s="119" t="inlineStr">
        <is>
          <t>Qualquer Fogueira (não precisa de cidade)</t>
        </is>
      </c>
      <c r="I310" s="119" t="inlineStr">
        <is>
          <t>Comida/Bebida</t>
        </is>
      </c>
      <c r="J310" s="119" t="inlineStr">
        <is>
          <t>Fogueira</t>
        </is>
      </c>
    </row>
    <row r="311" ht="15" customHeight="1" s="116">
      <c r="A311" s="119" t="inlineStr">
        <is>
          <t>Tier 8 (Ferro Órquico)</t>
        </is>
      </c>
      <c r="B311" s="119" t="inlineStr">
        <is>
          <t>Comida/Bebida</t>
        </is>
      </c>
      <c r="C311" s="119" t="inlineStr">
        <is>
          <t>2x Raiz da Fúria Vermelha</t>
        </is>
      </c>
      <c r="D311" s="119" t="inlineStr">
        <is>
          <t>+1 de Dano corpo-a-corpo até o próximo Descanso</t>
        </is>
      </c>
      <c r="E311" s="119" t="n">
        <v>20</v>
      </c>
      <c r="F311" s="119" t="inlineStr">
        <is>
          <t>Raiz da Fúria em Caldo</t>
        </is>
      </c>
      <c r="G311" s="119" t="n">
        <v>33</v>
      </c>
      <c r="H311" s="119" t="inlineStr">
        <is>
          <t>Qualquer Fogueira (não precisa de cidade)</t>
        </is>
      </c>
      <c r="I311" s="119" t="inlineStr">
        <is>
          <t>Comida/Bebida</t>
        </is>
      </c>
      <c r="J311" s="119" t="inlineStr">
        <is>
          <t>Fogueira</t>
        </is>
      </c>
    </row>
    <row r="312" ht="15" customHeight="1" s="116">
      <c r="A312" s="119" t="inlineStr">
        <is>
          <t>Tier 9 (Mithril)</t>
        </is>
      </c>
      <c r="B312" s="119" t="inlineStr">
        <is>
          <t>Comida/Bebida</t>
        </is>
      </c>
      <c r="C312" s="119" t="inlineStr">
        <is>
          <t>2x Lótus do Lago Sem Sol</t>
        </is>
      </c>
      <c r="D312" s="119" t="inlineStr">
        <is>
          <t>+1 de Mana Máxima até o próximo Descanso</t>
        </is>
      </c>
      <c r="E312" s="119" t="n">
        <v>28</v>
      </c>
      <c r="F312" s="119" t="inlineStr">
        <is>
          <t>Lótus do Lago Sem Sol ao Vapor</t>
        </is>
      </c>
      <c r="G312" s="119" t="n">
        <v>45</v>
      </c>
      <c r="H312" s="119" t="inlineStr">
        <is>
          <t>Qualquer Fogueira (não precisa de cidade)</t>
        </is>
      </c>
      <c r="I312" s="119" t="inlineStr">
        <is>
          <t>Comida/Bebida</t>
        </is>
      </c>
      <c r="J312" s="119" t="inlineStr">
        <is>
          <t>Fogueira</t>
        </is>
      </c>
    </row>
    <row r="313" ht="15" customHeight="1" s="116">
      <c r="A313" s="119" t="inlineStr">
        <is>
          <t>Tier 10 (Ébano)</t>
        </is>
      </c>
      <c r="B313" s="119" t="inlineStr">
        <is>
          <t>Comida/Bebida</t>
        </is>
      </c>
      <c r="C313" s="119" t="inlineStr">
        <is>
          <t>2x Cogumelo da Cinza Fria</t>
        </is>
      </c>
      <c r="D313" s="119" t="inlineStr">
        <is>
          <t>+10% de resistência a Veneno até o próximo Descanso</t>
        </is>
      </c>
      <c r="E313" s="119" t="n">
        <v>38</v>
      </c>
      <c r="F313" s="119" t="inlineStr">
        <is>
          <t>Cogumelo da Cinza Fria Curado</t>
        </is>
      </c>
      <c r="G313" s="119" t="n">
        <v>60</v>
      </c>
      <c r="H313" s="119" t="inlineStr">
        <is>
          <t>Qualquer Fogueira (não precisa de cidade)</t>
        </is>
      </c>
      <c r="I313" s="119" t="inlineStr">
        <is>
          <t>Comida/Bebida</t>
        </is>
      </c>
      <c r="J313" s="119" t="inlineStr">
        <is>
          <t>Fogueira</t>
        </is>
      </c>
    </row>
    <row r="314" ht="15" customHeight="1" s="116">
      <c r="A314" s="119" t="inlineStr">
        <is>
          <t>Tier 11 (Adamantina)</t>
        </is>
      </c>
      <c r="B314" s="119" t="inlineStr">
        <is>
          <t>Comida/Bebida</t>
        </is>
      </c>
      <c r="C314" s="119" t="inlineStr">
        <is>
          <t>2x Flor de Aço Titanica</t>
        </is>
      </c>
      <c r="D314" s="119" t="inlineStr">
        <is>
          <t>+2 de Defesa até o próximo Descanso</t>
        </is>
      </c>
      <c r="E314" s="119" t="n">
        <v>52</v>
      </c>
      <c r="F314" s="119" t="inlineStr">
        <is>
          <t>Flor de Aço Titânica em Infusão</t>
        </is>
      </c>
      <c r="G314" s="119" t="n">
        <v>81</v>
      </c>
      <c r="H314" s="119" t="inlineStr">
        <is>
          <t>Qualquer Fogueira (não precisa de cidade)</t>
        </is>
      </c>
      <c r="I314" s="119" t="inlineStr">
        <is>
          <t>Comida/Bebida</t>
        </is>
      </c>
      <c r="J314" s="119" t="inlineStr">
        <is>
          <t>Fogueira</t>
        </is>
      </c>
    </row>
    <row r="315" ht="15" customHeight="1" s="116">
      <c r="A315" s="119" t="inlineStr">
        <is>
          <t>Tier 12 (Osso de Dragão)</t>
        </is>
      </c>
      <c r="B315" s="119" t="inlineStr">
        <is>
          <t>Comida/Bebida</t>
        </is>
      </c>
      <c r="C315" s="119" t="inlineStr">
        <is>
          <t>2x Flor Bafo-de-Dragão</t>
        </is>
      </c>
      <c r="D315" s="119" t="inlineStr">
        <is>
          <t>+1 de Dano de fogo até o próximo Descanso</t>
        </is>
      </c>
      <c r="E315" s="119" t="n">
        <v>68</v>
      </c>
      <c r="F315" s="119" t="inlineStr">
        <is>
          <t>Flor Bafo-de-Dragão Defumada</t>
        </is>
      </c>
      <c r="G315" s="119" t="n">
        <v>105</v>
      </c>
      <c r="H315" s="119" t="inlineStr">
        <is>
          <t>Qualquer Fogueira (não precisa de cidade)</t>
        </is>
      </c>
      <c r="I315" s="119" t="inlineStr">
        <is>
          <t>Comida/Bebida</t>
        </is>
      </c>
      <c r="J315" s="119" t="inlineStr">
        <is>
          <t>Fogueira</t>
        </is>
      </c>
    </row>
    <row r="316" ht="15" customHeight="1" s="116">
      <c r="A316" s="119" t="inlineStr">
        <is>
          <t>Tier 13 (Pacto Daédrico)</t>
        </is>
      </c>
      <c r="B316" s="119" t="inlineStr">
        <is>
          <t>Comida/Bebida</t>
        </is>
      </c>
      <c r="C316" s="119" t="inlineStr">
        <is>
          <t>2x Erva da Oferenda Sombria</t>
        </is>
      </c>
      <c r="D316" s="119" t="inlineStr">
        <is>
          <t>+1 em testes de Vontade até o próximo Descanso (custa 1 de Corrupção)</t>
        </is>
      </c>
      <c r="E316" s="119" t="n">
        <v>96</v>
      </c>
      <c r="F316" s="119" t="inlineStr">
        <is>
          <t>Erva da Oferenda em Chá Ritual</t>
        </is>
      </c>
      <c r="G316" s="119" t="n">
        <v>147</v>
      </c>
      <c r="H316" s="119" t="inlineStr">
        <is>
          <t>Qualquer Fogueira (não precisa de cidade)</t>
        </is>
      </c>
      <c r="I316" s="119" t="inlineStr">
        <is>
          <t>Comida/Bebida</t>
        </is>
      </c>
      <c r="J316" s="119" t="inlineStr">
        <is>
          <t>Fogueira</t>
        </is>
      </c>
    </row>
    <row r="317" ht="15" customHeight="1" s="116">
      <c r="A317" s="119" t="inlineStr">
        <is>
          <t>Tier 14 (Estelar/Cósmico)</t>
        </is>
      </c>
      <c r="B317" s="119" t="inlineStr">
        <is>
          <t>Comida/Bebida</t>
        </is>
      </c>
      <c r="C317" s="119" t="inlineStr">
        <is>
          <t>2x Lótus Cósmica do Fim dos Tempos</t>
        </is>
      </c>
      <c r="D317" s="119" t="inlineStr">
        <is>
          <t>+2 em qualquer teste de atributo, à sua escolha, até o próximo Descanso</t>
        </is>
      </c>
      <c r="E317" s="119" t="n">
        <v>144</v>
      </c>
      <c r="F317" s="119" t="inlineStr">
        <is>
          <t>Lótus Cósmica em Essência Pura</t>
        </is>
      </c>
      <c r="G317" s="119" t="n">
        <v>219</v>
      </c>
      <c r="H317" s="119" t="inlineStr">
        <is>
          <t>Qualquer Fogueira (não precisa de cidade)</t>
        </is>
      </c>
      <c r="I317" s="119" t="inlineStr">
        <is>
          <t>Comida/Bebida</t>
        </is>
      </c>
      <c r="J317" s="119" t="inlineStr">
        <is>
          <t>Fogueira</t>
        </is>
      </c>
    </row>
    <row r="318">
      <c r="A318" s="161" t="inlineStr">
        <is>
          <t>Tier 1 (Sucata Enferrujada)</t>
        </is>
      </c>
      <c r="B318" s="161" t="inlineStr">
        <is>
          <t>Amuleto do Uivo</t>
        </is>
      </c>
      <c r="C318" s="161" t="inlineStr">
        <is>
          <t>Presa Sanguínea (1x)</t>
        </is>
      </c>
      <c r="D318" s="161" t="inlineStr">
        <is>
          <t>Canino Enferrujado (1x)</t>
        </is>
      </c>
      <c r="E318" s="161">
        <f>ROUND(Economia!$C$14*0.5,0)</f>
        <v/>
      </c>
      <c r="F318" s="161" t="inlineStr"/>
      <c r="G318" s="161" t="inlineStr"/>
      <c r="H318" s="161" t="inlineStr">
        <is>
          <t>Qualquer ferreiro da cidade do tier</t>
        </is>
      </c>
      <c r="I318" s="161" t="inlineStr">
        <is>
          <t>Acessório</t>
        </is>
      </c>
      <c r="J318" s="115" t="inlineStr">
        <is>
          <t>+10% de resistência a Sangramento</t>
        </is>
      </c>
    </row>
    <row r="319">
      <c r="A319" s="161" t="inlineStr">
        <is>
          <t>Tier 1 (Sucata Enferrujada)</t>
        </is>
      </c>
      <c r="B319" s="161" t="inlineStr">
        <is>
          <t>Bolsa de Saque Reforçada</t>
        </is>
      </c>
      <c r="C319" s="161" t="inlineStr">
        <is>
          <t>Corda de Saque (1x)</t>
        </is>
      </c>
      <c r="D319" s="161" t="inlineStr">
        <is>
          <t>Bolsa de Moedas Roubadas (1x)</t>
        </is>
      </c>
      <c r="E319" s="161">
        <f>ROUND(Economia!$C$14*0.5,0)</f>
        <v/>
      </c>
      <c r="F319" s="161" t="inlineStr"/>
      <c r="G319" s="161" t="inlineStr"/>
      <c r="H319" s="161" t="inlineStr">
        <is>
          <t>Qualquer ferreiro da cidade do tier</t>
        </is>
      </c>
      <c r="I319" s="161" t="inlineStr">
        <is>
          <t>Acessório</t>
        </is>
      </c>
      <c r="J319" s="115" t="inlineStr">
        <is>
          <t>+10% de Ouro encontrado em Achados</t>
        </is>
      </c>
    </row>
    <row r="320">
      <c r="A320" s="161" t="inlineStr">
        <is>
          <t>Tier 1 (Sucata Enferrujada)</t>
        </is>
      </c>
      <c r="B320" s="161" t="inlineStr">
        <is>
          <t>Pingente da Marca</t>
        </is>
      </c>
      <c r="C320" s="161" t="inlineStr">
        <is>
          <t>Fragmento de Tinta Ritual (1x)</t>
        </is>
      </c>
      <c r="D320" s="161" t="inlineStr">
        <is>
          <t>Pano do Culto Rasgado (1x)</t>
        </is>
      </c>
      <c r="E320" s="161">
        <f>ROUND(Economia!$C$14*0.5,0)</f>
        <v/>
      </c>
      <c r="F320" s="161" t="inlineStr"/>
      <c r="G320" s="161" t="inlineStr"/>
      <c r="H320" s="161" t="inlineStr">
        <is>
          <t>Qualquer ferreiro da cidade do tier</t>
        </is>
      </c>
      <c r="I320" s="161" t="inlineStr">
        <is>
          <t>Acessório</t>
        </is>
      </c>
      <c r="J320" s="115" t="inlineStr">
        <is>
          <t>+1 de resistência a efeitos do Culto (leve)</t>
        </is>
      </c>
    </row>
    <row r="321">
      <c r="A321" s="161" t="inlineStr">
        <is>
          <t>Tier 1 (Sucata Enferrujada)</t>
        </is>
      </c>
      <c r="B321" s="161" t="inlineStr">
        <is>
          <t>Anel do Fragmento</t>
        </is>
      </c>
      <c r="C321" s="161" t="inlineStr">
        <is>
          <t>Estilhaço da Marca Original (1x)</t>
        </is>
      </c>
      <c r="D321" s="161" t="inlineStr">
        <is>
          <t>+10% de resistência a Fragilidade</t>
        </is>
      </c>
      <c r="E321" s="161">
        <f>ROUND(Economia!$C$14*1.3,0)</f>
        <v/>
      </c>
      <c r="F321" s="161" t="inlineStr"/>
      <c r="G321" s="161" t="inlineStr"/>
      <c r="H321" s="161" t="inlineStr">
        <is>
          <t>Qualquer ferreiro da cidade do tier (receita rara)</t>
        </is>
      </c>
      <c r="I321" s="161" t="inlineStr">
        <is>
          <t>Acessório</t>
        </is>
      </c>
      <c r="J321" s="115" t="inlineStr">
        <is>
          <t>+10% de resistência a Fragilidade</t>
        </is>
      </c>
    </row>
    <row r="322">
      <c r="A322" s="161" t="inlineStr">
        <is>
          <t>Tier 1 (Sucata Enferrujada)</t>
        </is>
      </c>
      <c r="B322" s="161" t="inlineStr">
        <is>
          <t>Talismã da Chuva Ferrosa</t>
        </is>
      </c>
      <c r="C322" s="161" t="inlineStr">
        <is>
          <t>Gota de Chuva Cristalizada (1x)</t>
        </is>
      </c>
      <c r="D322" s="161" t="inlineStr">
        <is>
          <t>Resíduo Espectral Ferroso (1x)</t>
        </is>
      </c>
      <c r="E322" s="161">
        <f>ROUND(Economia!$C$14*1.3,0)</f>
        <v/>
      </c>
      <c r="F322" s="161" t="inlineStr"/>
      <c r="G322" s="161" t="inlineStr"/>
      <c r="H322" s="161" t="inlineStr">
        <is>
          <t>Qualquer ferreiro da cidade do tier (receita de Elite)</t>
        </is>
      </c>
      <c r="I322" s="161" t="inlineStr">
        <is>
          <t>Acessório</t>
        </is>
      </c>
      <c r="J322" s="115" t="inlineStr">
        <is>
          <t>+15% de resistência a Fragilidade (versão forte, Elite)</t>
        </is>
      </c>
    </row>
    <row r="323">
      <c r="A323" s="161" t="inlineStr">
        <is>
          <t>Tier 1 (Sucata Enferrujada)</t>
        </is>
      </c>
      <c r="B323" s="161" t="inlineStr">
        <is>
          <t>Colar do Sussurro</t>
        </is>
      </c>
      <c r="C323" s="161" t="inlineStr">
        <is>
          <t>Voz Presa em Pano (1x)</t>
        </is>
      </c>
      <c r="D323" s="161" t="inlineStr">
        <is>
          <t>+15% de resistência a Atordoamento</t>
        </is>
      </c>
      <c r="E323" s="161">
        <f>ROUND(Economia!$C$14*1.3,0)</f>
        <v/>
      </c>
      <c r="F323" s="161" t="inlineStr"/>
      <c r="G323" s="161" t="inlineStr"/>
      <c r="H323" s="161" t="inlineStr">
        <is>
          <t>Qualquer ferreiro da cidade do tier (receita de Elite)</t>
        </is>
      </c>
      <c r="I323" s="161" t="inlineStr">
        <is>
          <t>Acessório</t>
        </is>
      </c>
      <c r="J323" s="115" t="inlineStr">
        <is>
          <t>+15% de resistência a Atordoamento</t>
        </is>
      </c>
    </row>
    <row r="324">
      <c r="A324" s="161" t="inlineStr">
        <is>
          <t>Tier 1 (Sucata Enferrujada)</t>
        </is>
      </c>
      <c r="B324" s="161" t="inlineStr">
        <is>
          <t>Pena do Necrófago</t>
        </is>
      </c>
      <c r="C324" s="161" t="inlineStr">
        <is>
          <t>Pena Necrófaga (1x)</t>
        </is>
      </c>
      <c r="D324" s="161" t="inlineStr">
        <is>
          <t>Bico de Corvo (1x)</t>
        </is>
      </c>
      <c r="E324" s="161">
        <f>ROUND(Economia!$C$14*0.5,0)</f>
        <v/>
      </c>
      <c r="F324" s="161" t="inlineStr"/>
      <c r="G324" s="161" t="inlineStr"/>
      <c r="H324" s="161" t="inlineStr">
        <is>
          <t>Qualquer ferreiro da cidade do tier</t>
        </is>
      </c>
      <c r="I324" s="161" t="inlineStr">
        <is>
          <t>Acessório</t>
        </is>
      </c>
      <c r="J324" s="115" t="inlineStr">
        <is>
          <t>+1 HP recuperado ao vencer combate (leve regeneração pós-luta)</t>
        </is>
      </c>
    </row>
    <row r="325">
      <c r="A325" s="161" t="inlineStr">
        <is>
          <t>Tier 1 (Sucata Enferrujada)</t>
        </is>
      </c>
      <c r="B325" s="161" t="inlineStr">
        <is>
          <t>Vial da Glândula</t>
        </is>
      </c>
      <c r="C325" s="161" t="inlineStr">
        <is>
          <t>Glândula de Carrapato (1x)</t>
        </is>
      </c>
      <c r="D325" s="161" t="inlineStr">
        <is>
          <t>+10% de dano com efeito Veneno aplicado</t>
        </is>
      </c>
      <c r="E325" s="161">
        <f>ROUND(Economia!$C$14*0.5,0)</f>
        <v/>
      </c>
      <c r="F325" s="161" t="inlineStr"/>
      <c r="G325" s="161" t="inlineStr"/>
      <c r="H325" s="161" t="inlineStr">
        <is>
          <t>Qualquer ferreiro da cidade do tier</t>
        </is>
      </c>
      <c r="I325" s="161" t="inlineStr">
        <is>
          <t>Acessório</t>
        </is>
      </c>
      <c r="J325" s="115" t="inlineStr">
        <is>
          <t>+10% de dano com efeito Veneno aplicado</t>
        </is>
      </c>
    </row>
    <row r="326">
      <c r="A326" s="115" t="inlineStr">
        <is>
          <t>Tier 2 (Bronze)</t>
        </is>
      </c>
      <c r="B326" s="115" t="inlineStr">
        <is>
          <t>Focinho do Cão Cego</t>
        </is>
      </c>
      <c r="C326" s="115" t="inlineStr">
        <is>
          <t>1x Pelo Embotado de Cão de Mina Cego + 1x Faro Apurado de Cão de Mina Cego</t>
        </is>
      </c>
      <c r="D326" s="115" t="inlineStr">
        <is>
          <t>+10% de chance de detectar armadilhas e emboscadas</t>
        </is>
      </c>
      <c r="E326" s="115" t="n">
        <v>5</v>
      </c>
      <c r="H326" s="115" t="inlineStr">
        <is>
          <t>Qualquer ferreiro da cidade do tier</t>
        </is>
      </c>
      <c r="I326" s="115" t="inlineStr">
        <is>
          <t>Acessório</t>
        </is>
      </c>
    </row>
    <row r="327">
      <c r="A327" s="115" t="inlineStr">
        <is>
          <t>Tier 2 (Bronze)</t>
        </is>
      </c>
      <c r="B327" s="115" t="inlineStr">
        <is>
          <t>Bolsa do Coletor Enferrujado</t>
        </is>
      </c>
      <c r="C327" s="115" t="inlineStr">
        <is>
          <t>1x Saco de Minério Roubado + 1x Picareta Cega do Coletor</t>
        </is>
      </c>
      <c r="D327" s="115" t="inlineStr">
        <is>
          <t>+10% de minério coletado em Recursos Naturais</t>
        </is>
      </c>
      <c r="E327" s="115" t="n">
        <v>5</v>
      </c>
      <c r="H327" s="115" t="inlineStr">
        <is>
          <t>Qualquer ferreiro da cidade do tier</t>
        </is>
      </c>
      <c r="I327" s="115" t="inlineStr">
        <is>
          <t>Acessório</t>
        </is>
      </c>
    </row>
    <row r="328">
      <c r="A328" s="115" t="inlineStr">
        <is>
          <t>Tier 2 (Bronze)</t>
        </is>
      </c>
      <c r="B328" s="115" t="inlineStr">
        <is>
          <t>Amuleto do Mineiro Exausto</t>
        </is>
      </c>
      <c r="C328" s="115" t="inlineStr">
        <is>
          <t>1x Lanterna Encardida de Mineiro Exausto + 1x Luva Rasgada de Mineiro Exausto</t>
        </is>
      </c>
      <c r="D328" s="115" t="inlineStr">
        <is>
          <t>+10% de resistência a Fadiga (efeitos de exaustão em exploração longa)</t>
        </is>
      </c>
      <c r="E328" s="115" t="n">
        <v>5</v>
      </c>
      <c r="H328" s="115" t="inlineStr">
        <is>
          <t>Qualquer ferreiro da cidade do tier</t>
        </is>
      </c>
      <c r="I328" s="115" t="inlineStr">
        <is>
          <t>Acessório</t>
        </is>
      </c>
    </row>
    <row r="329">
      <c r="A329" s="115" t="inlineStr">
        <is>
          <t>Tier 2 (Bronze)</t>
        </is>
      </c>
      <c r="B329" s="115" t="inlineStr">
        <is>
          <t>Amuleto da Teia Fresca</t>
        </is>
      </c>
      <c r="C329" s="115" t="inlineStr">
        <is>
          <t>1x Fio de Teia Fresca + 1x Fio de Teia Fina</t>
        </is>
      </c>
      <c r="D329" s="115" t="inlineStr">
        <is>
          <t>+10% de resistência a Enrededamento/Controle leve</t>
        </is>
      </c>
      <c r="E329" s="115" t="n">
        <v>5</v>
      </c>
      <c r="H329" s="115" t="inlineStr">
        <is>
          <t>Qualquer ferreiro da cidade do tier</t>
        </is>
      </c>
      <c r="I329" s="115" t="inlineStr">
        <is>
          <t>Acessório</t>
        </is>
      </c>
    </row>
    <row r="330">
      <c r="A330" s="115" t="inlineStr">
        <is>
          <t>Tier 2 (Bronze)</t>
        </is>
      </c>
      <c r="B330" s="115" t="inlineStr">
        <is>
          <t>Colar de Seda da Operária</t>
        </is>
      </c>
      <c r="C330" s="115" t="inlineStr">
        <is>
          <t>1x Fio de Teia Grossa + 1x Glândula de Seda da Operária</t>
        </is>
      </c>
      <c r="D330" s="115" t="inlineStr">
        <is>
          <t>+15% de resistência a Enrededamento (versão forte)</t>
        </is>
      </c>
      <c r="E330" s="115" t="n">
        <v>8</v>
      </c>
      <c r="H330" s="115" t="inlineStr">
        <is>
          <t>Qualquer ferreiro da cidade do tier (receita de Elite)</t>
        </is>
      </c>
      <c r="I330" s="115" t="inlineStr">
        <is>
          <t>Acessório</t>
        </is>
      </c>
    </row>
    <row r="331">
      <c r="A331" s="115" t="inlineStr">
        <is>
          <t>Tier 2 (Bronze)</t>
        </is>
      </c>
      <c r="B331" s="115" t="inlineStr">
        <is>
          <t>Máscara de Gás Improvisada</t>
        </is>
      </c>
      <c r="C331" s="115" t="inlineStr">
        <is>
          <t>1x Frasco de Gás Sulfuroso Condensado + 1x Resíduo Amarelado da Nuvem</t>
        </is>
      </c>
      <c r="D331" s="115" t="inlineStr">
        <is>
          <t>+15% de resistência a Veneno</t>
        </is>
      </c>
      <c r="E331" s="115" t="n">
        <v>8</v>
      </c>
      <c r="H331" s="115" t="inlineStr">
        <is>
          <t>Qualquer ferreiro da cidade do tier (receita de Elite)</t>
        </is>
      </c>
      <c r="I331" s="115" t="inlineStr">
        <is>
          <t>Acessório</t>
        </is>
      </c>
    </row>
    <row r="332">
      <c r="A332" s="115" t="inlineStr">
        <is>
          <t>Tier 2 (Bronze)</t>
        </is>
      </c>
      <c r="B332" s="115" t="inlineStr">
        <is>
          <t>Talismã do Verme Perfurador</t>
        </is>
      </c>
      <c r="C332" s="115" t="inlineStr">
        <is>
          <t>1x Mandíbula do Verme Perfurador + 1x Segmento Escamoso de Verme</t>
        </is>
      </c>
      <c r="D332" s="115" t="inlineStr">
        <is>
          <t>+10% de dano contra alvos Enterrados/Escondidos (Condicional)</t>
        </is>
      </c>
      <c r="E332" s="115" t="n">
        <v>5</v>
      </c>
      <c r="H332" s="115" t="inlineStr">
        <is>
          <t>Qualquer ferreiro da cidade do tier</t>
        </is>
      </c>
      <c r="I332" s="115" t="inlineStr">
        <is>
          <t>Acessório</t>
        </is>
      </c>
    </row>
    <row r="333">
      <c r="A333" s="115" t="inlineStr">
        <is>
          <t>Tier 2 (Bronze)</t>
        </is>
      </c>
      <c r="B333" s="115" t="inlineStr">
        <is>
          <t>Grilhão Partido</t>
        </is>
      </c>
      <c r="C333" s="115" t="inlineStr">
        <is>
          <t>1x Corrente Enferrujada de Escravo da Rocha + 1x Pano de Trabalho Forçado</t>
        </is>
      </c>
      <c r="D333" s="115" t="inlineStr">
        <is>
          <t>+10% de resistência a Atordoamento</t>
        </is>
      </c>
      <c r="E333" s="115" t="n">
        <v>5</v>
      </c>
      <c r="H333" s="115" t="inlineStr">
        <is>
          <t>Qualquer ferreiro da cidade do tier</t>
        </is>
      </c>
      <c r="I333" s="115" t="inlineStr">
        <is>
          <t>Acessório</t>
        </is>
      </c>
    </row>
    <row r="334">
      <c r="A334" s="115" t="inlineStr">
        <is>
          <t>Tier 2 (Bronze)</t>
        </is>
      </c>
      <c r="B334" s="115" t="inlineStr">
        <is>
          <t>Amuleto da Poeira Viva</t>
        </is>
      </c>
      <c r="C334" s="115" t="inlineStr">
        <is>
          <t>1x Punhado de Poeira Viva + 1x Cristal de Minério Consciente</t>
        </is>
      </c>
      <c r="D334" s="115" t="inlineStr">
        <is>
          <t>+10% de resistência a Cegueira/efeitos de poeira</t>
        </is>
      </c>
      <c r="E334" s="115" t="n">
        <v>8</v>
      </c>
      <c r="H334" s="115" t="inlineStr">
        <is>
          <t>Qualquer ferreiro da cidade do tier (receita rara)</t>
        </is>
      </c>
      <c r="I334" s="115" t="inlineStr">
        <is>
          <t>Acessório</t>
        </is>
      </c>
    </row>
    <row r="335">
      <c r="A335" s="115" t="inlineStr">
        <is>
          <t>Tier 2 (Bronze)</t>
        </is>
      </c>
      <c r="B335" s="115" t="inlineStr">
        <is>
          <t>Presa Cravejada da Mina</t>
        </is>
      </c>
      <c r="C335" s="115" t="inlineStr">
        <is>
          <t>1x Presa de Aranha da Mina + 1x Veneno Coagulado de Aranha Pútrida</t>
        </is>
      </c>
      <c r="D335" s="115" t="inlineStr">
        <is>
          <t>+10% de dano com efeito Veneno aplicado</t>
        </is>
      </c>
      <c r="E335" s="115" t="n">
        <v>5</v>
      </c>
      <c r="H335" s="115" t="inlineStr">
        <is>
          <t>Qualquer ferreiro da cidade do tier</t>
        </is>
      </c>
      <c r="I335" s="115" t="inlineStr">
        <is>
          <t>Acessório</t>
        </is>
      </c>
    </row>
    <row r="336">
      <c r="A336" s="115" t="inlineStr">
        <is>
          <t>Tier 2 (Bronze)</t>
        </is>
      </c>
      <c r="B336" s="115" t="inlineStr">
        <is>
          <t>Vial da Baba Sulfurosa</t>
        </is>
      </c>
      <c r="C336" s="115" t="inlineStr">
        <is>
          <t>1x Baba Sulfurosa de Verme + 1x Presa Necrófaga de Verme Carniceiro</t>
        </is>
      </c>
      <c r="D336" s="115" t="inlineStr">
        <is>
          <t>+1 HP recuperado ao vencer combate (leve regeneração pós-luta)</t>
        </is>
      </c>
      <c r="E336" s="115" t="n">
        <v>5</v>
      </c>
      <c r="H336" s="115" t="inlineStr">
        <is>
          <t>Qualquer ferreiro da cidade do tier</t>
        </is>
      </c>
      <c r="I336" s="115" t="inlineStr">
        <is>
          <t>Acessório</t>
        </is>
      </c>
    </row>
    <row r="337">
      <c r="A337" s="115" t="inlineStr">
        <is>
          <t>Tier 2 (Bronze)</t>
        </is>
      </c>
      <c r="B337" s="115" t="inlineStr">
        <is>
          <t>Chicote Requisitado</t>
        </is>
      </c>
      <c r="C337" s="115" t="inlineStr">
        <is>
          <t>1x Chicote Encardido do Carrasco da Cota + 1x Insígnia da Cota</t>
        </is>
      </c>
      <c r="D337" s="115" t="inlineStr">
        <is>
          <t>+10% de resistência a Sangramento</t>
        </is>
      </c>
      <c r="E337" s="115" t="n">
        <v>5</v>
      </c>
      <c r="H337" s="115" t="inlineStr">
        <is>
          <t>Qualquer ferreiro da cidade do tier</t>
        </is>
      </c>
      <c r="I337" s="115" t="inlineStr">
        <is>
          <t>Acessório</t>
        </is>
      </c>
    </row>
    <row r="338">
      <c r="A338" s="115" t="inlineStr">
        <is>
          <t>Tier 2 (Bronze)</t>
        </is>
      </c>
      <c r="B338" s="115" t="inlineStr">
        <is>
          <t>Amuleto da Picareta Selvagem</t>
        </is>
      </c>
      <c r="C338" s="115" t="inlineStr">
        <is>
          <t>1x Cabo Animado de Picareta Selvagem + 1x Lâmina Corroída de Picareta Selvagem</t>
        </is>
      </c>
      <c r="D338" s="115" t="inlineStr">
        <is>
          <t>+10% de resistência a efeitos de Possessão/Animação</t>
        </is>
      </c>
      <c r="E338" s="115" t="n">
        <v>5</v>
      </c>
      <c r="H338" s="115" t="inlineStr">
        <is>
          <t>Qualquer ferreiro da cidade do tier</t>
        </is>
      </c>
      <c r="I338" s="115" t="inlineStr">
        <is>
          <t>Acessório</t>
        </is>
      </c>
    </row>
    <row r="339">
      <c r="A339" s="115" t="inlineStr">
        <is>
          <t>Tier 2 (Bronze)</t>
        </is>
      </c>
      <c r="B339" s="115" t="inlineStr">
        <is>
          <t>Bolsa de Imposto Recuperada</t>
        </is>
      </c>
      <c r="C339" s="115" t="inlineStr">
        <is>
          <t>1x Bolsa de Imposto da Guilda + 1x Adaga Curta de Cobrador</t>
        </is>
      </c>
      <c r="D339" s="115" t="inlineStr">
        <is>
          <t>+10% de Ouro encontrado em Achados</t>
        </is>
      </c>
      <c r="E339" s="115" t="n">
        <v>5</v>
      </c>
      <c r="H339" s="115" t="inlineStr">
        <is>
          <t>Qualquer ferreiro da cidade do tier</t>
        </is>
      </c>
      <c r="I339" s="115" t="inlineStr">
        <is>
          <t>Acessório</t>
        </is>
      </c>
    </row>
    <row r="340">
      <c r="A340" s="115" t="inlineStr">
        <is>
          <t>Tier 2 (Bronze)</t>
        </is>
      </c>
      <c r="B340" s="115" t="inlineStr">
        <is>
          <t>Coleira Quebrada da Guilda</t>
        </is>
      </c>
      <c r="C340" s="115" t="inlineStr">
        <is>
          <t>1x Coleira da Guilda dos Picaretas Negros + 1x Presa de Cão de Guarda da Guilda</t>
        </is>
      </c>
      <c r="D340" s="115" t="inlineStr">
        <is>
          <t>+10% de resistência a Medo/Intimidação</t>
        </is>
      </c>
      <c r="E340" s="115" t="n">
        <v>5</v>
      </c>
      <c r="H340" s="115" t="inlineStr">
        <is>
          <t>Qualquer ferreiro da cidade do tier</t>
        </is>
      </c>
      <c r="I340" s="115" t="inlineStr">
        <is>
          <t>Acessório</t>
        </is>
      </c>
    </row>
    <row r="341">
      <c r="A341" s="115" t="inlineStr">
        <is>
          <t>Tier 2 (Bronze)</t>
        </is>
      </c>
      <c r="B341" s="115" t="inlineStr">
        <is>
          <t>Garra Silenciosa</t>
        </is>
      </c>
      <c r="C341" s="115" t="inlineStr">
        <is>
          <t>1x Garra Silenciosa de Aranha Caçadora + 1x Distintivo Endividado de Mineiro Grimm</t>
        </is>
      </c>
      <c r="D341" s="115" t="inlineStr">
        <is>
          <t>+1 na Iniciativa em combates com emboscada</t>
        </is>
      </c>
      <c r="E341" s="115" t="n">
        <v>5</v>
      </c>
      <c r="H341" s="115" t="inlineStr">
        <is>
          <t>Qualquer ferreiro da cidade do tier</t>
        </is>
      </c>
      <c r="I341" s="115" t="inlineStr">
        <is>
          <t>Acessório</t>
        </is>
      </c>
    </row>
    <row r="342">
      <c r="A342" s="115" t="inlineStr">
        <is>
          <t>Tier 2 (Bronze)</t>
        </is>
      </c>
      <c r="B342" s="115" t="inlineStr">
        <is>
          <t>Fechadura Falsa Reaproveitada</t>
        </is>
      </c>
      <c r="C342" s="115" t="inlineStr">
        <is>
          <t>1x Fragmento de Fechadura da Armadilha da Guilda</t>
        </is>
      </c>
      <c r="D342" s="115" t="inlineStr">
        <is>
          <t>+10% de chance de identificar Mímicos antes do primeiro golpe</t>
        </is>
      </c>
      <c r="E342" s="115" t="n">
        <v>8</v>
      </c>
      <c r="H342" s="115" t="inlineStr">
        <is>
          <t>Qualquer ferreiro da cidade do tier (receita de Elite)</t>
        </is>
      </c>
      <c r="I342" s="115" t="inlineStr">
        <is>
          <t>Acessório</t>
        </is>
      </c>
    </row>
    <row r="343">
      <c r="A343" s="115" t="inlineStr">
        <is>
          <t>Tier 2 (Bronze)</t>
        </is>
      </c>
      <c r="B343" s="115" t="inlineStr">
        <is>
          <t>Amuleto do Rato-Dourado</t>
        </is>
      </c>
      <c r="C343" s="115" t="inlineStr">
        <is>
          <t>1x Pelagem Dourada de Rato-Dourado + 1x Bolsa de Poeira Reluzente</t>
        </is>
      </c>
      <c r="D343" s="115" t="inlineStr">
        <is>
          <t>+5% de chance de loot Raro extra em combates vencidos</t>
        </is>
      </c>
      <c r="E343" s="115" t="n">
        <v>8</v>
      </c>
      <c r="H343" s="115" t="inlineStr">
        <is>
          <t>Qualquer ferreiro da cidade do tier (receita de Elite)</t>
        </is>
      </c>
      <c r="I343" s="115" t="inlineStr">
        <is>
          <t>Acessório</t>
        </is>
      </c>
    </row>
    <row r="344">
      <c r="A344" s="115" t="inlineStr">
        <is>
          <t>Tier 2 (Bronze)</t>
        </is>
      </c>
      <c r="B344" s="115" t="inlineStr">
        <is>
          <t>Amuleto do Contramestre</t>
        </is>
      </c>
      <c r="C344" s="115" t="inlineStr">
        <is>
          <t>1x Fragmento de Contramestre Enlouquecido + 1x Corda Arrebentada da Enforca</t>
        </is>
      </c>
      <c r="D344" s="115" t="inlineStr">
        <is>
          <t>+15% de resistência a Debuffs</t>
        </is>
      </c>
      <c r="E344" s="115" t="n">
        <v>8</v>
      </c>
      <c r="H344" s="115" t="inlineStr">
        <is>
          <t>Qualquer ferreiro da cidade do tier (receita de Elite)</t>
        </is>
      </c>
      <c r="I344" s="115" t="inlineStr">
        <is>
          <t>Acessório</t>
        </is>
      </c>
    </row>
    <row r="345">
      <c r="A345" s="115" t="inlineStr">
        <is>
          <t>Tier 2 (Bronze)</t>
        </is>
      </c>
      <c r="B345" s="115" t="inlineStr">
        <is>
          <t>Bandagem do Supervisor</t>
        </is>
      </c>
      <c r="C345" s="115" t="inlineStr">
        <is>
          <t>1x Fragmento de Supervisor Ferido + 1x Bandagem Suja do Supervisor</t>
        </is>
      </c>
      <c r="D345" s="115" t="inlineStr">
        <is>
          <t>+2 HP recuperado ao vencer combate (regeneração pós-luta reforçada)</t>
        </is>
      </c>
      <c r="E345" s="115" t="n">
        <v>8</v>
      </c>
      <c r="H345" s="115" t="inlineStr">
        <is>
          <t>Qualquer ferreiro da cidade do tier (receita de Elite)</t>
        </is>
      </c>
      <c r="I345" s="115" t="inlineStr">
        <is>
          <t>Acessório</t>
        </is>
      </c>
    </row>
    <row r="346">
      <c r="A346" s="115" t="inlineStr">
        <is>
          <t>Tier 2 (Bronze)</t>
        </is>
      </c>
      <c r="B346" s="115" t="inlineStr">
        <is>
          <t>Véu da Névoa</t>
        </is>
      </c>
      <c r="C346" s="115" t="inlineStr">
        <is>
          <t>1x Glândula de Névoa de Aranha da Névoa</t>
        </is>
      </c>
      <c r="D346" s="115" t="inlineStr">
        <is>
          <t>+15% de resistência a Controle (versão de Elite)</t>
        </is>
      </c>
      <c r="E346" s="115" t="n">
        <v>8</v>
      </c>
      <c r="H346" s="115" t="inlineStr">
        <is>
          <t>Qualquer ferreiro da cidade do tier (receita de Elite)</t>
        </is>
      </c>
      <c r="I346" s="115" t="inlineStr">
        <is>
          <t>Acessório</t>
        </is>
      </c>
    </row>
    <row r="347">
      <c r="A347" s="115" t="inlineStr">
        <is>
          <t>Tier 2 (Bronze)</t>
        </is>
      </c>
      <c r="B347" s="115" t="inlineStr">
        <is>
          <t>Broche da Sobrevivente</t>
        </is>
      </c>
      <c r="C347" s="115" t="inlineStr">
        <is>
          <t>1x Fragmento da Sobrevivente do Desabamento</t>
        </is>
      </c>
      <c r="D347" s="115" t="inlineStr">
        <is>
          <t>+15% de resistência a Atordoamento e efeitos de Desabamento</t>
        </is>
      </c>
      <c r="E347" s="115" t="n">
        <v>10</v>
      </c>
      <c r="H347" s="115" t="inlineStr">
        <is>
          <t>Qualquer ferreiro da cidade do tier (receita de Elite)</t>
        </is>
      </c>
      <c r="I347" s="115" t="inlineStr">
        <is>
          <t>Acessório</t>
        </is>
      </c>
    </row>
    <row r="348">
      <c r="A348" s="115" t="inlineStr">
        <is>
          <t>Tier 3 (Ferro)</t>
        </is>
      </c>
      <c r="B348" s="115" t="inlineStr">
        <is>
          <t>Peitoral Remendado da Muralha</t>
        </is>
      </c>
      <c r="C348" s="115" t="inlineStr">
        <is>
          <t>1x Armadura Fundida ao Osso + 1x Placa Enferrujada de Guardião</t>
        </is>
      </c>
      <c r="D348" s="115" t="inlineStr">
        <is>
          <t>+2 de Defesa leve / +10% de resistência a dano perfurante</t>
        </is>
      </c>
      <c r="E348" s="115" t="n">
        <v>8</v>
      </c>
      <c r="H348" s="115" t="inlineStr">
        <is>
          <t>Qualquer ferreiro da cidade do tier</t>
        </is>
      </c>
      <c r="I348" s="115" t="inlineStr">
        <is>
          <t>Acessório</t>
        </is>
      </c>
    </row>
    <row r="349">
      <c r="A349" s="115" t="inlineStr">
        <is>
          <t>Tier 3 (Ferro)</t>
        </is>
      </c>
      <c r="B349" s="115" t="inlineStr">
        <is>
          <t>Elmo dos Ossos Soltos</t>
        </is>
      </c>
      <c r="C349" s="115" t="inlineStr">
        <is>
          <t>1x Elmo Fundido de Guardião + 1x Feixe de Ossos Remontados</t>
        </is>
      </c>
      <c r="D349" s="115" t="inlineStr">
        <is>
          <t>+10% de resistência a Atordoamento</t>
        </is>
      </c>
      <c r="E349" s="115" t="n">
        <v>8</v>
      </c>
      <c r="H349" s="115" t="inlineStr">
        <is>
          <t>Qualquer ferreiro da cidade do tier</t>
        </is>
      </c>
      <c r="I349" s="115" t="inlineStr">
        <is>
          <t>Acessório</t>
        </is>
      </c>
    </row>
    <row r="350">
      <c r="A350" s="115" t="inlineStr">
        <is>
          <t>Tier 3 (Ferro)</t>
        </is>
      </c>
      <c r="B350" s="115" t="inlineStr">
        <is>
          <t>Arco de Osso Reforçado</t>
        </is>
      </c>
      <c r="C350" s="115" t="inlineStr">
        <is>
          <t>1x Arco de Osso Frágil + 1x Flecha Enferrujada de Esqueleto</t>
        </is>
      </c>
      <c r="D350" s="115" t="inlineStr">
        <is>
          <t>+10% de precisão em ataques à distância</t>
        </is>
      </c>
      <c r="E350" s="115" t="n">
        <v>8</v>
      </c>
      <c r="H350" s="115" t="inlineStr">
        <is>
          <t>Qualquer ferreiro da cidade do tier</t>
        </is>
      </c>
      <c r="I350" s="115" t="inlineStr">
        <is>
          <t>Acessório</t>
        </is>
      </c>
    </row>
    <row r="351">
      <c r="A351" s="115" t="inlineStr">
        <is>
          <t>Tier 3 (Ferro)</t>
        </is>
      </c>
      <c r="B351" s="115" t="inlineStr">
        <is>
          <t>Manto Espectral Menor</t>
        </is>
      </c>
      <c r="C351" s="115" t="inlineStr">
        <is>
          <t>1x Resíduo Espectral de Guarda Menor + 1x Fragmento de Armadura Espectral</t>
        </is>
      </c>
      <c r="D351" s="115" t="inlineStr">
        <is>
          <t>+15% de resistência a Medo</t>
        </is>
      </c>
      <c r="E351" s="115" t="n">
        <v>12</v>
      </c>
      <c r="H351" s="115" t="inlineStr">
        <is>
          <t>Qualquer ferreiro da cidade do tier (receita de Elite)</t>
        </is>
      </c>
      <c r="I351" s="115" t="inlineStr">
        <is>
          <t>Acessório</t>
        </is>
      </c>
    </row>
    <row r="352">
      <c r="A352" s="115" t="inlineStr">
        <is>
          <t>Tier 3 (Ferro)</t>
        </is>
      </c>
      <c r="B352" s="115" t="inlineStr">
        <is>
          <t>Amuleto da Sombra Menor</t>
        </is>
      </c>
      <c r="C352" s="115" t="inlineStr">
        <is>
          <t>1x Osso Desconjuntado + 1x Resíduo Espectral de Sombra Menor</t>
        </is>
      </c>
      <c r="D352" s="115" t="inlineStr">
        <is>
          <t>+10% de resistência a Controle leve</t>
        </is>
      </c>
      <c r="E352" s="115" t="n">
        <v>8</v>
      </c>
      <c r="H352" s="115" t="inlineStr">
        <is>
          <t>Qualquer ferreiro da cidade do tier</t>
        </is>
      </c>
      <c r="I352" s="115" t="inlineStr">
        <is>
          <t>Acessório</t>
        </is>
      </c>
    </row>
    <row r="353">
      <c r="A353" s="115" t="inlineStr">
        <is>
          <t>Tier 3 (Ferro)</t>
        </is>
      </c>
      <c r="B353" s="115" t="inlineStr">
        <is>
          <t>Capuz do Batedor</t>
        </is>
      </c>
      <c r="C353" s="115" t="inlineStr">
        <is>
          <t>1x Capuz Encardido de Batedor + 1x Corda de Vigia</t>
        </is>
      </c>
      <c r="D353" s="115" t="inlineStr">
        <is>
          <t>+1 na Iniciativa em combates com emboscada</t>
        </is>
      </c>
      <c r="E353" s="115" t="n">
        <v>8</v>
      </c>
      <c r="H353" s="115" t="inlineStr">
        <is>
          <t>Qualquer ferreiro da cidade do tier</t>
        </is>
      </c>
      <c r="I353" s="115" t="inlineStr">
        <is>
          <t>Acessório</t>
        </is>
      </c>
    </row>
    <row r="354">
      <c r="A354" s="115" t="inlineStr">
        <is>
          <t>Tier 3 (Ferro)</t>
        </is>
      </c>
      <c r="B354" s="115" t="inlineStr">
        <is>
          <t>Capa do Salteador Encapuzado</t>
        </is>
      </c>
      <c r="C354" s="115" t="inlineStr">
        <is>
          <t>1x Capa Encardida de Salteador + 1x Saco de Relíquias Menores</t>
        </is>
      </c>
      <c r="D354" s="115" t="inlineStr">
        <is>
          <t>+10% de chance de fuga bem-sucedida</t>
        </is>
      </c>
      <c r="E354" s="115" t="n">
        <v>8</v>
      </c>
      <c r="H354" s="115" t="inlineStr">
        <is>
          <t>Qualquer ferreiro da cidade do tier</t>
        </is>
      </c>
      <c r="I354" s="115" t="inlineStr">
        <is>
          <t>Acessório</t>
        </is>
      </c>
    </row>
    <row r="355">
      <c r="A355" s="115" t="inlineStr">
        <is>
          <t>Tier 3 (Ferro)</t>
        </is>
      </c>
      <c r="B355" s="115" t="inlineStr">
        <is>
          <t>Cinto do Ladrão de Relíquias</t>
        </is>
      </c>
      <c r="C355" s="115" t="inlineStr">
        <is>
          <t>1x Gazua Enferrujada + 1x Fragmento de Ferro Ritual</t>
        </is>
      </c>
      <c r="D355" s="115" t="inlineStr">
        <is>
          <t>+10% de Ouro encontrado em Achados</t>
        </is>
      </c>
      <c r="E355" s="115" t="n">
        <v>8</v>
      </c>
      <c r="H355" s="115" t="inlineStr">
        <is>
          <t>Qualquer ferreiro da cidade do tier</t>
        </is>
      </c>
      <c r="I355" s="115" t="inlineStr">
        <is>
          <t>Acessório</t>
        </is>
      </c>
    </row>
    <row r="356">
      <c r="A356" s="115" t="inlineStr">
        <is>
          <t>Tier 3 (Ferro)</t>
        </is>
      </c>
      <c r="B356" s="115" t="inlineStr">
        <is>
          <t>Talismã do Nascido na Forja</t>
        </is>
      </c>
      <c r="C356" s="115" t="inlineStr">
        <is>
          <t>1x Cinto de Cargas do Zelote Fanático + 1x Marca de Nascença em Ferro</t>
        </is>
      </c>
      <c r="D356" s="115" t="inlineStr">
        <is>
          <t>+10% de resistência a dano de Fogo/Forja</t>
        </is>
      </c>
      <c r="E356" s="115" t="n">
        <v>12</v>
      </c>
      <c r="H356" s="115" t="inlineStr">
        <is>
          <t>Qualquer ferreiro da cidade do tier (receita rara)</t>
        </is>
      </c>
      <c r="I356" s="115" t="inlineStr">
        <is>
          <t>Acessório</t>
        </is>
      </c>
    </row>
    <row r="357">
      <c r="A357" s="115" t="inlineStr">
        <is>
          <t>Tier 3 (Ferro)</t>
        </is>
      </c>
      <c r="B357" s="115" t="inlineStr">
        <is>
          <t>Avental Remendado da Forja</t>
        </is>
      </c>
      <c r="C357" s="115" t="inlineStr">
        <is>
          <t>1x Pano Chamuscado da Forja + 1x Avental Chamuscado</t>
        </is>
      </c>
      <c r="D357" s="115" t="inlineStr">
        <is>
          <t>+10% de resistência a Queimadura</t>
        </is>
      </c>
      <c r="E357" s="115" t="n">
        <v>8</v>
      </c>
      <c r="H357" s="115" t="inlineStr">
        <is>
          <t>Qualquer ferreiro da cidade do tier</t>
        </is>
      </c>
      <c r="I357" s="115" t="inlineStr">
        <is>
          <t>Acessório</t>
        </is>
      </c>
    </row>
    <row r="358">
      <c r="A358" s="115" t="inlineStr">
        <is>
          <t>Tier 3 (Ferro)</t>
        </is>
      </c>
      <c r="B358" s="115" t="inlineStr">
        <is>
          <t>Martelo do Aprendiz Abençoado</t>
        </is>
      </c>
      <c r="C358" s="115" t="inlineStr">
        <is>
          <t>1x Martelo Improvisado de Aprendiz + 1x Martelo Etéreo do Ferreiro Original</t>
        </is>
      </c>
      <c r="D358" s="115" t="inlineStr">
        <is>
          <t>+5% de dano em ataques corpo a corpo</t>
        </is>
      </c>
      <c r="E358" s="115" t="n">
        <v>12</v>
      </c>
      <c r="H358" s="115" t="inlineStr">
        <is>
          <t>Qualquer ferreiro da cidade do tier (receita rara)</t>
        </is>
      </c>
      <c r="I358" s="115" t="inlineStr">
        <is>
          <t>Acessório</t>
        </is>
      </c>
    </row>
    <row r="359">
      <c r="A359" s="115" t="inlineStr">
        <is>
          <t>Tier 3 (Ferro)</t>
        </is>
      </c>
      <c r="B359" s="115" t="inlineStr">
        <is>
          <t>Fagulha da Primeira Forja</t>
        </is>
      </c>
      <c r="C359" s="115" t="inlineStr">
        <is>
          <t>1x Fagulha do Primeiro Forjador + 1x Placa de Ferro do Golem Menor</t>
        </is>
      </c>
      <c r="D359" s="115" t="inlineStr">
        <is>
          <t>+1 HP recuperado ao vencer combate (regeneração pós-luta)</t>
        </is>
      </c>
      <c r="E359" s="115" t="n">
        <v>12</v>
      </c>
      <c r="H359" s="115" t="inlineStr">
        <is>
          <t>Qualquer ferreiro da cidade do tier (receita rara)</t>
        </is>
      </c>
      <c r="I359" s="115" t="inlineStr">
        <is>
          <t>Acessório</t>
        </is>
      </c>
    </row>
    <row r="360">
      <c r="A360" s="115" t="inlineStr">
        <is>
          <t>Tier 3 (Ferro)</t>
        </is>
      </c>
      <c r="B360" s="115" t="inlineStr">
        <is>
          <t>Amuleto do Núcleo Instável</t>
        </is>
      </c>
      <c r="C360" s="115" t="inlineStr">
        <is>
          <t>1x Núcleo Instável Menor + 1x Placa de Sucata Reaproveitada</t>
        </is>
      </c>
      <c r="D360" s="115" t="inlineStr">
        <is>
          <t>+10% de resistência a Explosão</t>
        </is>
      </c>
      <c r="E360" s="115" t="n">
        <v>8</v>
      </c>
      <c r="H360" s="115" t="inlineStr">
        <is>
          <t>Qualquer ferreiro da cidade do tier</t>
        </is>
      </c>
      <c r="I360" s="115" t="inlineStr">
        <is>
          <t>Acessório</t>
        </is>
      </c>
    </row>
    <row r="361">
      <c r="A361" s="115" t="inlineStr">
        <is>
          <t>Tier 3 (Ferro)</t>
        </is>
      </c>
      <c r="B361" s="115" t="inlineStr">
        <is>
          <t>Amuleto da Engrenagem Torta</t>
        </is>
      </c>
      <c r="C361" s="115" t="inlineStr">
        <is>
          <t>1x Casulo de Ferrugem Viva + 1x Engrenagem Torta da Forja</t>
        </is>
      </c>
      <c r="D361" s="115" t="inlineStr">
        <is>
          <t>+10% de resistência a Veneno/Corrosão</t>
        </is>
      </c>
      <c r="E361" s="115" t="n">
        <v>8</v>
      </c>
      <c r="H361" s="115" t="inlineStr">
        <is>
          <t>Qualquer ferreiro da cidade do tier</t>
        </is>
      </c>
      <c r="I361" s="115" t="inlineStr">
        <is>
          <t>Acessório</t>
        </is>
      </c>
    </row>
    <row r="362">
      <c r="A362" s="115" t="inlineStr">
        <is>
          <t>Tier 3 (Ferro)</t>
        </is>
      </c>
      <c r="B362" s="115" t="inlineStr">
        <is>
          <t>Broche do Culto Corrompido</t>
        </is>
      </c>
      <c r="C362" s="115" t="inlineStr">
        <is>
          <t>1x Óxido Animado + 1x Emblema do Culto do Ferro</t>
        </is>
      </c>
      <c r="D362" s="115" t="inlineStr">
        <is>
          <t>+10% de resistência a efeitos do Culto do Ferro</t>
        </is>
      </c>
      <c r="E362" s="115" t="n">
        <v>8</v>
      </c>
      <c r="H362" s="115" t="inlineStr">
        <is>
          <t>Qualquer ferreiro da cidade do tier</t>
        </is>
      </c>
      <c r="I362" s="115" t="inlineStr">
        <is>
          <t>Acessório</t>
        </is>
      </c>
    </row>
    <row r="363">
      <c r="A363" s="115" t="inlineStr">
        <is>
          <t>Tier 3 (Ferro)</t>
        </is>
      </c>
      <c r="B363" s="115" t="inlineStr">
        <is>
          <t>Amuleto do Acólito Arrependido</t>
        </is>
      </c>
      <c r="C363" s="115" t="inlineStr">
        <is>
          <t>1x Pão Roubado do Acólito + 1x Resíduo Espectral de Guarda Caída</t>
        </is>
      </c>
      <c r="D363" s="115" t="inlineStr">
        <is>
          <t>+10% de resistência a Corrupção</t>
        </is>
      </c>
      <c r="E363" s="115" t="n">
        <v>8</v>
      </c>
      <c r="H363" s="115" t="inlineStr">
        <is>
          <t>Qualquer ferreiro da cidade do tier</t>
        </is>
      </c>
      <c r="I363" s="115" t="inlineStr">
        <is>
          <t>Acessório</t>
        </is>
      </c>
    </row>
    <row r="364">
      <c r="A364" s="115" t="inlineStr">
        <is>
          <t>Tier 3 (Ferro)</t>
        </is>
      </c>
      <c r="B364" s="115" t="inlineStr">
        <is>
          <t>Estandarte do Comandante Caído</t>
        </is>
      </c>
      <c r="C364" s="115" t="inlineStr">
        <is>
          <t>1x Fragmento de Esqueleto Comandante + 1x Estandarte Partido de Comando</t>
        </is>
      </c>
      <c r="D364" s="115" t="inlineStr">
        <is>
          <t>+10% de bônus de Ataque pro grupo no primeiro turno de combate</t>
        </is>
      </c>
      <c r="E364" s="115" t="n">
        <v>15</v>
      </c>
      <c r="H364" s="115" t="inlineStr">
        <is>
          <t>Qualquer ferreiro da cidade do tier (receita de Elite)</t>
        </is>
      </c>
      <c r="I364" s="115" t="inlineStr">
        <is>
          <t>Acessório</t>
        </is>
      </c>
    </row>
    <row r="365">
      <c r="A365" s="115" t="inlineStr">
        <is>
          <t>Tier 3 (Ferro)</t>
        </is>
      </c>
      <c r="B365" s="115" t="inlineStr">
        <is>
          <t>Martelo do Zelote Ferreiro</t>
        </is>
      </c>
      <c r="C365" s="115" t="inlineStr">
        <is>
          <t>1x Fragmento de Zelote Ferreiro + 1x Martelo Abençoado pela Mão</t>
        </is>
      </c>
      <c r="D365" s="115" t="inlineStr">
        <is>
          <t>+10% de dano com armas forjadas no Tier 3</t>
        </is>
      </c>
      <c r="E365" s="115" t="n">
        <v>15</v>
      </c>
      <c r="H365" s="115" t="inlineStr">
        <is>
          <t>Qualquer ferreiro da cidade do tier (receita de Elite)</t>
        </is>
      </c>
      <c r="I365" s="115" t="inlineStr">
        <is>
          <t>Acessório</t>
        </is>
      </c>
    </row>
    <row r="366">
      <c r="A366" s="115" t="inlineStr">
        <is>
          <t>Tier 3 (Ferro)</t>
        </is>
      </c>
      <c r="B366" s="115" t="inlineStr">
        <is>
          <t>Fechadura da Bigorna Armadilhada</t>
        </is>
      </c>
      <c r="C366" s="115" t="inlineStr">
        <is>
          <t>1x Fragmento de Bigorna Armadilhada</t>
        </is>
      </c>
      <c r="D366" s="115" t="inlineStr">
        <is>
          <t>+10% de chance de identificar Mímicos antes do primeiro golpe</t>
        </is>
      </c>
      <c r="E366" s="115" t="n">
        <v>12</v>
      </c>
      <c r="H366" s="115" t="inlineStr">
        <is>
          <t>Qualquer ferreiro da cidade do tier (receita de Elite)</t>
        </is>
      </c>
      <c r="I366" s="115" t="inlineStr">
        <is>
          <t>Acessório</t>
        </is>
      </c>
    </row>
    <row r="367">
      <c r="A367" s="115" t="inlineStr">
        <is>
          <t>Tier 3 (Ferro)</t>
        </is>
      </c>
      <c r="B367" s="115" t="inlineStr">
        <is>
          <t>Amuleto do Espírito Fugidio</t>
        </is>
      </c>
      <c r="C367" s="115" t="inlineStr">
        <is>
          <t>1x Resíduo Etéreo do Espírito Fugidio</t>
        </is>
      </c>
      <c r="D367" s="115" t="inlineStr">
        <is>
          <t>+5% de chance de loot Raro extra em combates vencidos</t>
        </is>
      </c>
      <c r="E367" s="115" t="n">
        <v>12</v>
      </c>
      <c r="H367" s="115" t="inlineStr">
        <is>
          <t>Qualquer ferreiro da cidade do tier (receita de Elite)</t>
        </is>
      </c>
      <c r="I367" s="115" t="inlineStr">
        <is>
          <t>Acessório</t>
        </is>
      </c>
    </row>
    <row r="368">
      <c r="A368" s="115" t="inlineStr">
        <is>
          <t>Tier 3 (Ferro)</t>
        </is>
      </c>
      <c r="B368" s="115" t="inlineStr">
        <is>
          <t>Insígnia Menor do Capitão Vessel</t>
        </is>
      </c>
      <c r="C368" s="115" t="inlineStr">
        <is>
          <t>1x Fragmento do Capitão Que Não Se Rendeu</t>
        </is>
      </c>
      <c r="D368" s="115" t="inlineStr">
        <is>
          <t>+15% de resistência a Medo (versão de Elite Nomeado)</t>
        </is>
      </c>
      <c r="E368" s="115" t="n">
        <v>15</v>
      </c>
      <c r="H368" s="115" t="inlineStr">
        <is>
          <t>Qualquer ferreiro da cidade do tier (receita de Elite)</t>
        </is>
      </c>
      <c r="I368" s="115" t="inlineStr">
        <is>
          <t>Acessório</t>
        </is>
      </c>
    </row>
    <row r="369">
      <c r="A369" s="115" t="inlineStr">
        <is>
          <t>Tier 3 (Ferro)</t>
        </is>
      </c>
      <c r="B369" s="115" t="inlineStr">
        <is>
          <t>Núcleo Instável do Golem Fragmentado</t>
        </is>
      </c>
      <c r="C369" s="115" t="inlineStr">
        <is>
          <t>1x Fragmento de Golem Fragmentado + 1x Núcleo Rachado</t>
        </is>
      </c>
      <c r="D369" s="115" t="inlineStr">
        <is>
          <t>+10% de resistência a Explosão (versão de Elite)</t>
        </is>
      </c>
      <c r="E369" s="115" t="n">
        <v>15</v>
      </c>
      <c r="H369" s="115" t="inlineStr">
        <is>
          <t>Qualquer ferreiro da cidade do tier (receita de Elite)</t>
        </is>
      </c>
      <c r="I369" s="115" t="inlineStr">
        <is>
          <t>Acessório</t>
        </is>
      </c>
    </row>
    <row r="370">
      <c r="A370" s="115" t="inlineStr">
        <is>
          <t>Tier 4 (Prata)</t>
        </is>
      </c>
      <c r="B370" s="115" t="inlineStr">
        <is>
          <t>Mortalha Preservada</t>
        </is>
      </c>
      <c r="C370" s="115" t="inlineStr">
        <is>
          <t>1x Mortalha Fresca de Zumbi + 1x Carne Preservada da Câmara Interna</t>
        </is>
      </c>
      <c r="D370" s="115" t="inlineStr">
        <is>
          <t>+10% de resistência a Veneno/Necrose</t>
        </is>
      </c>
      <c r="E370" s="115" t="n">
        <v>10</v>
      </c>
      <c r="H370" s="115" t="inlineStr">
        <is>
          <t>Qualquer ferreiro da cidade do tier</t>
        </is>
      </c>
      <c r="I370" s="115" t="inlineStr">
        <is>
          <t>Acessório</t>
        </is>
      </c>
    </row>
    <row r="371">
      <c r="A371" s="115" t="inlineStr">
        <is>
          <t>Tier 4 (Prata)</t>
        </is>
      </c>
      <c r="B371" s="115" t="inlineStr">
        <is>
          <t>Terço da Freira Perdida</t>
        </is>
      </c>
      <c r="C371" s="115" t="inlineStr">
        <is>
          <t>1x Terço Quebrado da Freira Perdida + 1x Colar de Dívida do Devoto</t>
        </is>
      </c>
      <c r="D371" s="115" t="inlineStr">
        <is>
          <t>+10% de resistência a Corrupção</t>
        </is>
      </c>
      <c r="E371" s="115" t="n">
        <v>10</v>
      </c>
      <c r="H371" s="115" t="inlineStr">
        <is>
          <t>Qualquer ferreiro da cidade do tier</t>
        </is>
      </c>
      <c r="I371" s="115" t="inlineStr">
        <is>
          <t>Acessório</t>
        </is>
      </c>
    </row>
    <row r="372">
      <c r="A372" s="115" t="inlineStr">
        <is>
          <t>Tier 4 (Prata)</t>
        </is>
      </c>
      <c r="B372" s="115" t="inlineStr">
        <is>
          <t>Placa Remendada do Cavaleiro</t>
        </is>
      </c>
      <c r="C372" s="115" t="inlineStr">
        <is>
          <t>1x Placa Rachada de Cavaleiro Ferido + 1x Elmo Amassado de Cavaleiro</t>
        </is>
      </c>
      <c r="D372" s="115" t="inlineStr">
        <is>
          <t>+2 de Defesa leve</t>
        </is>
      </c>
      <c r="E372" s="115" t="n">
        <v>10</v>
      </c>
      <c r="H372" s="115" t="inlineStr">
        <is>
          <t>Qualquer ferreiro da cidade do tier</t>
        </is>
      </c>
      <c r="I372" s="115" t="inlineStr">
        <is>
          <t>Acessório</t>
        </is>
      </c>
    </row>
    <row r="373">
      <c r="A373" s="115" t="inlineStr">
        <is>
          <t>Tier 4 (Prata)</t>
        </is>
      </c>
      <c r="B373" s="115" t="inlineStr">
        <is>
          <t>Escudo do Escudeiro Fiel</t>
        </is>
      </c>
      <c r="C373" s="115" t="inlineStr">
        <is>
          <t>1x Escudo Rachado de Escudeiro Amaldiçoado + 1x Corrente de Lealdade Partida</t>
        </is>
      </c>
      <c r="D373" s="115" t="inlineStr">
        <is>
          <t>+10% de resistência a Debuffs</t>
        </is>
      </c>
      <c r="E373" s="115" t="n">
        <v>10</v>
      </c>
      <c r="H373" s="115" t="inlineStr">
        <is>
          <t>Qualquer ferreiro da cidade do tier</t>
        </is>
      </c>
      <c r="I373" s="115" t="inlineStr">
        <is>
          <t>Acessório</t>
        </is>
      </c>
    </row>
    <row r="374">
      <c r="A374" s="115" t="inlineStr">
        <is>
          <t>Tier 4 (Prata)</t>
        </is>
      </c>
      <c r="B374" s="115" t="inlineStr">
        <is>
          <t>Farrapo do Peregrino Silenciado</t>
        </is>
      </c>
      <c r="C374" s="115" t="inlineStr">
        <is>
          <t>1x Farrapo de Peregrino Silenciado + 1x Fio de Sudário Roído</t>
        </is>
      </c>
      <c r="D374" s="115" t="inlineStr">
        <is>
          <t>+10% de resistência a Silêncio/efeitos que impedem magia</t>
        </is>
      </c>
      <c r="E374" s="115" t="n">
        <v>14</v>
      </c>
      <c r="H374" s="115" t="inlineStr">
        <is>
          <t>Qualquer ferreiro da cidade do tier (receita rara)</t>
        </is>
      </c>
      <c r="I374" s="115" t="inlineStr">
        <is>
          <t>Acessório</t>
        </is>
      </c>
    </row>
    <row r="375">
      <c r="A375" s="115" t="inlineStr">
        <is>
          <t>Tier 4 (Prata)</t>
        </is>
      </c>
      <c r="B375" s="115" t="inlineStr">
        <is>
          <t>Amuleto do Sussurro Preso</t>
        </is>
      </c>
      <c r="C375" s="115" t="inlineStr">
        <is>
          <t>1x Sussurro Preso em Névoa + 1x Névoa Fria da Entrada</t>
        </is>
      </c>
      <c r="D375" s="115" t="inlineStr">
        <is>
          <t>+15% de resistência a Medo</t>
        </is>
      </c>
      <c r="E375" s="115" t="n">
        <v>14</v>
      </c>
      <c r="H375" s="115" t="inlineStr">
        <is>
          <t>Qualquer ferreiro da cidade do tier (receita rara)</t>
        </is>
      </c>
      <c r="I375" s="115" t="inlineStr">
        <is>
          <t>Acessório</t>
        </is>
      </c>
    </row>
    <row r="376">
      <c r="A376" s="115" t="inlineStr">
        <is>
          <t>Tier 4 (Prata)</t>
        </is>
      </c>
      <c r="B376" s="115" t="inlineStr">
        <is>
          <t>Juramento do Cavaleiro Esquecido</t>
        </is>
      </c>
      <c r="C376" s="115" t="inlineStr">
        <is>
          <t>1x Placa Esquecida de Cavaleiro + 1x Juramento Partido em Metal</t>
        </is>
      </c>
      <c r="D376" s="115" t="inlineStr">
        <is>
          <t>+5% de dano em ataques corpo a corpo</t>
        </is>
      </c>
      <c r="E376" s="115" t="n">
        <v>10</v>
      </c>
      <c r="H376" s="115" t="inlineStr">
        <is>
          <t>Qualquer ferreiro da cidade do tier</t>
        </is>
      </c>
      <c r="I376" s="115" t="inlineStr">
        <is>
          <t>Acessório</t>
        </is>
      </c>
    </row>
    <row r="377">
      <c r="A377" s="115" t="inlineStr">
        <is>
          <t>Tier 4 (Prata)</t>
        </is>
      </c>
      <c r="B377" s="115" t="inlineStr">
        <is>
          <t>Capuz da Aparição Menor</t>
        </is>
      </c>
      <c r="C377" s="115" t="inlineStr">
        <is>
          <t>1x Resíduo Espectral de Aparição Menor + 1x Capuz Encardido de Espectro</t>
        </is>
      </c>
      <c r="D377" s="115" t="inlineStr">
        <is>
          <t>+10% de resistência a Controle leve</t>
        </is>
      </c>
      <c r="E377" s="115" t="n">
        <v>10</v>
      </c>
      <c r="H377" s="115" t="inlineStr">
        <is>
          <t>Qualquer ferreiro da cidade do tier</t>
        </is>
      </c>
      <c r="I377" s="115" t="inlineStr">
        <is>
          <t>Acessório</t>
        </is>
      </c>
    </row>
    <row r="378">
      <c r="A378" s="115" t="inlineStr">
        <is>
          <t>Tier 4 (Prata)</t>
        </is>
      </c>
      <c r="B378" s="115" t="inlineStr">
        <is>
          <t>Mordaça Selada</t>
        </is>
      </c>
      <c r="C378" s="115" t="inlineStr">
        <is>
          <t>1x Mordaça de Aprendiz + 1x Língua Cortada Selada</t>
        </is>
      </c>
      <c r="D378" s="115" t="inlineStr">
        <is>
          <t>+10% de resistência a efeitos Silenciadores de magia</t>
        </is>
      </c>
      <c r="E378" s="115" t="n">
        <v>14</v>
      </c>
      <c r="H378" s="115" t="inlineStr">
        <is>
          <t>Qualquer ferreiro da cidade do tier (receita rara)</t>
        </is>
      </c>
      <c r="I378" s="115" t="inlineStr">
        <is>
          <t>Acessório</t>
        </is>
      </c>
    </row>
    <row r="379">
      <c r="A379" s="115" t="inlineStr">
        <is>
          <t>Tier 4 (Prata)</t>
        </is>
      </c>
      <c r="B379" s="115" t="inlineStr">
        <is>
          <t>Vial do Sudário Frio</t>
        </is>
      </c>
      <c r="C379" s="115" t="inlineStr">
        <is>
          <t>1x Fio de Sudário Frio + 1x Presa Necrófaga de Zumbi Devorador</t>
        </is>
      </c>
      <c r="D379" s="115" t="inlineStr">
        <is>
          <t>+1 HP recuperado ao vencer combate</t>
        </is>
      </c>
      <c r="E379" s="115" t="n">
        <v>10</v>
      </c>
      <c r="H379" s="115" t="inlineStr">
        <is>
          <t>Qualquer ferreiro da cidade do tier</t>
        </is>
      </c>
      <c r="I379" s="115" t="inlineStr">
        <is>
          <t>Acessório</t>
        </is>
      </c>
    </row>
    <row r="380">
      <c r="A380" s="115" t="inlineStr">
        <is>
          <t>Tier 4 (Prata)</t>
        </is>
      </c>
      <c r="B380" s="115" t="inlineStr">
        <is>
          <t>Amuleto do Escudo Amaldiçoado</t>
        </is>
      </c>
      <c r="C380" s="115" t="inlineStr">
        <is>
          <t>1x Escudo Amaldiçoado + 1x Badalo Menor Rachado</t>
        </is>
      </c>
      <c r="D380" s="115" t="inlineStr">
        <is>
          <t>+10% de resistência a Atordoamento</t>
        </is>
      </c>
      <c r="E380" s="115" t="n">
        <v>10</v>
      </c>
      <c r="H380" s="115" t="inlineStr">
        <is>
          <t>Qualquer ferreiro da cidade do tier</t>
        </is>
      </c>
      <c r="I380" s="115" t="inlineStr">
        <is>
          <t>Acessório</t>
        </is>
      </c>
    </row>
    <row r="381">
      <c r="A381" s="115" t="inlineStr">
        <is>
          <t>Tier 4 (Prata)</t>
        </is>
      </c>
      <c r="B381" s="115" t="inlineStr">
        <is>
          <t>Amuleto do Eco Preso</t>
        </is>
      </c>
      <c r="C381" s="115" t="inlineStr">
        <is>
          <t>1x Eco Preso no Metal + 1x Grito Guardado do Devoto Fanático</t>
        </is>
      </c>
      <c r="D381" s="115" t="inlineStr">
        <is>
          <t>+10% de resistência a Explosão</t>
        </is>
      </c>
      <c r="E381" s="115" t="n">
        <v>14</v>
      </c>
      <c r="H381" s="115" t="inlineStr">
        <is>
          <t>Qualquer ferreiro da cidade do tier (receita rara)</t>
        </is>
      </c>
      <c r="I381" s="115" t="inlineStr">
        <is>
          <t>Acessório</t>
        </is>
      </c>
    </row>
    <row r="382">
      <c r="A382" s="115" t="inlineStr">
        <is>
          <t>Tier 4 (Prata)</t>
        </is>
      </c>
      <c r="B382" s="115" t="inlineStr">
        <is>
          <t>Fechadura do Sino Falso</t>
        </is>
      </c>
      <c r="C382" s="115" t="inlineStr">
        <is>
          <t>1x Fragmento de Badalo Armadilhado</t>
        </is>
      </c>
      <c r="D382" s="115" t="inlineStr">
        <is>
          <t>+10% de chance de identificar Mímicos antes do primeiro golpe</t>
        </is>
      </c>
      <c r="E382" s="115" t="n">
        <v>15</v>
      </c>
      <c r="H382" s="115" t="inlineStr">
        <is>
          <t>Qualquer ferreiro da cidade do tier (receita de Elite)</t>
        </is>
      </c>
      <c r="I382" s="115" t="inlineStr">
        <is>
          <t>Acessório</t>
        </is>
      </c>
    </row>
    <row r="383">
      <c r="A383" s="115" t="inlineStr">
        <is>
          <t>Tier 4 (Prata)</t>
        </is>
      </c>
      <c r="B383" s="115" t="inlineStr">
        <is>
          <t>Relicário do Confessor</t>
        </is>
      </c>
      <c r="C383" s="115" t="inlineStr">
        <is>
          <t>1x Fragmento de Confessor do Silêncio + 1x Relicário de Confissões Guardadas</t>
        </is>
      </c>
      <c r="D383" s="115" t="inlineStr">
        <is>
          <t>+10% de resistência a Debuffs (versão de Elite)</t>
        </is>
      </c>
      <c r="E383" s="115" t="n">
        <v>18</v>
      </c>
      <c r="H383" s="115" t="inlineStr">
        <is>
          <t>Qualquer ferreiro da cidade do tier (receita de Elite)</t>
        </is>
      </c>
      <c r="I383" s="115" t="inlineStr">
        <is>
          <t>Acessório</t>
        </is>
      </c>
    </row>
    <row r="384">
      <c r="A384" s="115" t="inlineStr">
        <is>
          <t>Tier 4 (Prata)</t>
        </is>
      </c>
      <c r="B384" s="115" t="inlineStr">
        <is>
          <t>Amuleto da Alma Fugidia</t>
        </is>
      </c>
      <c r="C384" s="115" t="inlineStr">
        <is>
          <t>1x Resíduo de Alma Fugidia</t>
        </is>
      </c>
      <c r="D384" s="115" t="inlineStr">
        <is>
          <t>+5% de chance de loot Raro extra em combates vencidos</t>
        </is>
      </c>
      <c r="E384" s="115" t="n">
        <v>15</v>
      </c>
      <c r="H384" s="115" t="inlineStr">
        <is>
          <t>Qualquer ferreiro da cidade do tier (receita de Elite)</t>
        </is>
      </c>
      <c r="I384" s="115" t="inlineStr">
        <is>
          <t>Acessório</t>
        </is>
      </c>
    </row>
    <row r="385">
      <c r="A385" s="115" t="inlineStr">
        <is>
          <t>Tier 4 (Prata)</t>
        </is>
      </c>
      <c r="B385" s="115" t="inlineStr">
        <is>
          <t>Broche do Guarda-Costas Menor</t>
        </is>
      </c>
      <c r="C385" s="115" t="inlineStr">
        <is>
          <t>1x Fragmento de Guarda-Costas Menor</t>
        </is>
      </c>
      <c r="D385" s="115" t="inlineStr">
        <is>
          <t>+10% de resistência a Atordoamento (versão de Elite)</t>
        </is>
      </c>
      <c r="E385" s="115" t="n">
        <v>15</v>
      </c>
      <c r="H385" s="115" t="inlineStr">
        <is>
          <t>Qualquer ferreiro da cidade do tier (receita de Elite)</t>
        </is>
      </c>
      <c r="I385" s="115" t="inlineStr">
        <is>
          <t>Acessório</t>
        </is>
      </c>
    </row>
    <row r="386">
      <c r="A386" s="115" t="inlineStr">
        <is>
          <t>Tier 4 (Prata)</t>
        </is>
      </c>
      <c r="B386" s="115" t="inlineStr">
        <is>
          <t>Machado do Carrasco Silencioso</t>
        </is>
      </c>
      <c r="C386" s="115" t="inlineStr">
        <is>
          <t>1x Fragmento de Carrasco Silencioso + 1x Machado Silencioso Quebrado</t>
        </is>
      </c>
      <c r="D386" s="115" t="inlineStr">
        <is>
          <t>+5% de chance de crítico</t>
        </is>
      </c>
      <c r="E386" s="115" t="n">
        <v>18</v>
      </c>
      <c r="H386" s="115" t="inlineStr">
        <is>
          <t>Qualquer ferreiro da cidade do tier (receita de Elite)</t>
        </is>
      </c>
      <c r="I386" s="115" t="inlineStr">
        <is>
          <t>Acessório</t>
        </is>
      </c>
    </row>
    <row r="387">
      <c r="A387" s="115" t="inlineStr">
        <is>
          <t>Tier 4 (Prata)</t>
        </is>
      </c>
      <c r="B387" s="115" t="inlineStr">
        <is>
          <t>Corda Menor do Último Vigia</t>
        </is>
      </c>
      <c r="C387" s="115" t="inlineStr">
        <is>
          <t>1x Fragmento do Último Vigia</t>
        </is>
      </c>
      <c r="D387" s="115" t="inlineStr">
        <is>
          <t>+15% de resistência a Medo (versão de Elite Nomeado)</t>
        </is>
      </c>
      <c r="E387" s="115" t="n">
        <v>20</v>
      </c>
      <c r="H387" s="115" t="inlineStr">
        <is>
          <t>Qualquer ferreiro da cidade do tier (receita de Elite)</t>
        </is>
      </c>
      <c r="I387" s="115" t="inlineStr">
        <is>
          <t>Acessório</t>
        </is>
      </c>
    </row>
    <row r="388">
      <c r="A388" s="115" t="inlineStr">
        <is>
          <t>Tier 4 (Prata)</t>
        </is>
      </c>
      <c r="B388" s="115" t="inlineStr">
        <is>
          <t>Broche do Guarda-Costas do Silêncio</t>
        </is>
      </c>
      <c r="C388" s="115" t="inlineStr">
        <is>
          <t>1x Fragmento de Guarda-Costas do Silêncio</t>
        </is>
      </c>
      <c r="D388" s="115" t="inlineStr">
        <is>
          <t>+2 de Defesa (versão de Elite)</t>
        </is>
      </c>
      <c r="E388" s="115" t="n">
        <v>15</v>
      </c>
      <c r="H388" s="115" t="inlineStr">
        <is>
          <t>Qualquer ferreiro da cidade do tier (receita de Elite)</t>
        </is>
      </c>
      <c r="I388" s="115" t="inlineStr">
        <is>
          <t>Acessório</t>
        </is>
      </c>
    </row>
    <row r="389">
      <c r="A389" s="115" t="inlineStr">
        <is>
          <t>Tier 5 (Aço Élfico)</t>
        </is>
      </c>
      <c r="B389" s="115" t="inlineStr">
        <is>
          <t>Amuleto da Sentinela Quebrada</t>
        </is>
      </c>
      <c r="C389" s="115" t="inlineStr">
        <is>
          <t>1x Fragmento de Pedra Rúnica Quebrada + 1x Núcleo Rúnico Dormente</t>
        </is>
      </c>
      <c r="D389" s="115" t="inlineStr">
        <is>
          <t>+10% de resistência a efeitos Rúnicos/Mágicos hostis</t>
        </is>
      </c>
      <c r="E389" s="115" t="n">
        <v>16</v>
      </c>
      <c r="H389" s="115" t="inlineStr">
        <is>
          <t>Qualquer ferreiro da cidade do tier</t>
        </is>
      </c>
      <c r="I389" s="115" t="inlineStr">
        <is>
          <t>Acessório</t>
        </is>
      </c>
    </row>
    <row r="390">
      <c r="A390" s="115" t="inlineStr">
        <is>
          <t>Tier 5 (Aço Élfico)</t>
        </is>
      </c>
      <c r="B390" s="115" t="inlineStr">
        <is>
          <t>Amuleto do Musgo Devorador</t>
        </is>
      </c>
      <c r="C390" s="115" t="inlineStr">
        <is>
          <t>1x Amostra de Musgo Devorador + 1x Broto de Musgo Rastejante</t>
        </is>
      </c>
      <c r="D390" s="115" t="inlineStr">
        <is>
          <t>+10% de resistência a Veneno/Necrose</t>
        </is>
      </c>
      <c r="E390" s="115" t="n">
        <v>16</v>
      </c>
      <c r="H390" s="115" t="inlineStr">
        <is>
          <t>Qualquer ferreiro da cidade do tier</t>
        </is>
      </c>
      <c r="I390" s="115" t="inlineStr">
        <is>
          <t>Acessório</t>
        </is>
      </c>
    </row>
    <row r="391">
      <c r="A391" s="115" t="inlineStr">
        <is>
          <t>Tier 5 (Aço Élfico)</t>
        </is>
      </c>
      <c r="B391" s="115" t="inlineStr">
        <is>
          <t>Broche do Clã Perdido</t>
        </is>
      </c>
      <c r="C391" s="115" t="inlineStr">
        <is>
          <t>1x Broche do Clã Perdido</t>
        </is>
      </c>
      <c r="D391" s="115" t="inlineStr">
        <is>
          <t>+10% de resistência a Corrupção</t>
        </is>
      </c>
      <c r="E391" s="115" t="n">
        <v>20</v>
      </c>
      <c r="H391" s="115" t="inlineStr">
        <is>
          <t>Qualquer ferreiro da cidade do tier (receita rara)</t>
        </is>
      </c>
      <c r="I391" s="115" t="inlineStr">
        <is>
          <t>Acessório</t>
        </is>
      </c>
    </row>
    <row r="392">
      <c r="A392" s="115" t="inlineStr">
        <is>
          <t>Tier 5 (Aço Élfico)</t>
        </is>
      </c>
      <c r="B392" s="115" t="inlineStr">
        <is>
          <t>Casca do Ent Corrompido</t>
        </is>
      </c>
      <c r="C392" s="115" t="inlineStr">
        <is>
          <t>1x Casca Corrompida de Ent Pequeno + 1x Casca Corrompida de Ent Ancião</t>
        </is>
      </c>
      <c r="D392" s="115" t="inlineStr">
        <is>
          <t>+2 de Defesa leve</t>
        </is>
      </c>
      <c r="E392" s="115" t="n">
        <v>16</v>
      </c>
      <c r="H392" s="115" t="inlineStr">
        <is>
          <t>Qualquer ferreiro da cidade do tier</t>
        </is>
      </c>
      <c r="I392" s="115" t="inlineStr">
        <is>
          <t>Acessório</t>
        </is>
      </c>
    </row>
    <row r="393">
      <c r="A393" s="115" t="inlineStr">
        <is>
          <t>Tier 5 (Aço Élfico)</t>
        </is>
      </c>
      <c r="B393" s="115" t="inlineStr">
        <is>
          <t>Amuleto do Guardião de Pedra</t>
        </is>
      </c>
      <c r="C393" s="115" t="inlineStr">
        <is>
          <t>1x Fragmento de Pedra do Guardião Menor + 1x Fragmento de Pedra Rachada</t>
        </is>
      </c>
      <c r="D393" s="115" t="inlineStr">
        <is>
          <t>+10% de resistência a Atordoamento</t>
        </is>
      </c>
      <c r="E393" s="115" t="n">
        <v>16</v>
      </c>
      <c r="H393" s="115" t="inlineStr">
        <is>
          <t>Qualquer ferreiro da cidade do tier</t>
        </is>
      </c>
      <c r="I393" s="115" t="inlineStr">
        <is>
          <t>Acessório</t>
        </is>
      </c>
    </row>
    <row r="394">
      <c r="A394" s="115" t="inlineStr">
        <is>
          <t>Tier 5 (Aço Élfico)</t>
        </is>
      </c>
      <c r="B394" s="115" t="inlineStr">
        <is>
          <t>Vial da Seiva Parasita</t>
        </is>
      </c>
      <c r="C394" s="115" t="inlineStr">
        <is>
          <t>1x Seiva Parasita Extraída + 1x Seiva Viva Corrompida</t>
        </is>
      </c>
      <c r="D394" s="115" t="inlineStr">
        <is>
          <t>+10% de dano com efeito Veneno aplicado</t>
        </is>
      </c>
      <c r="E394" s="115" t="n">
        <v>16</v>
      </c>
      <c r="H394" s="115" t="inlineStr">
        <is>
          <t>Qualquer ferreiro da cidade do tier</t>
        </is>
      </c>
      <c r="I394" s="115" t="inlineStr">
        <is>
          <t>Acessório</t>
        </is>
      </c>
    </row>
    <row r="395">
      <c r="A395" s="115" t="inlineStr">
        <is>
          <t>Tier 5 (Aço Élfico)</t>
        </is>
      </c>
      <c r="B395" s="115" t="inlineStr">
        <is>
          <t>Amuleto da Sentinela Ativada</t>
        </is>
      </c>
      <c r="C395" s="115" t="inlineStr">
        <is>
          <t>1x Engrenagem Rúnica Recém-Ativada + 1x Núcleo Rúnico Desperto</t>
        </is>
      </c>
      <c r="D395" s="115" t="inlineStr">
        <is>
          <t>+5% de dano em ataques corpo a corpo</t>
        </is>
      </c>
      <c r="E395" s="115" t="n">
        <v>16</v>
      </c>
      <c r="H395" s="115" t="inlineStr">
        <is>
          <t>Qualquer ferreiro da cidade do tier</t>
        </is>
      </c>
      <c r="I395" s="115" t="inlineStr">
        <is>
          <t>Acessório</t>
        </is>
      </c>
    </row>
    <row r="396">
      <c r="A396" s="115" t="inlineStr">
        <is>
          <t>Tier 5 (Aço Élfico)</t>
        </is>
      </c>
      <c r="B396" s="115" t="inlineStr">
        <is>
          <t>Amuleto da Raposa da Névoa</t>
        </is>
      </c>
      <c r="C396" s="115" t="inlineStr">
        <is>
          <t>1x Cauda Espectral de Raposa Jovem + 1x Cauda Espectral de Raposa da Névoa</t>
        </is>
      </c>
      <c r="D396" s="115" t="inlineStr">
        <is>
          <t>+10% de furtividade/chance de emboscada</t>
        </is>
      </c>
      <c r="E396" s="115" t="n">
        <v>16</v>
      </c>
      <c r="H396" s="115" t="inlineStr">
        <is>
          <t>Qualquer ferreiro da cidade do tier</t>
        </is>
      </c>
      <c r="I396" s="115" t="inlineStr">
        <is>
          <t>Acessório</t>
        </is>
      </c>
    </row>
    <row r="397">
      <c r="A397" s="115" t="inlineStr">
        <is>
          <t>Tier 5 (Aço Élfico)</t>
        </is>
      </c>
      <c r="B397" s="115" t="inlineStr">
        <is>
          <t>Arco Espectral Reforçado</t>
        </is>
      </c>
      <c r="C397" s="115" t="inlineStr">
        <is>
          <t>1x Arco Espectral de Arqueiro Fantasma + 1x Arco Corrompido de Batedor Élfico</t>
        </is>
      </c>
      <c r="D397" s="115" t="inlineStr">
        <is>
          <t>+10% de precisão em ataques à distância</t>
        </is>
      </c>
      <c r="E397" s="115" t="n">
        <v>16</v>
      </c>
      <c r="H397" s="115" t="inlineStr">
        <is>
          <t>Qualquer ferreiro da cidade do tier</t>
        </is>
      </c>
      <c r="I397" s="115" t="inlineStr">
        <is>
          <t>Acessório</t>
        </is>
      </c>
    </row>
    <row r="398">
      <c r="A398" s="115" t="inlineStr">
        <is>
          <t>Tier 5 (Aço Élfico)</t>
        </is>
      </c>
      <c r="B398" s="115" t="inlineStr">
        <is>
          <t>Lâmina Espectral Reforjada</t>
        </is>
      </c>
      <c r="C398" s="115" t="inlineStr">
        <is>
          <t>1x Lâmina Espectral Quebrada + 1x Lâmina Espectral Menor</t>
        </is>
      </c>
      <c r="D398" s="115" t="inlineStr">
        <is>
          <t>+5% de chance de crítico</t>
        </is>
      </c>
      <c r="E398" s="115" t="n">
        <v>16</v>
      </c>
      <c r="H398" s="115" t="inlineStr">
        <is>
          <t>Qualquer ferreiro da cidade do tier</t>
        </is>
      </c>
      <c r="I398" s="115" t="inlineStr">
        <is>
          <t>Acessório</t>
        </is>
      </c>
    </row>
    <row r="399">
      <c r="A399" s="115" t="inlineStr">
        <is>
          <t>Tier 5 (Aço Élfico)</t>
        </is>
      </c>
      <c r="B399" s="115" t="inlineStr">
        <is>
          <t>Fragmento da Canção Eterna</t>
        </is>
      </c>
      <c r="C399" s="115" t="inlineStr">
        <is>
          <t>1x Fragmento da Última Canção + 1x Eco Menor Fragmentado</t>
        </is>
      </c>
      <c r="D399" s="115" t="inlineStr">
        <is>
          <t>+15% de resistência a Controle</t>
        </is>
      </c>
      <c r="E399" s="115" t="n">
        <v>20</v>
      </c>
      <c r="H399" s="115" t="inlineStr">
        <is>
          <t>Qualquer ferreiro da cidade do tier (receita rara)</t>
        </is>
      </c>
      <c r="I399" s="115" t="inlineStr">
        <is>
          <t>Acessório</t>
        </is>
      </c>
    </row>
    <row r="400">
      <c r="A400" s="115" t="inlineStr">
        <is>
          <t>Tier 5 (Aço Élfico)</t>
        </is>
      </c>
      <c r="B400" s="115" t="inlineStr">
        <is>
          <t>Vial da Seiva Escurecida</t>
        </is>
      </c>
      <c r="C400" s="115" t="inlineStr">
        <is>
          <t>1x Seiva Escurecida de Aranha + 1x Corda Rúnica de Caçador Menor</t>
        </is>
      </c>
      <c r="D400" s="115" t="inlineStr">
        <is>
          <t>+10% de resistência a Debuffs</t>
        </is>
      </c>
      <c r="E400" s="115" t="n">
        <v>16</v>
      </c>
      <c r="H400" s="115" t="inlineStr">
        <is>
          <t>Qualquer ferreiro da cidade do tier</t>
        </is>
      </c>
      <c r="I400" s="115" t="inlineStr">
        <is>
          <t>Acessório</t>
        </is>
      </c>
    </row>
    <row r="401">
      <c r="A401" s="115" t="inlineStr">
        <is>
          <t>Tier 5 (Aço Élfico)</t>
        </is>
      </c>
      <c r="B401" s="115" t="inlineStr">
        <is>
          <t>Capuz da Ordem do Silêncio Eterno</t>
        </is>
      </c>
      <c r="C401" s="115" t="inlineStr">
        <is>
          <t>1x Capuz Silencioso da Ordem + 1x Arco Corrompido de Batedor Veterano</t>
        </is>
      </c>
      <c r="D401" s="115" t="inlineStr">
        <is>
          <t>+10% de resistência a Silêncio/efeitos que impedem magia</t>
        </is>
      </c>
      <c r="E401" s="115" t="n">
        <v>20</v>
      </c>
      <c r="H401" s="115" t="inlineStr">
        <is>
          <t>Qualquer ferreiro da cidade do tier (receita rara)</t>
        </is>
      </c>
      <c r="I401" s="115" t="inlineStr">
        <is>
          <t>Acessório</t>
        </is>
      </c>
    </row>
    <row r="402">
      <c r="A402" s="115" t="inlineStr">
        <is>
          <t>Tier 5 (Aço Élfico)</t>
        </is>
      </c>
      <c r="B402" s="115" t="inlineStr">
        <is>
          <t>Fechadura da Árvore Falsa</t>
        </is>
      </c>
      <c r="C402" s="115" t="inlineStr">
        <is>
          <t>1x Fragmento de Raiz Armadilhada</t>
        </is>
      </c>
      <c r="D402" s="115" t="inlineStr">
        <is>
          <t>+10% de chance de identificar Mímicos antes do primeiro golpe</t>
        </is>
      </c>
      <c r="E402" s="115" t="n">
        <v>22</v>
      </c>
      <c r="H402" s="115" t="inlineStr">
        <is>
          <t>Qualquer ferreiro da cidade do tier (receita de Elite)</t>
        </is>
      </c>
      <c r="I402" s="115" t="inlineStr">
        <is>
          <t>Acessório</t>
        </is>
      </c>
    </row>
    <row r="403">
      <c r="A403" s="115" t="inlineStr">
        <is>
          <t>Tier 5 (Aço Élfico)</t>
        </is>
      </c>
      <c r="B403" s="115" t="inlineStr">
        <is>
          <t>Amuleto do Cervo Prateado</t>
        </is>
      </c>
      <c r="C403" s="115" t="inlineStr">
        <is>
          <t>1x Pelo Prateado do Cervo</t>
        </is>
      </c>
      <c r="D403" s="115" t="inlineStr">
        <is>
          <t>+5% de chance de loot Raro extra em combates vencidos</t>
        </is>
      </c>
      <c r="E403" s="115" t="n">
        <v>22</v>
      </c>
      <c r="H403" s="115" t="inlineStr">
        <is>
          <t>Qualquer ferreiro da cidade do tier (receita de Elite)</t>
        </is>
      </c>
      <c r="I403" s="115" t="inlineStr">
        <is>
          <t>Acessório</t>
        </is>
      </c>
    </row>
    <row r="404">
      <c r="A404" s="115" t="inlineStr">
        <is>
          <t>Tier 5 (Aço Élfico)</t>
        </is>
      </c>
      <c r="B404" s="115" t="inlineStr">
        <is>
          <t>Broche do Guardião Menor dos Portões</t>
        </is>
      </c>
      <c r="C404" s="115" t="inlineStr">
        <is>
          <t>1x Fragmento de Guardião Menor dos Portões</t>
        </is>
      </c>
      <c r="D404" s="115" t="inlineStr">
        <is>
          <t>+10% de resistência a Atordoamento (versão de Elite)</t>
        </is>
      </c>
      <c r="E404" s="115" t="n">
        <v>22</v>
      </c>
      <c r="H404" s="115" t="inlineStr">
        <is>
          <t>Qualquer ferreiro da cidade do tier (receita de Elite)</t>
        </is>
      </c>
      <c r="I404" s="115" t="inlineStr">
        <is>
          <t>Acessório</t>
        </is>
      </c>
    </row>
    <row r="405">
      <c r="A405" s="115" t="inlineStr">
        <is>
          <t>Tier 5 (Aço Élfico)</t>
        </is>
      </c>
      <c r="B405" s="115" t="inlineStr">
        <is>
          <t>Broche do Guardião dos Portões</t>
        </is>
      </c>
      <c r="C405" s="115" t="inlineStr">
        <is>
          <t>1x Fragmento de Guardião dos Portões</t>
        </is>
      </c>
      <c r="D405" s="115" t="inlineStr">
        <is>
          <t>+2 de Defesa (versão de Elite)</t>
        </is>
      </c>
      <c r="E405" s="115" t="n">
        <v>22</v>
      </c>
      <c r="H405" s="115" t="inlineStr">
        <is>
          <t>Qualquer ferreiro da cidade do tier (receita de Elite)</t>
        </is>
      </c>
      <c r="I405" s="115" t="inlineStr">
        <is>
          <t>Acessório</t>
        </is>
      </c>
    </row>
    <row r="406">
      <c r="A406" s="115" t="inlineStr">
        <is>
          <t>Tier 5 (Aço Élfico)</t>
        </is>
      </c>
      <c r="B406" s="115" t="inlineStr">
        <is>
          <t>Amuleto do Caçador Veterano</t>
        </is>
      </c>
      <c r="C406" s="115" t="inlineStr">
        <is>
          <t>1x Fragmento de Caçador Veterano</t>
        </is>
      </c>
      <c r="D406" s="115" t="inlineStr">
        <is>
          <t>+10% de resistência a Debuffs (versão de Elite)</t>
        </is>
      </c>
      <c r="E406" s="115" t="n">
        <v>22</v>
      </c>
      <c r="H406" s="115" t="inlineStr">
        <is>
          <t>Qualquer ferreiro da cidade do tier (receita de Elite)</t>
        </is>
      </c>
      <c r="I406" s="115" t="inlineStr">
        <is>
          <t>Acessório</t>
        </is>
      </c>
    </row>
    <row r="407">
      <c r="A407" s="115" t="inlineStr">
        <is>
          <t>Tier 5 (Aço Élfico)</t>
        </is>
      </c>
      <c r="B407" s="115" t="inlineStr">
        <is>
          <t>Broche da Vigília que Não Dorme</t>
        </is>
      </c>
      <c r="C407" s="115" t="inlineStr">
        <is>
          <t>1x Fragmento da Vigília Élfica</t>
        </is>
      </c>
      <c r="D407" s="115" t="inlineStr">
        <is>
          <t>+15% de resistência a efeitos de Sono/Controle (versão de Elite Nomeado)</t>
        </is>
      </c>
      <c r="E407" s="115" t="n">
        <v>26</v>
      </c>
      <c r="H407" s="115" t="inlineStr">
        <is>
          <t>Qualquer ferreiro da cidade do tier (receita de Elite)</t>
        </is>
      </c>
      <c r="I407" s="115" t="inlineStr">
        <is>
          <t>Acessório</t>
        </is>
      </c>
    </row>
    <row r="408">
      <c r="A408" s="115" t="inlineStr">
        <is>
          <t>Tier 6 (Mecanismo Anão)</t>
        </is>
      </c>
      <c r="B408" s="115" t="inlineStr">
        <is>
          <t>Amuleto do Último Anão</t>
        </is>
      </c>
      <c r="C408" s="115" t="inlineStr">
        <is>
          <t>1x Ferramenta Enferrujada do Último Anão + 1x Lente de Vigia Corrompida</t>
        </is>
      </c>
      <c r="D408" s="115" t="inlineStr">
        <is>
          <t>+10% de resistência a Medo/Isolamento</t>
        </is>
      </c>
      <c r="E408" s="115" t="n">
        <v>22</v>
      </c>
      <c r="H408" s="115" t="inlineStr">
        <is>
          <t>Qualquer ferreiro da cidade do tier</t>
        </is>
      </c>
      <c r="I408" s="115" t="inlineStr">
        <is>
          <t>Acessório</t>
        </is>
      </c>
    </row>
    <row r="409">
      <c r="A409" s="115" t="inlineStr">
        <is>
          <t>Tier 6 (Mecanismo Anão)</t>
        </is>
      </c>
      <c r="B409" s="115" t="inlineStr">
        <is>
          <t>Amuleto do Autômato de Vigia</t>
        </is>
      </c>
      <c r="C409" s="115" t="inlineStr">
        <is>
          <t>1x Engrenagem Solta de Vigia Menor + 1x Placa Quebrada de Autômato</t>
        </is>
      </c>
      <c r="D409" s="115" t="inlineStr">
        <is>
          <t>+1 na Iniciativa (detecção antecipada)</t>
        </is>
      </c>
      <c r="E409" s="115" t="n">
        <v>22</v>
      </c>
      <c r="H409" s="115" t="inlineStr">
        <is>
          <t>Qualquer ferreiro da cidade do tier</t>
        </is>
      </c>
      <c r="I409" s="115" t="inlineStr">
        <is>
          <t>Acessório</t>
        </is>
      </c>
    </row>
    <row r="410">
      <c r="A410" s="115" t="inlineStr">
        <is>
          <t>Tier 6 (Mecanismo Anão)</t>
        </is>
      </c>
      <c r="B410" s="115" t="inlineStr">
        <is>
          <t>Garra do Devorador Reciclado</t>
        </is>
      </c>
      <c r="C410" s="115" t="inlineStr">
        <is>
          <t>1x Garra Reciclada de Devorador Menor + 1x Garra Reciclada de Devorador</t>
        </is>
      </c>
      <c r="D410" s="115" t="inlineStr">
        <is>
          <t>+10% de resistência a Necrose</t>
        </is>
      </c>
      <c r="E410" s="115" t="n">
        <v>22</v>
      </c>
      <c r="H410" s="115" t="inlineStr">
        <is>
          <t>Qualquer ferreiro da cidade do tier</t>
        </is>
      </c>
      <c r="I410" s="115" t="inlineStr">
        <is>
          <t>Acessório</t>
        </is>
      </c>
    </row>
    <row r="411">
      <c r="A411" s="115" t="inlineStr">
        <is>
          <t>Tier 6 (Mecanismo Anão)</t>
        </is>
      </c>
      <c r="B411" s="115" t="inlineStr">
        <is>
          <t>Vial do Vapor Grudado</t>
        </is>
      </c>
      <c r="C411" s="115" t="inlineStr">
        <is>
          <t>1x Resíduo de Vapor Fraco + 1x Resíduo de Vapor Corrosivo</t>
        </is>
      </c>
      <c r="D411" s="115" t="inlineStr">
        <is>
          <t>+10% de resistência a Corrosão/Veneno</t>
        </is>
      </c>
      <c r="E411" s="115" t="n">
        <v>22</v>
      </c>
      <c r="H411" s="115" t="inlineStr">
        <is>
          <t>Qualquer ferreiro da cidade do tier</t>
        </is>
      </c>
      <c r="I411" s="115" t="inlineStr">
        <is>
          <t>Acessório</t>
        </is>
      </c>
    </row>
    <row r="412">
      <c r="A412" s="115" t="inlineStr">
        <is>
          <t>Tier 6 (Mecanismo Anão)</t>
        </is>
      </c>
      <c r="B412" s="115" t="inlineStr">
        <is>
          <t>Caderno do Engenheiro Aprendiz</t>
        </is>
      </c>
      <c r="C412" s="115" t="inlineStr">
        <is>
          <t>1x Caderno de Anotações do Aprendiz + 1x Luva Gasta de Engenheiro Cansado</t>
        </is>
      </c>
      <c r="D412" s="115" t="inlineStr">
        <is>
          <t>+10% de resistência a Fadiga</t>
        </is>
      </c>
      <c r="E412" s="115" t="n">
        <v>26</v>
      </c>
      <c r="H412" s="115" t="inlineStr">
        <is>
          <t>Qualquer ferreiro da cidade do tier (receita rara)</t>
        </is>
      </c>
      <c r="I412" s="115" t="inlineStr">
        <is>
          <t>Acessório</t>
        </is>
      </c>
    </row>
    <row r="413">
      <c r="A413" s="115" t="inlineStr">
        <is>
          <t>Tier 6 (Mecanismo Anão)</t>
        </is>
      </c>
      <c r="B413" s="115" t="inlineStr">
        <is>
          <t>Amuleto da Válvula Explosiva</t>
        </is>
      </c>
      <c r="C413" s="115" t="inlineStr">
        <is>
          <t>1x Válvula Menor Presa + 1x Válvula Explosiva Instável</t>
        </is>
      </c>
      <c r="D413" s="115" t="inlineStr">
        <is>
          <t>+10% de resistência a Explosão</t>
        </is>
      </c>
      <c r="E413" s="115" t="n">
        <v>22</v>
      </c>
      <c r="H413" s="115" t="inlineStr">
        <is>
          <t>Qualquer ferreiro da cidade do tier</t>
        </is>
      </c>
      <c r="I413" s="115" t="inlineStr">
        <is>
          <t>Acessório</t>
        </is>
      </c>
    </row>
    <row r="414">
      <c r="A414" s="115" t="inlineStr">
        <is>
          <t>Tier 6 (Mecanismo Anão)</t>
        </is>
      </c>
      <c r="B414" s="115" t="inlineStr">
        <is>
          <t>Roda do Trilho Vivo</t>
        </is>
      </c>
      <c r="C414" s="115" t="inlineStr">
        <is>
          <t>1x Roda de Trilho Menor + 1x Trilho de Metal Vivo</t>
        </is>
      </c>
      <c r="D414" s="115" t="inlineStr">
        <is>
          <t>+10% de velocidade de fuga (chance de fuga bem-sucedida)</t>
        </is>
      </c>
      <c r="E414" s="115" t="n">
        <v>22</v>
      </c>
      <c r="H414" s="115" t="inlineStr">
        <is>
          <t>Qualquer ferreiro da cidade do tier</t>
        </is>
      </c>
      <c r="I414" s="115" t="inlineStr">
        <is>
          <t>Acessório</t>
        </is>
      </c>
    </row>
    <row r="415">
      <c r="A415" s="115" t="inlineStr">
        <is>
          <t>Tier 6 (Mecanismo Anão)</t>
        </is>
      </c>
      <c r="B415" s="115" t="inlineStr">
        <is>
          <t>Engrenagem do Rato Mecânico</t>
        </is>
      </c>
      <c r="C415" s="115" t="inlineStr">
        <is>
          <t>1x Escova Mecânica de Limpeza + 1x Engrenagem de Rato Mecânico</t>
        </is>
      </c>
      <c r="D415" s="115" t="inlineStr">
        <is>
          <t>+1 HP recuperado ao vencer combate</t>
        </is>
      </c>
      <c r="E415" s="115" t="n">
        <v>22</v>
      </c>
      <c r="H415" s="115" t="inlineStr">
        <is>
          <t>Qualquer ferreiro da cidade do tier</t>
        </is>
      </c>
      <c r="I415" s="115" t="inlineStr">
        <is>
          <t>Acessório</t>
        </is>
      </c>
    </row>
    <row r="416">
      <c r="A416" s="115" t="inlineStr">
        <is>
          <t>Tier 6 (Mecanismo Anão)</t>
        </is>
      </c>
      <c r="B416" s="115" t="inlineStr">
        <is>
          <t>Manifesto do Renegado</t>
        </is>
      </c>
      <c r="C416" s="115" t="inlineStr">
        <is>
          <t>1x Manifesto do Renegado</t>
        </is>
      </c>
      <c r="D416" s="115" t="inlineStr">
        <is>
          <t>+10% de resistência a Corrupção</t>
        </is>
      </c>
      <c r="E416" s="115" t="n">
        <v>26</v>
      </c>
      <c r="H416" s="115" t="inlineStr">
        <is>
          <t>Qualquer ferreiro da cidade do tier (receita rara)</t>
        </is>
      </c>
      <c r="I416" s="115" t="inlineStr">
        <is>
          <t>Acessório</t>
        </is>
      </c>
    </row>
    <row r="417">
      <c r="A417" s="115" t="inlineStr">
        <is>
          <t>Tier 6 (Mecanismo Anão)</t>
        </is>
      </c>
      <c r="B417" s="115" t="inlineStr">
        <is>
          <t>Bobina do Turno Noturno</t>
        </is>
      </c>
      <c r="C417" s="115" t="inlineStr">
        <is>
          <t>1x Bobina Noturna de Autômato + 1x Máscara Possuída pelo Vapor</t>
        </is>
      </c>
      <c r="D417" s="115" t="inlineStr">
        <is>
          <t>+10% de resistência a Controle durante a noite (Condicional)</t>
        </is>
      </c>
      <c r="E417" s="115" t="n">
        <v>26</v>
      </c>
      <c r="H417" s="115" t="inlineStr">
        <is>
          <t>Qualquer ferreiro da cidade do tier (receita rara)</t>
        </is>
      </c>
      <c r="I417" s="115" t="inlineStr">
        <is>
          <t>Acessório</t>
        </is>
      </c>
    </row>
    <row r="418">
      <c r="A418" s="115" t="inlineStr">
        <is>
          <t>Tier 6 (Mecanismo Anão)</t>
        </is>
      </c>
      <c r="B418" s="115" t="inlineStr">
        <is>
          <t>Placa da Fusão Reversível</t>
        </is>
      </c>
      <c r="C418" s="115" t="inlineStr">
        <is>
          <t>1x Placa Fundida Parcial + 1x Placa de Fusão Menor</t>
        </is>
      </c>
      <c r="D418" s="115" t="inlineStr">
        <is>
          <t>+10% de resistência a efeitos de Fusão/Transformação</t>
        </is>
      </c>
      <c r="E418" s="115" t="n">
        <v>26</v>
      </c>
      <c r="H418" s="115" t="inlineStr">
        <is>
          <t>Qualquer ferreiro da cidade do tier (receita rara)</t>
        </is>
      </c>
      <c r="I418" s="115" t="inlineStr">
        <is>
          <t>Acessório</t>
        </is>
      </c>
    </row>
    <row r="419">
      <c r="A419" s="115" t="inlineStr">
        <is>
          <t>Tier 6 (Mecanismo Anão)</t>
        </is>
      </c>
      <c r="B419" s="115" t="inlineStr">
        <is>
          <t>Amuleto do Pistão</t>
        </is>
      </c>
      <c r="C419" s="115" t="inlineStr">
        <is>
          <t>1x Haste de Pistão Menor + 1x Haste de Pistão Instável</t>
        </is>
      </c>
      <c r="D419" s="115" t="inlineStr">
        <is>
          <t>+5% de dano em ataques corpo a corpo</t>
        </is>
      </c>
      <c r="E419" s="115" t="n">
        <v>22</v>
      </c>
      <c r="H419" s="115" t="inlineStr">
        <is>
          <t>Qualquer ferreiro da cidade do tier</t>
        </is>
      </c>
      <c r="I419" s="115" t="inlineStr">
        <is>
          <t>Acessório</t>
        </is>
      </c>
    </row>
    <row r="420">
      <c r="A420" s="115" t="inlineStr">
        <is>
          <t>Tier 6 (Mecanismo Anão)</t>
        </is>
      </c>
      <c r="B420" s="115" t="inlineStr">
        <is>
          <t>Kit do Sabotador</t>
        </is>
      </c>
      <c r="C420" s="115" t="inlineStr">
        <is>
          <t>1x Kit de Sabotagem Improvisado</t>
        </is>
      </c>
      <c r="D420" s="115" t="inlineStr">
        <is>
          <t>+10% de Ouro encontrado em Achados</t>
        </is>
      </c>
      <c r="E420" s="115" t="n">
        <v>22</v>
      </c>
      <c r="H420" s="115" t="inlineStr">
        <is>
          <t>Qualquer ferreiro da cidade do tier</t>
        </is>
      </c>
      <c r="I420" s="115" t="inlineStr">
        <is>
          <t>Acessório</t>
        </is>
      </c>
    </row>
    <row r="421">
      <c r="A421" s="115" t="inlineStr">
        <is>
          <t>Tier 6 (Mecanismo Anão)</t>
        </is>
      </c>
      <c r="B421" s="115" t="inlineStr">
        <is>
          <t>Fechadura da Caixa Viva</t>
        </is>
      </c>
      <c r="C421" s="115" t="inlineStr">
        <is>
          <t>1x Fragmento de Fechadura da Caixa</t>
        </is>
      </c>
      <c r="D421" s="115" t="inlineStr">
        <is>
          <t>+10% de chance de identificar Mímicos antes do primeiro golpe</t>
        </is>
      </c>
      <c r="E421" s="115" t="n">
        <v>28</v>
      </c>
      <c r="H421" s="115" t="inlineStr">
        <is>
          <t>Qualquer ferreiro da cidade do tier (receita de Elite)</t>
        </is>
      </c>
      <c r="I421" s="115" t="inlineStr">
        <is>
          <t>Acessório</t>
        </is>
      </c>
    </row>
    <row r="422">
      <c r="A422" s="115" t="inlineStr">
        <is>
          <t>Tier 6 (Mecanismo Anão)</t>
        </is>
      </c>
      <c r="B422" s="115" t="inlineStr">
        <is>
          <t>Amuleto do Rato Fugidio</t>
        </is>
      </c>
      <c r="C422" s="115" t="inlineStr">
        <is>
          <t>1x Peça Rara de Rato Fugidio</t>
        </is>
      </c>
      <c r="D422" s="115" t="inlineStr">
        <is>
          <t>+5% de chance de loot Raro extra em combates vencidos</t>
        </is>
      </c>
      <c r="E422" s="115" t="n">
        <v>28</v>
      </c>
      <c r="H422" s="115" t="inlineStr">
        <is>
          <t>Qualquer ferreiro da cidade do tier (receita de Elite)</t>
        </is>
      </c>
      <c r="I422" s="115" t="inlineStr">
        <is>
          <t>Acessório</t>
        </is>
      </c>
    </row>
    <row r="423">
      <c r="A423" s="115" t="inlineStr">
        <is>
          <t>Tier 6 (Mecanismo Anão)</t>
        </is>
      </c>
      <c r="B423" s="115" t="inlineStr">
        <is>
          <t>Broche do Autômato Reconstruído</t>
        </is>
      </c>
      <c r="C423" s="115" t="inlineStr">
        <is>
          <t>1x Fragmento de Autômato Reconstruído</t>
        </is>
      </c>
      <c r="D423" s="115" t="inlineStr">
        <is>
          <t>+2 de Defesa (versão de Elite)</t>
        </is>
      </c>
      <c r="E423" s="115" t="n">
        <v>28</v>
      </c>
      <c r="H423" s="115" t="inlineStr">
        <is>
          <t>Qualquer ferreiro da cidade do tier (receita de Elite)</t>
        </is>
      </c>
      <c r="I423" s="115" t="inlineStr">
        <is>
          <t>Acessório</t>
        </is>
      </c>
    </row>
    <row r="424">
      <c r="A424" s="115" t="inlineStr">
        <is>
          <t>Tier 6 (Mecanismo Anão)</t>
        </is>
      </c>
      <c r="B424" s="115" t="inlineStr">
        <is>
          <t>Broche do Anão Fundido</t>
        </is>
      </c>
      <c r="C424" s="115" t="inlineStr">
        <is>
          <t>1x Fragmento de Anão Fundido ao Metal</t>
        </is>
      </c>
      <c r="D424" s="115" t="inlineStr">
        <is>
          <t>+10% de resistência a efeitos de Fusão (versão de Elite)</t>
        </is>
      </c>
      <c r="E424" s="115" t="n">
        <v>28</v>
      </c>
      <c r="H424" s="115" t="inlineStr">
        <is>
          <t>Qualquer ferreiro da cidade do tier (receita de Elite)</t>
        </is>
      </c>
      <c r="I424" s="115" t="inlineStr">
        <is>
          <t>Acessório</t>
        </is>
      </c>
    </row>
    <row r="425">
      <c r="A425" s="115" t="inlineStr">
        <is>
          <t>Tier 6 (Mecanismo Anão)</t>
        </is>
      </c>
      <c r="B425" s="115" t="inlineStr">
        <is>
          <t>Chave Menor de Grondar</t>
        </is>
      </c>
      <c r="C425" s="115" t="inlineStr">
        <is>
          <t>1x Fragmento de Grondar</t>
        </is>
      </c>
      <c r="D425" s="115" t="inlineStr">
        <is>
          <t>+10% de resistência a Debuffs (versão de Elite Nomeado)</t>
        </is>
      </c>
      <c r="E425" s="115" t="n">
        <v>32</v>
      </c>
      <c r="H425" s="115" t="inlineStr">
        <is>
          <t>Qualquer ferreiro da cidade do tier (receita de Elite)</t>
        </is>
      </c>
      <c r="I425" s="115" t="inlineStr">
        <is>
          <t>Acessório</t>
        </is>
      </c>
    </row>
    <row r="426">
      <c r="A426" s="115" t="inlineStr">
        <is>
          <t>Tier 6 (Mecanismo Anão)</t>
        </is>
      </c>
      <c r="B426" s="115" t="inlineStr">
        <is>
          <t>Kit do Sabotador Veterano</t>
        </is>
      </c>
      <c r="C426" s="115" t="inlineStr">
        <is>
          <t>1x Fragmento de Sabotador Veterano</t>
        </is>
      </c>
      <c r="D426" s="115" t="inlineStr">
        <is>
          <t>+15% de Ouro encontrado em Achados (versão de Elite)</t>
        </is>
      </c>
      <c r="E426" s="115" t="n">
        <v>28</v>
      </c>
      <c r="H426" s="115" t="inlineStr">
        <is>
          <t>Qualquer ferreiro da cidade do tier (receita de Elite)</t>
        </is>
      </c>
      <c r="I426" s="115" t="inlineStr">
        <is>
          <t>Acessório</t>
        </is>
      </c>
    </row>
    <row r="427">
      <c r="A427" s="115" t="inlineStr">
        <is>
          <t>Tier 7 (Vidro Vulcânico)</t>
        </is>
      </c>
      <c r="B427" s="115" t="inlineStr">
        <is>
          <t>Caderno do Peregrino</t>
        </is>
      </c>
      <c r="C427" s="115" t="inlineStr">
        <is>
          <t>1x Caderno do Peregrino da Fenda</t>
        </is>
      </c>
      <c r="D427" s="115" t="inlineStr">
        <is>
          <t>+10% de resistência a Corrupção</t>
        </is>
      </c>
      <c r="E427" s="115" t="n">
        <v>30</v>
      </c>
      <c r="H427" s="115" t="inlineStr">
        <is>
          <t>Qualquer ferreiro da cidade do tier (receita rara)</t>
        </is>
      </c>
      <c r="I427" s="115" t="inlineStr">
        <is>
          <t>Acessório</t>
        </is>
      </c>
    </row>
    <row r="428">
      <c r="A428" s="115" t="inlineStr">
        <is>
          <t>Tier 7 (Vidro Vulcânico)</t>
        </is>
      </c>
      <c r="B428" s="115" t="inlineStr">
        <is>
          <t>Amuleto do Urubu das Cinzas</t>
        </is>
      </c>
      <c r="C428" s="115" t="inlineStr">
        <is>
          <t>1x Pena de Urubu das Cinzas Jovem + 1x Pena Cinzenta de Urubu</t>
        </is>
      </c>
      <c r="D428" s="115" t="inlineStr">
        <is>
          <t>+1 HP recuperado ao vencer combate</t>
        </is>
      </c>
      <c r="E428" s="115" t="n">
        <v>26</v>
      </c>
      <c r="H428" s="115" t="inlineStr">
        <is>
          <t>Qualquer ferreiro da cidade do tier</t>
        </is>
      </c>
      <c r="I428" s="115" t="inlineStr">
        <is>
          <t>Acessório</t>
        </is>
      </c>
    </row>
    <row r="429">
      <c r="A429" s="115" t="inlineStr">
        <is>
          <t>Tier 7 (Vidro Vulcânico)</t>
        </is>
      </c>
      <c r="B429" s="115" t="inlineStr">
        <is>
          <t>Amuleto da Salamandra</t>
        </is>
      </c>
      <c r="C429" s="115" t="inlineStr">
        <is>
          <t>1x Escama Fina de Salamandra Recém-Nascida + 1x Escama de Salamandra Jovem + 1x Escama Vítrea de Salamandra</t>
        </is>
      </c>
      <c r="D429" s="115" t="inlineStr">
        <is>
          <t>+15% de resistência a Fogo</t>
        </is>
      </c>
      <c r="E429" s="115" t="n">
        <v>26</v>
      </c>
      <c r="H429" s="115" t="inlineStr">
        <is>
          <t>Qualquer ferreiro da cidade do tier</t>
        </is>
      </c>
      <c r="I429" s="115" t="inlineStr">
        <is>
          <t>Acessório</t>
        </is>
      </c>
    </row>
    <row r="430">
      <c r="A430" s="115" t="inlineStr">
        <is>
          <t>Tier 7 (Vidro Vulcânico)</t>
        </is>
      </c>
      <c r="B430" s="115" t="inlineStr">
        <is>
          <t>Símbolo do Zelote Duvidoso</t>
        </is>
      </c>
      <c r="C430" s="115" t="inlineStr">
        <is>
          <t>1x Manto Novo de Zelote Jovem + 1x Símbolo Duvidoso do Zelote + 1x Emblema da Coroação Vazia</t>
        </is>
      </c>
      <c r="D430" s="115" t="inlineStr">
        <is>
          <t>+10% de resistência a Corrupção do Culto</t>
        </is>
      </c>
      <c r="E430" s="115" t="n">
        <v>26</v>
      </c>
      <c r="H430" s="115" t="inlineStr">
        <is>
          <t>Qualquer ferreiro da cidade do tier</t>
        </is>
      </c>
      <c r="I430" s="115" t="inlineStr">
        <is>
          <t>Acessório</t>
        </is>
      </c>
    </row>
    <row r="431">
      <c r="A431" s="115" t="inlineStr">
        <is>
          <t>Tier 7 (Vidro Vulcânico)</t>
        </is>
      </c>
      <c r="B431" s="115" t="inlineStr">
        <is>
          <t>Vial das Cinzas Instáveis</t>
        </is>
      </c>
      <c r="C431" s="115" t="inlineStr">
        <is>
          <t>1x Punhado de Cinzas Instáveis + 1x Brasa Instável Menor</t>
        </is>
      </c>
      <c r="D431" s="115" t="inlineStr">
        <is>
          <t>+10% de resistência a Queimadura</t>
        </is>
      </c>
      <c r="E431" s="115" t="n">
        <v>26</v>
      </c>
      <c r="H431" s="115" t="inlineStr">
        <is>
          <t>Qualquer ferreiro da cidade do tier</t>
        </is>
      </c>
      <c r="I431" s="115" t="inlineStr">
        <is>
          <t>Acessório</t>
        </is>
      </c>
    </row>
    <row r="432">
      <c r="A432" s="115" t="inlineStr">
        <is>
          <t>Tier 7 (Vidro Vulcânico)</t>
        </is>
      </c>
      <c r="B432" s="115" t="inlineStr">
        <is>
          <t>Cauda da Lagartixa Reforçada</t>
        </is>
      </c>
      <c r="C432" s="115" t="inlineStr">
        <is>
          <t>1x Cauda de Lagartixa Jovem + 1x Cauda de Lagartixa de Obsidiana</t>
        </is>
      </c>
      <c r="D432" s="115" t="inlineStr">
        <is>
          <t>+10% de velocidade de fuga (chance de fuga bem-sucedida)</t>
        </is>
      </c>
      <c r="E432" s="115" t="n">
        <v>26</v>
      </c>
      <c r="H432" s="115" t="inlineStr">
        <is>
          <t>Qualquer ferreiro da cidade do tier</t>
        </is>
      </c>
      <c r="I432" s="115" t="inlineStr">
        <is>
          <t>Acessório</t>
        </is>
      </c>
    </row>
    <row r="433">
      <c r="A433" s="115" t="inlineStr">
        <is>
          <t>Tier 7 (Vidro Vulcânico)</t>
        </is>
      </c>
      <c r="B433" s="115" t="inlineStr">
        <is>
          <t>Vial da Larva de Magma</t>
        </is>
      </c>
      <c r="C433" s="115" t="inlineStr">
        <is>
          <t>1x Casulo de Larva de Magma + 1x Casulo de Larva de Magma Comum</t>
        </is>
      </c>
      <c r="D433" s="115" t="inlineStr">
        <is>
          <t>+10% de resistência a Fogo</t>
        </is>
      </c>
      <c r="E433" s="115" t="n">
        <v>26</v>
      </c>
      <c r="H433" s="115" t="inlineStr">
        <is>
          <t>Qualquer ferreiro da cidade do tier</t>
        </is>
      </c>
      <c r="I433" s="115" t="inlineStr">
        <is>
          <t>Acessório</t>
        </is>
      </c>
    </row>
    <row r="434">
      <c r="A434" s="115" t="inlineStr">
        <is>
          <t>Tier 7 (Vidro Vulcânico)</t>
        </is>
      </c>
      <c r="B434" s="115" t="inlineStr">
        <is>
          <t>Núcleo de Brasa Estabilizado</t>
        </is>
      </c>
      <c r="C434" s="115" t="inlineStr">
        <is>
          <t>1x Núcleo de Brasa Instável</t>
        </is>
      </c>
      <c r="D434" s="115" t="inlineStr">
        <is>
          <t>+10% de resistência a Explosão</t>
        </is>
      </c>
      <c r="E434" s="115" t="n">
        <v>30</v>
      </c>
      <c r="H434" s="115" t="inlineStr">
        <is>
          <t>Qualquer ferreiro da cidade do tier (receita rara)</t>
        </is>
      </c>
      <c r="I434" s="115" t="inlineStr">
        <is>
          <t>Acessório</t>
        </is>
      </c>
    </row>
    <row r="435">
      <c r="A435" s="115" t="inlineStr">
        <is>
          <t>Tier 7 (Vidro Vulcânico)</t>
        </is>
      </c>
      <c r="B435" s="115" t="inlineStr">
        <is>
          <t>Cristal Parasita Purificado</t>
        </is>
      </c>
      <c r="C435" s="115" t="inlineStr">
        <is>
          <t>1x Cristal Parasita Extraído</t>
        </is>
      </c>
      <c r="D435" s="115" t="inlineStr">
        <is>
          <t>+10% de dano com efeito Queimadura aplicado</t>
        </is>
      </c>
      <c r="E435" s="115" t="n">
        <v>30</v>
      </c>
      <c r="H435" s="115" t="inlineStr">
        <is>
          <t>Qualquer ferreiro da cidade do tier (receita rara)</t>
        </is>
      </c>
      <c r="I435" s="115" t="inlineStr">
        <is>
          <t>Acessório</t>
        </is>
      </c>
    </row>
    <row r="436">
      <c r="A436" s="115" t="inlineStr">
        <is>
          <t>Tier 7 (Vidro Vulcânico)</t>
        </is>
      </c>
      <c r="B436" s="115" t="inlineStr">
        <is>
          <t>Amuleto da Fumaça Condensada</t>
        </is>
      </c>
      <c r="C436" s="115" t="inlineStr">
        <is>
          <t>1x Fumaça Condensada Fraca + 1x Resíduo de Espírito da Fumaça</t>
        </is>
      </c>
      <c r="D436" s="115" t="inlineStr">
        <is>
          <t>+10% de resistência a Controle</t>
        </is>
      </c>
      <c r="E436" s="115" t="n">
        <v>26</v>
      </c>
      <c r="H436" s="115" t="inlineStr">
        <is>
          <t>Qualquer ferreiro da cidade do tier</t>
        </is>
      </c>
      <c r="I436" s="115" t="inlineStr">
        <is>
          <t>Acessório</t>
        </is>
      </c>
    </row>
    <row r="437">
      <c r="A437" s="115" t="inlineStr">
        <is>
          <t>Tier 7 (Vidro Vulcânico)</t>
        </is>
      </c>
      <c r="B437" s="115" t="inlineStr">
        <is>
          <t>Cinto do Zelote Incendiário</t>
        </is>
      </c>
      <c r="C437" s="115" t="inlineStr">
        <is>
          <t>1x Cinto Incendiário Menor + 1x Cinto Incendiário Ritual</t>
        </is>
      </c>
      <c r="D437" s="115" t="inlineStr">
        <is>
          <t>+10% de resistência a Explosão</t>
        </is>
      </c>
      <c r="E437" s="115" t="n">
        <v>26</v>
      </c>
      <c r="H437" s="115" t="inlineStr">
        <is>
          <t>Qualquer ferreiro da cidade do tier</t>
        </is>
      </c>
      <c r="I437" s="115" t="inlineStr">
        <is>
          <t>Acessório</t>
        </is>
      </c>
    </row>
    <row r="438">
      <c r="A438" s="115" t="inlineStr">
        <is>
          <t>Tier 7 (Vidro Vulcânico)</t>
        </is>
      </c>
      <c r="B438" s="115" t="inlineStr">
        <is>
          <t>Tocha da Vigília</t>
        </is>
      </c>
      <c r="C438" s="115" t="inlineStr">
        <is>
          <t>1x Tocha da Vigília Noturna</t>
        </is>
      </c>
      <c r="D438" s="115" t="inlineStr">
        <is>
          <t>+10% de resistência a Controle durante a noite (Condicional)</t>
        </is>
      </c>
      <c r="E438" s="115" t="n">
        <v>30</v>
      </c>
      <c r="H438" s="115" t="inlineStr">
        <is>
          <t>Qualquer ferreiro da cidade do tier (receita rara)</t>
        </is>
      </c>
      <c r="I438" s="115" t="inlineStr">
        <is>
          <t>Acessório</t>
        </is>
      </c>
    </row>
    <row r="439">
      <c r="A439" s="115" t="inlineStr">
        <is>
          <t>Tier 7 (Vidro Vulcânico)</t>
        </is>
      </c>
      <c r="B439" s="115" t="inlineStr">
        <is>
          <t>Elmo do Guarda Júnior</t>
        </is>
      </c>
      <c r="C439" s="115" t="inlineStr">
        <is>
          <t>1x Elmo Menor do Guarda do Rei Vazio</t>
        </is>
      </c>
      <c r="D439" s="115" t="inlineStr">
        <is>
          <t>+2 de Defesa leve</t>
        </is>
      </c>
      <c r="E439" s="115" t="n">
        <v>26</v>
      </c>
      <c r="H439" s="115" t="inlineStr">
        <is>
          <t>Qualquer ferreiro da cidade do tier</t>
        </is>
      </c>
      <c r="I439" s="115" t="inlineStr">
        <is>
          <t>Acessório</t>
        </is>
      </c>
    </row>
    <row r="440">
      <c r="A440" s="115" t="inlineStr">
        <is>
          <t>Tier 7 (Vidro Vulcânico)</t>
        </is>
      </c>
      <c r="B440" s="115" t="inlineStr">
        <is>
          <t>Fechadura do Tesouro Falso</t>
        </is>
      </c>
      <c r="C440" s="115" t="inlineStr">
        <is>
          <t>1x Fragmento de Tesouro Falso</t>
        </is>
      </c>
      <c r="D440" s="115" t="inlineStr">
        <is>
          <t>+10% de chance de identificar Mímicos antes do primeiro golpe</t>
        </is>
      </c>
      <c r="E440" s="115" t="n">
        <v>34</v>
      </c>
      <c r="H440" s="115" t="inlineStr">
        <is>
          <t>Qualquer ferreiro da cidade do tier (receita de Elite)</t>
        </is>
      </c>
      <c r="I440" s="115" t="inlineStr">
        <is>
          <t>Acessório</t>
        </is>
      </c>
    </row>
    <row r="441">
      <c r="A441" s="115" t="inlineStr">
        <is>
          <t>Tier 7 (Vidro Vulcânico)</t>
        </is>
      </c>
      <c r="B441" s="115" t="inlineStr">
        <is>
          <t>Amuleto da Salamandra Dourada</t>
        </is>
      </c>
      <c r="C441" s="115" t="inlineStr">
        <is>
          <t>1x Escama Dourada de Salamandra</t>
        </is>
      </c>
      <c r="D441" s="115" t="inlineStr">
        <is>
          <t>+5% de chance de loot Raro extra em combates vencidos</t>
        </is>
      </c>
      <c r="E441" s="115" t="n">
        <v>34</v>
      </c>
      <c r="H441" s="115" t="inlineStr">
        <is>
          <t>Qualquer ferreiro da cidade do tier (receita de Elite)</t>
        </is>
      </c>
      <c r="I441" s="115" t="inlineStr">
        <is>
          <t>Acessório</t>
        </is>
      </c>
    </row>
    <row r="442">
      <c r="A442" s="115" t="inlineStr">
        <is>
          <t>Tier 7 (Vidro Vulcânico)</t>
        </is>
      </c>
      <c r="B442" s="115" t="inlineStr">
        <is>
          <t>Broche do Arauto Aprendiz</t>
        </is>
      </c>
      <c r="C442" s="115" t="inlineStr">
        <is>
          <t>1x Fragmento de Arauto Menor Aprendiz</t>
        </is>
      </c>
      <c r="D442" s="115" t="inlineStr">
        <is>
          <t>+10% de resistência a Debuffs (versão de Elite)</t>
        </is>
      </c>
      <c r="E442" s="115" t="n">
        <v>34</v>
      </c>
      <c r="H442" s="115" t="inlineStr">
        <is>
          <t>Qualquer ferreiro da cidade do tier (receita de Elite)</t>
        </is>
      </c>
      <c r="I442" s="115" t="inlineStr">
        <is>
          <t>Acessório</t>
        </is>
      </c>
    </row>
    <row r="443">
      <c r="A443" s="115" t="inlineStr">
        <is>
          <t>Tier 7 (Vidro Vulcânico)</t>
        </is>
      </c>
      <c r="B443" s="115" t="inlineStr">
        <is>
          <t>Elmo do Guarda do Rei Vazio</t>
        </is>
      </c>
      <c r="C443" s="115" t="inlineStr">
        <is>
          <t>1x Fragmento de Guarda do Rei Vazio</t>
        </is>
      </c>
      <c r="D443" s="115" t="inlineStr">
        <is>
          <t>+2 de Defesa (versão de Elite)</t>
        </is>
      </c>
      <c r="E443" s="115" t="n">
        <v>34</v>
      </c>
      <c r="H443" s="115" t="inlineStr">
        <is>
          <t>Qualquer ferreiro da cidade do tier (receita de Elite)</t>
        </is>
      </c>
      <c r="I443" s="115" t="inlineStr">
        <is>
          <t>Acessório</t>
        </is>
      </c>
    </row>
    <row r="444">
      <c r="A444" s="115" t="inlineStr">
        <is>
          <t>Tier 7 (Vidro Vulcânico)</t>
        </is>
      </c>
      <c r="B444" s="115" t="inlineStr">
        <is>
          <t>Broche do Arauto da Coroação</t>
        </is>
      </c>
      <c r="C444" s="115" t="inlineStr">
        <is>
          <t>1x Fragmento de Arauto Menor da Coroação</t>
        </is>
      </c>
      <c r="D444" s="115" t="inlineStr">
        <is>
          <t>+10% de resistência a Debuffs (versão de Elite)</t>
        </is>
      </c>
      <c r="E444" s="115" t="n">
        <v>34</v>
      </c>
      <c r="H444" s="115" t="inlineStr">
        <is>
          <t>Qualquer ferreiro da cidade do tier (receita de Elite)</t>
        </is>
      </c>
      <c r="I444" s="115" t="inlineStr">
        <is>
          <t>Acessório</t>
        </is>
      </c>
    </row>
    <row r="445">
      <c r="A445" s="115" t="inlineStr">
        <is>
          <t>Tier 7 (Vidro Vulcânico)</t>
        </is>
      </c>
      <c r="B445" s="115" t="inlineStr">
        <is>
          <t>Cinzas Menores do Último Sermão</t>
        </is>
      </c>
      <c r="C445" s="115" t="inlineStr">
        <is>
          <t>1x Fragmento de Irmão Kaelen</t>
        </is>
      </c>
      <c r="D445" s="115" t="inlineStr">
        <is>
          <t>+15% de resistência a Fogo (versão de Elite Nomeado)</t>
        </is>
      </c>
      <c r="E445" s="115" t="n">
        <v>38</v>
      </c>
      <c r="H445" s="115" t="inlineStr">
        <is>
          <t>Qualquer ferreiro da cidade do tier (receita de Elite)</t>
        </is>
      </c>
      <c r="I445" s="115" t="inlineStr">
        <is>
          <t>Acessório</t>
        </is>
      </c>
    </row>
    <row r="446">
      <c r="A446" s="115" t="inlineStr">
        <is>
          <t>Tier 8 (Ferro Órquico)</t>
        </is>
      </c>
      <c r="B446" s="115" t="inlineStr">
        <is>
          <t>Mapa do Batedor Sobrevivente</t>
        </is>
      </c>
      <c r="C446" s="115" t="inlineStr">
        <is>
          <t>1x Mapa Rasgado do Batedor</t>
        </is>
      </c>
      <c r="D446" s="115" t="inlineStr">
        <is>
          <t>+10% de resistência a Emboscada</t>
        </is>
      </c>
      <c r="E446" s="115" t="n">
        <v>40</v>
      </c>
      <c r="H446" s="115" t="inlineStr">
        <is>
          <t>Qualquer ferreiro da cidade do tier (receita rara)</t>
        </is>
      </c>
      <c r="I446" s="115" t="inlineStr">
        <is>
          <t>Acessório</t>
        </is>
      </c>
    </row>
    <row r="447">
      <c r="A447" s="115" t="inlineStr">
        <is>
          <t>Tier 8 (Ferro Órquico)</t>
        </is>
      </c>
      <c r="B447" s="115" t="inlineStr">
        <is>
          <t>Amuleto do Lobo Solitário</t>
        </is>
      </c>
      <c r="C447" s="115" t="inlineStr">
        <is>
          <t>1x Pelagem Ferida de Lobo Solitário + 1x Presa de Lobo Jovem</t>
        </is>
      </c>
      <c r="D447" s="115" t="inlineStr">
        <is>
          <t>+10% de resistência a Sangramento</t>
        </is>
      </c>
      <c r="E447" s="115" t="n">
        <v>34</v>
      </c>
      <c r="H447" s="115" t="inlineStr">
        <is>
          <t>Qualquer ferreiro da cidade do tier</t>
        </is>
      </c>
      <c r="I447" s="115" t="inlineStr">
        <is>
          <t>Acessório</t>
        </is>
      </c>
    </row>
    <row r="448">
      <c r="A448" s="115" t="inlineStr">
        <is>
          <t>Tier 8 (Ferro Órquico)</t>
        </is>
      </c>
      <c r="B448" s="115" t="inlineStr">
        <is>
          <t>Amuleto do Orc Ferido</t>
        </is>
      </c>
      <c r="C448" s="115" t="inlineStr">
        <is>
          <t>1x Cicatriz Fresca de Orc Ferido + 1x Cicatriz de Orc Veterano</t>
        </is>
      </c>
      <c r="D448" s="115" t="inlineStr">
        <is>
          <t>+2 de Defesa leve</t>
        </is>
      </c>
      <c r="E448" s="115" t="n">
        <v>34</v>
      </c>
      <c r="H448" s="115" t="inlineStr">
        <is>
          <t>Qualquer ferreiro da cidade do tier</t>
        </is>
      </c>
      <c r="I448" s="115" t="inlineStr">
        <is>
          <t>Acessório</t>
        </is>
      </c>
    </row>
    <row r="449">
      <c r="A449" s="115" t="inlineStr">
        <is>
          <t>Tier 8 (Ferro Órquico)</t>
        </is>
      </c>
      <c r="B449" s="115" t="inlineStr">
        <is>
          <t>Corda do Recruta Hesitante</t>
        </is>
      </c>
      <c r="C449" s="115" t="inlineStr">
        <is>
          <t>1x Corda de Recrutamento Forçado + 1x Bandagem Suja de Recruta Ferido + 1x Marca Forçada do Recruta</t>
        </is>
      </c>
      <c r="D449" s="115" t="inlineStr">
        <is>
          <t>+10% de resistência a Controle/Recrutamento forçado</t>
        </is>
      </c>
      <c r="E449" s="115" t="n">
        <v>34</v>
      </c>
      <c r="H449" s="115" t="inlineStr">
        <is>
          <t>Qualquer ferreiro da cidade do tier</t>
        </is>
      </c>
      <c r="I449" s="115" t="inlineStr">
        <is>
          <t>Acessório</t>
        </is>
      </c>
    </row>
    <row r="450">
      <c r="A450" s="115" t="inlineStr">
        <is>
          <t>Tier 8 (Ferro Órquico)</t>
        </is>
      </c>
      <c r="B450" s="115" t="inlineStr">
        <is>
          <t>Amuleto do Filhote de Guerra</t>
        </is>
      </c>
      <c r="C450" s="115" t="inlineStr">
        <is>
          <t>1x Presa de Filhote de Guerra + 1x Presa de Filhote Solitário + 1x Pelagem Corrompida de Lobo</t>
        </is>
      </c>
      <c r="D450" s="115" t="inlineStr">
        <is>
          <t>+10% de resistência a efeitos de Enxame</t>
        </is>
      </c>
      <c r="E450" s="115" t="n">
        <v>34</v>
      </c>
      <c r="H450" s="115" t="inlineStr">
        <is>
          <t>Qualquer ferreiro da cidade do tier</t>
        </is>
      </c>
      <c r="I450" s="115" t="inlineStr">
        <is>
          <t>Acessório</t>
        </is>
      </c>
    </row>
    <row r="451">
      <c r="A451" s="115" t="inlineStr">
        <is>
          <t>Tier 8 (Ferro Órquico)</t>
        </is>
      </c>
      <c r="B451" s="115" t="inlineStr">
        <is>
          <t>Amuleto do Urubu de Batalha</t>
        </is>
      </c>
      <c r="C451" s="115" t="inlineStr">
        <is>
          <t>1x Pena do Urubu de Batalha</t>
        </is>
      </c>
      <c r="D451" s="115" t="inlineStr">
        <is>
          <t>+1 HP recuperado ao vencer combate</t>
        </is>
      </c>
      <c r="E451" s="115" t="n">
        <v>34</v>
      </c>
      <c r="H451" s="115" t="inlineStr">
        <is>
          <t>Qualquer ferreiro da cidade do tier</t>
        </is>
      </c>
      <c r="I451" s="115" t="inlineStr">
        <is>
          <t>Acessório</t>
        </is>
      </c>
    </row>
    <row r="452">
      <c r="A452" s="115" t="inlineStr">
        <is>
          <t>Tier 8 (Ferro Órquico)</t>
        </is>
      </c>
      <c r="B452" s="115" t="inlineStr">
        <is>
          <t>Amuleto Rúnico do Xamã</t>
        </is>
      </c>
      <c r="C452" s="115" t="inlineStr">
        <is>
          <t>1x Amuleto Rúnico de Aprendiz Menor + 1x Amuleto Rúnico de Aprendiz</t>
        </is>
      </c>
      <c r="D452" s="115" t="inlineStr">
        <is>
          <t>+10% de resistência a Debuffs</t>
        </is>
      </c>
      <c r="E452" s="115" t="n">
        <v>34</v>
      </c>
      <c r="H452" s="115" t="inlineStr">
        <is>
          <t>Qualquer ferreiro da cidade do tier</t>
        </is>
      </c>
      <c r="I452" s="115" t="inlineStr">
        <is>
          <t>Acessório</t>
        </is>
      </c>
    </row>
    <row r="453">
      <c r="A453" s="115" t="inlineStr">
        <is>
          <t>Tier 8 (Ferro Órquico)</t>
        </is>
      </c>
      <c r="B453" s="115" t="inlineStr">
        <is>
          <t>Machadinha do Guerreiro</t>
        </is>
      </c>
      <c r="C453" s="115" t="inlineStr">
        <is>
          <t>1x Machadinha de Orc Guerreiro</t>
        </is>
      </c>
      <c r="D453" s="115" t="inlineStr">
        <is>
          <t>+5% de dano em ataques corpo a corpo</t>
        </is>
      </c>
      <c r="E453" s="115" t="n">
        <v>34</v>
      </c>
      <c r="H453" s="115" t="inlineStr">
        <is>
          <t>Qualquer ferreiro da cidade do tier</t>
        </is>
      </c>
      <c r="I453" s="115" t="inlineStr">
        <is>
          <t>Acessório</t>
        </is>
      </c>
    </row>
    <row r="454">
      <c r="A454" s="115" t="inlineStr">
        <is>
          <t>Tier 8 (Ferro Órquico)</t>
        </is>
      </c>
      <c r="B454" s="115" t="inlineStr">
        <is>
          <t>Vial da Sanguessuga</t>
        </is>
      </c>
      <c r="C454" s="115" t="inlineStr">
        <is>
          <t>1x Sanguessuga do Ritual</t>
        </is>
      </c>
      <c r="D454" s="115" t="inlineStr">
        <is>
          <t>+10% de dano com efeito Sangramento aplicado</t>
        </is>
      </c>
      <c r="E454" s="115" t="n">
        <v>40</v>
      </c>
      <c r="H454" s="115" t="inlineStr">
        <is>
          <t>Qualquer ferreiro da cidade do tier (receita rara)</t>
        </is>
      </c>
      <c r="I454" s="115" t="inlineStr">
        <is>
          <t>Acessório</t>
        </is>
      </c>
    </row>
    <row r="455">
      <c r="A455" s="115" t="inlineStr">
        <is>
          <t>Tier 8 (Ferro Órquico)</t>
        </is>
      </c>
      <c r="B455" s="115" t="inlineStr">
        <is>
          <t>Escudo do Guardião do Estandarte Menor</t>
        </is>
      </c>
      <c r="C455" s="115" t="inlineStr">
        <is>
          <t>1x Escudo do Guarda Menor + 1x Placa do Aspirante ao Estandarte</t>
        </is>
      </c>
      <c r="D455" s="115" t="inlineStr">
        <is>
          <t>+10% de resistência a Atordoamento</t>
        </is>
      </c>
      <c r="E455" s="115" t="n">
        <v>34</v>
      </c>
      <c r="H455" s="115" t="inlineStr">
        <is>
          <t>Qualquer ferreiro da cidade do tier</t>
        </is>
      </c>
      <c r="I455" s="115" t="inlineStr">
        <is>
          <t>Acessório</t>
        </is>
      </c>
    </row>
    <row r="456">
      <c r="A456" s="115" t="inlineStr">
        <is>
          <t>Tier 8 (Ferro Órquico)</t>
        </is>
      </c>
      <c r="B456" s="115" t="inlineStr">
        <is>
          <t>Arco do Batedor Menor</t>
        </is>
      </c>
      <c r="C456" s="115" t="inlineStr">
        <is>
          <t>1x Arco Improvisado de Batedor Menor</t>
        </is>
      </c>
      <c r="D456" s="115" t="inlineStr">
        <is>
          <t>+10% de precisão em ataques à distância</t>
        </is>
      </c>
      <c r="E456" s="115" t="n">
        <v>34</v>
      </c>
      <c r="H456" s="115" t="inlineStr">
        <is>
          <t>Qualquer ferreiro da cidade do tier</t>
        </is>
      </c>
      <c r="I456" s="115" t="inlineStr">
        <is>
          <t>Acessório</t>
        </is>
      </c>
    </row>
    <row r="457">
      <c r="A457" s="115" t="inlineStr">
        <is>
          <t>Tier 8 (Ferro Órquico)</t>
        </is>
      </c>
      <c r="B457" s="115" t="inlineStr">
        <is>
          <t>Faro do Rastreador</t>
        </is>
      </c>
      <c r="C457" s="115" t="inlineStr">
        <is>
          <t>1x Faro Treinado do Rastreador Jovem + 1x Faro Treinado do Rastreador</t>
        </is>
      </c>
      <c r="D457" s="115" t="inlineStr">
        <is>
          <t>+10% de chance de encontrar alvos fugidos/escondidos</t>
        </is>
      </c>
      <c r="E457" s="115" t="n">
        <v>34</v>
      </c>
      <c r="H457" s="115" t="inlineStr">
        <is>
          <t>Qualquer ferreiro da cidade do tier</t>
        </is>
      </c>
      <c r="I457" s="115" t="inlineStr">
        <is>
          <t>Acessório</t>
        </is>
      </c>
    </row>
    <row r="458">
      <c r="A458" s="115" t="inlineStr">
        <is>
          <t>Tier 8 (Ferro Órquico)</t>
        </is>
      </c>
      <c r="B458" s="115" t="inlineStr">
        <is>
          <t>Corrente do Berserker Contido</t>
        </is>
      </c>
      <c r="C458" s="115" t="inlineStr">
        <is>
          <t>1x Corrente de Contenção do Berserker + 1x Bandagem de Veterano Ferido</t>
        </is>
      </c>
      <c r="D458" s="115" t="inlineStr">
        <is>
          <t>+10% de resistência a Fúria/Descontrole</t>
        </is>
      </c>
      <c r="E458" s="115" t="n">
        <v>34</v>
      </c>
      <c r="H458" s="115" t="inlineStr">
        <is>
          <t>Qualquer ferreiro da cidade do tier</t>
        </is>
      </c>
      <c r="I458" s="115" t="inlineStr">
        <is>
          <t>Acessório</t>
        </is>
      </c>
    </row>
    <row r="459">
      <c r="A459" s="115" t="inlineStr">
        <is>
          <t>Tier 8 (Ferro Órquico)</t>
        </is>
      </c>
      <c r="B459" s="115" t="inlineStr">
        <is>
          <t>Amuleto do Campeão Menor</t>
        </is>
      </c>
      <c r="C459" s="115" t="inlineStr">
        <is>
          <t>1x Fragmento de Campeão Menor</t>
        </is>
      </c>
      <c r="D459" s="115" t="inlineStr">
        <is>
          <t>+5% de chance de crítico</t>
        </is>
      </c>
      <c r="E459" s="115" t="n">
        <v>42</v>
      </c>
      <c r="H459" s="115" t="inlineStr">
        <is>
          <t>Qualquer ferreiro da cidade do tier (receita de Elite)</t>
        </is>
      </c>
      <c r="I459" s="115" t="inlineStr">
        <is>
          <t>Acessório</t>
        </is>
      </c>
    </row>
    <row r="460">
      <c r="A460" s="115" t="inlineStr">
        <is>
          <t>Tier 8 (Ferro Órquico)</t>
        </is>
      </c>
      <c r="B460" s="115" t="inlineStr">
        <is>
          <t>Amuleto do Corvo de Batalha</t>
        </is>
      </c>
      <c r="C460" s="115" t="inlineStr">
        <is>
          <t>1x Pena Negra de Corvo de Batalha</t>
        </is>
      </c>
      <c r="D460" s="115" t="inlineStr">
        <is>
          <t>+5% de chance de loot Raro extra em combates vencidos</t>
        </is>
      </c>
      <c r="E460" s="115" t="n">
        <v>42</v>
      </c>
      <c r="H460" s="115" t="inlineStr">
        <is>
          <t>Qualquer ferreiro da cidade do tier (receita de Elite)</t>
        </is>
      </c>
      <c r="I460" s="115" t="inlineStr">
        <is>
          <t>Acessório</t>
        </is>
      </c>
    </row>
    <row r="461">
      <c r="A461" s="115" t="inlineStr">
        <is>
          <t>Tier 8 (Ferro Órquico)</t>
        </is>
      </c>
      <c r="B461" s="115" t="inlineStr">
        <is>
          <t>Amuleto do Lobo Alfa Menor</t>
        </is>
      </c>
      <c r="C461" s="115" t="inlineStr">
        <is>
          <t>1x Fragmento de Lobo Alfa Menor</t>
        </is>
      </c>
      <c r="D461" s="115" t="inlineStr">
        <is>
          <t>+10% de resistência a efeitos de Enxame (versão de Elite)</t>
        </is>
      </c>
      <c r="E461" s="115" t="n">
        <v>42</v>
      </c>
      <c r="H461" s="115" t="inlineStr">
        <is>
          <t>Qualquer ferreiro da cidade do tier (receita de Elite)</t>
        </is>
      </c>
      <c r="I461" s="115" t="inlineStr">
        <is>
          <t>Acessório</t>
        </is>
      </c>
    </row>
    <row r="462">
      <c r="A462" s="115" t="inlineStr">
        <is>
          <t>Tier 8 (Ferro Órquico)</t>
        </is>
      </c>
      <c r="B462" s="115" t="inlineStr">
        <is>
          <t>Fechadura do Totem Falso</t>
        </is>
      </c>
      <c r="C462" s="115" t="inlineStr">
        <is>
          <t>1x Fragmento de Totem Armadilhado</t>
        </is>
      </c>
      <c r="D462" s="115" t="inlineStr">
        <is>
          <t>+10% de chance de identificar Mímicos antes do primeiro golpe</t>
        </is>
      </c>
      <c r="E462" s="115" t="n">
        <v>42</v>
      </c>
      <c r="H462" s="115" t="inlineStr">
        <is>
          <t>Qualquer ferreiro da cidade do tier (receita de Elite)</t>
        </is>
      </c>
      <c r="I462" s="115" t="inlineStr">
        <is>
          <t>Acessório</t>
        </is>
      </c>
    </row>
    <row r="463">
      <c r="A463" s="115" t="inlineStr">
        <is>
          <t>Tier 8 (Ferro Órquico)</t>
        </is>
      </c>
      <c r="B463" s="115" t="inlineStr">
        <is>
          <t>Machado Menor do Campeão Deposto</t>
        </is>
      </c>
      <c r="C463" s="115" t="inlineStr">
        <is>
          <t>1x Fragmento do Campeão Deposto</t>
        </is>
      </c>
      <c r="D463" s="115" t="inlineStr">
        <is>
          <t>+15% de resistência a Corrupção (versão de Elite Nomeado)</t>
        </is>
      </c>
      <c r="E463" s="115" t="n">
        <v>48</v>
      </c>
      <c r="H463" s="115" t="inlineStr">
        <is>
          <t>Qualquer ferreiro da cidade do tier (receita de Elite)</t>
        </is>
      </c>
      <c r="I463" s="115" t="inlineStr">
        <is>
          <t>Acessório</t>
        </is>
      </c>
    </row>
    <row r="464">
      <c r="A464" s="115" t="inlineStr">
        <is>
          <t>Tier 8 (Ferro Órquico)</t>
        </is>
      </c>
      <c r="B464" s="115" t="inlineStr">
        <is>
          <t>Amuleto do Berserker Ritualizado</t>
        </is>
      </c>
      <c r="C464" s="115" t="inlineStr">
        <is>
          <t>1x Fragmento de Berserker Ritualizado</t>
        </is>
      </c>
      <c r="D464" s="115" t="inlineStr">
        <is>
          <t>+10% de dano em ataques corpo a corpo (versão de Elite)</t>
        </is>
      </c>
      <c r="E464" s="115" t="n">
        <v>42</v>
      </c>
      <c r="H464" s="115" t="inlineStr">
        <is>
          <t>Qualquer ferreiro da cidade do tier (receita de Elite)</t>
        </is>
      </c>
      <c r="I464" s="115" t="inlineStr">
        <is>
          <t>Acessório</t>
        </is>
      </c>
    </row>
    <row r="465">
      <c r="A465" s="115" t="inlineStr">
        <is>
          <t>Tier 9 (Mithril)</t>
        </is>
      </c>
      <c r="B465" s="115" t="inlineStr">
        <is>
          <t>Diário do Náufrago</t>
        </is>
      </c>
      <c r="C465" s="115" t="inlineStr">
        <is>
          <t>1x Diário Encharcado do Náufrago</t>
        </is>
      </c>
      <c r="D465" s="115" t="inlineStr">
        <is>
          <t>+10% de resistência a Isolamento/Medo</t>
        </is>
      </c>
      <c r="E465" s="115" t="n">
        <v>46</v>
      </c>
      <c r="H465" s="115" t="inlineStr">
        <is>
          <t>Qualquer ferreiro da cidade do tier (receita rara)</t>
        </is>
      </c>
      <c r="I465" s="115" t="inlineStr">
        <is>
          <t>Acessório</t>
        </is>
      </c>
    </row>
    <row r="466">
      <c r="A466" s="115" t="inlineStr">
        <is>
          <t>Tier 9 (Mithril)</t>
        </is>
      </c>
      <c r="B466" s="115" t="inlineStr">
        <is>
          <t>Corda do Marinheiro Afogado</t>
        </is>
      </c>
      <c r="C466" s="115" t="inlineStr">
        <is>
          <t>1x Corda Encharcada de Marinheiro</t>
        </is>
      </c>
      <c r="D466" s="115" t="inlineStr">
        <is>
          <t>+10% de resistência a Afogamento/Controle aquático</t>
        </is>
      </c>
      <c r="E466" s="115" t="n">
        <v>42</v>
      </c>
      <c r="H466" s="115" t="inlineStr">
        <is>
          <t>Qualquer ferreiro da cidade do tier</t>
        </is>
      </c>
      <c r="I466" s="115" t="inlineStr">
        <is>
          <t>Acessório</t>
        </is>
      </c>
    </row>
    <row r="467">
      <c r="A467" s="115" t="inlineStr">
        <is>
          <t>Tier 9 (Mithril)</t>
        </is>
      </c>
      <c r="B467" s="115" t="inlineStr">
        <is>
          <t>Símbolo da Fusão</t>
        </is>
      </c>
      <c r="C467" s="115" t="inlineStr">
        <is>
          <t>1x Símbolo Molhado da Fusão</t>
        </is>
      </c>
      <c r="D467" s="115" t="inlineStr">
        <is>
          <t>+10% de resistência a Corrupção</t>
        </is>
      </c>
      <c r="E467" s="115" t="n">
        <v>46</v>
      </c>
      <c r="H467" s="115" t="inlineStr">
        <is>
          <t>Qualquer ferreiro da cidade do tier (receita rara)</t>
        </is>
      </c>
      <c r="I467" s="115" t="inlineStr">
        <is>
          <t>Acessório</t>
        </is>
      </c>
    </row>
    <row r="468">
      <c r="A468" s="115" t="inlineStr">
        <is>
          <t>Tier 9 (Mithril)</t>
        </is>
      </c>
      <c r="B468" s="115" t="inlineStr">
        <is>
          <t>Amuleto do Cristal</t>
        </is>
      </c>
      <c r="C468" s="115" t="inlineStr">
        <is>
          <t>1x Fragmento de Cristal Recém-Formado + 1x Fragmento de Cristal Vivo + 1x Fragmento de Cristal Jovem</t>
        </is>
      </c>
      <c r="D468" s="115" t="inlineStr">
        <is>
          <t>+10% de resistência a Controle</t>
        </is>
      </c>
      <c r="E468" s="115" t="n">
        <v>42</v>
      </c>
      <c r="H468" s="115" t="inlineStr">
        <is>
          <t>Qualquer ferreiro da cidade do tier</t>
        </is>
      </c>
      <c r="I468" s="115" t="inlineStr">
        <is>
          <t>Acessório</t>
        </is>
      </c>
    </row>
    <row r="469">
      <c r="A469" s="115" t="inlineStr">
        <is>
          <t>Tier 9 (Mithril)</t>
        </is>
      </c>
      <c r="B469" s="115" t="inlineStr">
        <is>
          <t>Manto do Acólito da Fusão</t>
        </is>
      </c>
      <c r="C469" s="115" t="inlineStr">
        <is>
          <t>1x Manto Encharcado de Acólito Menor + 1x Manto de Acólito da Fusão</t>
        </is>
      </c>
      <c r="D469" s="115" t="inlineStr">
        <is>
          <t>+10% de resistência a Corrupção do Culto</t>
        </is>
      </c>
      <c r="E469" s="115" t="n">
        <v>42</v>
      </c>
      <c r="H469" s="115" t="inlineStr">
        <is>
          <t>Qualquer ferreiro da cidade do tier</t>
        </is>
      </c>
      <c r="I469" s="115" t="inlineStr">
        <is>
          <t>Acessório</t>
        </is>
      </c>
    </row>
    <row r="470">
      <c r="A470" s="115" t="inlineStr">
        <is>
          <t>Tier 9 (Mithril)</t>
        </is>
      </c>
      <c r="B470" s="115" t="inlineStr">
        <is>
          <t>Presa do Devorador de Afogados</t>
        </is>
      </c>
      <c r="C470" s="115" t="inlineStr">
        <is>
          <t>1x Presa Jovem de Devorador de Afogados + 1x Presa de Devorador de Afogados</t>
        </is>
      </c>
      <c r="D470" s="115" t="inlineStr">
        <is>
          <t>+10% de resistência a Necrose</t>
        </is>
      </c>
      <c r="E470" s="115" t="n">
        <v>42</v>
      </c>
      <c r="H470" s="115" t="inlineStr">
        <is>
          <t>Qualquer ferreiro da cidade do tier</t>
        </is>
      </c>
      <c r="I470" s="115" t="inlineStr">
        <is>
          <t>Acessório</t>
        </is>
      </c>
    </row>
    <row r="471">
      <c r="A471" s="115" t="inlineStr">
        <is>
          <t>Tier 9 (Mithril)</t>
        </is>
      </c>
      <c r="B471" s="115" t="inlineStr">
        <is>
          <t>Amuleto do Cardume</t>
        </is>
      </c>
      <c r="C471" s="115" t="inlineStr">
        <is>
          <t>1x Escama de Cardume Abissal + 1x Escama de Cardume Menor</t>
        </is>
      </c>
      <c r="D471" s="115" t="inlineStr">
        <is>
          <t>+1 na Iniciativa contra grupos de inimigos</t>
        </is>
      </c>
      <c r="E471" s="115" t="n">
        <v>42</v>
      </c>
      <c r="H471" s="115" t="inlineStr">
        <is>
          <t>Qualquer ferreiro da cidade do tier</t>
        </is>
      </c>
      <c r="I471" s="115" t="inlineStr">
        <is>
          <t>Acessório</t>
        </is>
      </c>
    </row>
    <row r="472">
      <c r="A472" s="115" t="inlineStr">
        <is>
          <t>Tier 9 (Mithril)</t>
        </is>
      </c>
      <c r="B472" s="115" t="inlineStr">
        <is>
          <t>Sonar do Morcego</t>
        </is>
      </c>
      <c r="C472" s="115" t="inlineStr">
        <is>
          <t>1x Asa de Morcego Jovem + 1x Sonar Orgânico de Morcego</t>
        </is>
      </c>
      <c r="D472" s="115" t="inlineStr">
        <is>
          <t>+10% de chance de detectar armadilhas e emboscadas</t>
        </is>
      </c>
      <c r="E472" s="115" t="n">
        <v>42</v>
      </c>
      <c r="H472" s="115" t="inlineStr">
        <is>
          <t>Qualquer ferreiro da cidade do tier</t>
        </is>
      </c>
      <c r="I472" s="115" t="inlineStr">
        <is>
          <t>Acessório</t>
        </is>
      </c>
    </row>
    <row r="473">
      <c r="A473" s="115" t="inlineStr">
        <is>
          <t>Tier 9 (Mithril)</t>
        </is>
      </c>
      <c r="B473" s="115" t="inlineStr">
        <is>
          <t>Vial da Carne-Raiz</t>
        </is>
      </c>
      <c r="C473" s="115" t="inlineStr">
        <is>
          <t>1x Carne-Raiz Menor de Marinheiro + 1x Carne-Raiz de Marinheiro Assimilado</t>
        </is>
      </c>
      <c r="D473" s="115" t="inlineStr">
        <is>
          <t>+10% de resistência a efeitos de Fusão/Assimilação</t>
        </is>
      </c>
      <c r="E473" s="115" t="n">
        <v>46</v>
      </c>
      <c r="H473" s="115" t="inlineStr">
        <is>
          <t>Qualquer ferreiro da cidade do tier (receita rara)</t>
        </is>
      </c>
      <c r="I473" s="115" t="inlineStr">
        <is>
          <t>Acessório</t>
        </is>
      </c>
    </row>
    <row r="474">
      <c r="A474" s="115" t="inlineStr">
        <is>
          <t>Tier 9 (Mithril)</t>
        </is>
      </c>
      <c r="B474" s="115" t="inlineStr">
        <is>
          <t>Lanterna do Peixe-Lanterna</t>
        </is>
      </c>
      <c r="C474" s="115" t="inlineStr">
        <is>
          <t>1x Lanterna Bioluminescente Solitária + 1x Lanterna Parasita Extraída</t>
        </is>
      </c>
      <c r="D474" s="115" t="inlineStr">
        <is>
          <t>+10% de visão em áreas escuras (bônus de exploração)</t>
        </is>
      </c>
      <c r="E474" s="115" t="n">
        <v>42</v>
      </c>
      <c r="H474" s="115" t="inlineStr">
        <is>
          <t>Qualquer ferreiro da cidade do tier</t>
        </is>
      </c>
      <c r="I474" s="115" t="inlineStr">
        <is>
          <t>Acessório</t>
        </is>
      </c>
    </row>
    <row r="475">
      <c r="A475" s="115" t="inlineStr">
        <is>
          <t>Tier 9 (Mithril)</t>
        </is>
      </c>
      <c r="B475" s="115" t="inlineStr">
        <is>
          <t>Amuleto do Golem de Mithril</t>
        </is>
      </c>
      <c r="C475" s="115" t="inlineStr">
        <is>
          <t>1x Fragmento de Golem Jovem de Mithril + 1x Fragmento de Golem Menor de Mithril + 1x Fragmento de Golem Rachado</t>
        </is>
      </c>
      <c r="D475" s="115" t="inlineStr">
        <is>
          <t>+2 de Defesa leve</t>
        </is>
      </c>
      <c r="E475" s="115" t="n">
        <v>42</v>
      </c>
      <c r="H475" s="115" t="inlineStr">
        <is>
          <t>Qualquer ferreiro da cidade do tier</t>
        </is>
      </c>
      <c r="I475" s="115" t="inlineStr">
        <is>
          <t>Acessório</t>
        </is>
      </c>
    </row>
    <row r="476">
      <c r="A476" s="115" t="inlineStr">
        <is>
          <t>Tier 9 (Mithril)</t>
        </is>
      </c>
      <c r="B476" s="115" t="inlineStr">
        <is>
          <t>Amuleto do Peixe-Abissal</t>
        </is>
      </c>
      <c r="C476" s="115" t="inlineStr">
        <is>
          <t>1x Escama de Peixe-Abissal Jovem + 1x Escama Corrompida de Peixe-Abissal</t>
        </is>
      </c>
      <c r="D476" s="115" t="inlineStr">
        <is>
          <t>+10% de resistência a Veneno</t>
        </is>
      </c>
      <c r="E476" s="115" t="n">
        <v>42</v>
      </c>
      <c r="H476" s="115" t="inlineStr">
        <is>
          <t>Qualquer ferreiro da cidade do tier</t>
        </is>
      </c>
      <c r="I476" s="115" t="inlineStr">
        <is>
          <t>Acessório</t>
        </is>
      </c>
    </row>
    <row r="477">
      <c r="A477" s="115" t="inlineStr">
        <is>
          <t>Tier 9 (Mithril)</t>
        </is>
      </c>
      <c r="B477" s="115" t="inlineStr">
        <is>
          <t>Amuleto do Cristal Ressonante</t>
        </is>
      </c>
      <c r="C477" s="115" t="inlineStr">
        <is>
          <t>1x Fragmento de Cristal Ressonante</t>
        </is>
      </c>
      <c r="D477" s="115" t="inlineStr">
        <is>
          <t>+15% de resistência a Controle (versão de Elite)</t>
        </is>
      </c>
      <c r="E477" s="115" t="n">
        <v>50</v>
      </c>
      <c r="H477" s="115" t="inlineStr">
        <is>
          <t>Qualquer ferreiro da cidade do tier (receita de Elite)</t>
        </is>
      </c>
      <c r="I477" s="115" t="inlineStr">
        <is>
          <t>Acessório</t>
        </is>
      </c>
    </row>
    <row r="478">
      <c r="A478" s="115" t="inlineStr">
        <is>
          <t>Tier 9 (Mithril)</t>
        </is>
      </c>
      <c r="B478" s="115" t="inlineStr">
        <is>
          <t>Fechadura da Ostra Armadilhada</t>
        </is>
      </c>
      <c r="C478" s="115" t="inlineStr">
        <is>
          <t>1x Fragmento de Concha Armadilhada</t>
        </is>
      </c>
      <c r="D478" s="115" t="inlineStr">
        <is>
          <t>+10% de chance de identificar Mímicos antes do primeiro golpe</t>
        </is>
      </c>
      <c r="E478" s="115" t="n">
        <v>50</v>
      </c>
      <c r="H478" s="115" t="inlineStr">
        <is>
          <t>Qualquer ferreiro da cidade do tier (receita de Elite)</t>
        </is>
      </c>
      <c r="I478" s="115" t="inlineStr">
        <is>
          <t>Acessório</t>
        </is>
      </c>
    </row>
    <row r="479">
      <c r="A479" s="115" t="inlineStr">
        <is>
          <t>Tier 9 (Mithril)</t>
        </is>
      </c>
      <c r="B479" s="115" t="inlineStr">
        <is>
          <t>Amuleto do Peixe Dourado</t>
        </is>
      </c>
      <c r="C479" s="115" t="inlineStr">
        <is>
          <t>1x Escama Dourada de Peixe das Profundezas</t>
        </is>
      </c>
      <c r="D479" s="115" t="inlineStr">
        <is>
          <t>+5% de chance de loot Raro extra em combates vencidos</t>
        </is>
      </c>
      <c r="E479" s="115" t="n">
        <v>50</v>
      </c>
      <c r="H479" s="115" t="inlineStr">
        <is>
          <t>Qualquer ferreiro da cidade do tier (receita de Elite)</t>
        </is>
      </c>
      <c r="I479" s="115" t="inlineStr">
        <is>
          <t>Acessório</t>
        </is>
      </c>
    </row>
    <row r="480">
      <c r="A480" s="115" t="inlineStr">
        <is>
          <t>Tier 9 (Mithril)</t>
        </is>
      </c>
      <c r="B480" s="115" t="inlineStr">
        <is>
          <t>Amuleto do Capitão Assimilado</t>
        </is>
      </c>
      <c r="C480" s="115" t="inlineStr">
        <is>
          <t>1x Fragmento de Capitão Assimilado Menor + 1x Fragmento de Capitão Assimilado</t>
        </is>
      </c>
      <c r="D480" s="115" t="inlineStr">
        <is>
          <t>+10% de resistência a Debuffs (versão de Elite)</t>
        </is>
      </c>
      <c r="E480" s="115" t="n">
        <v>50</v>
      </c>
      <c r="H480" s="115" t="inlineStr">
        <is>
          <t>Qualquer ferreiro da cidade do tier (receita de Elite)</t>
        </is>
      </c>
      <c r="I480" s="115" t="inlineStr">
        <is>
          <t>Acessório</t>
        </is>
      </c>
    </row>
    <row r="481">
      <c r="A481" s="115" t="inlineStr">
        <is>
          <t>Tier 9 (Mithril)</t>
        </is>
      </c>
      <c r="B481" s="115" t="inlineStr">
        <is>
          <t>Bússola Menor da Última Rota</t>
        </is>
      </c>
      <c r="C481" s="115" t="inlineStr">
        <is>
          <t>1x Fragmento da Imediata Sereia</t>
        </is>
      </c>
      <c r="D481" s="115" t="inlineStr">
        <is>
          <t>+10% de chance de encontrar rotas seguras em exploração (versão de Elite Nomeado)</t>
        </is>
      </c>
      <c r="E481" s="115" t="n">
        <v>56</v>
      </c>
      <c r="H481" s="115" t="inlineStr">
        <is>
          <t>Qualquer ferreiro da cidade do tier (receita de Elite)</t>
        </is>
      </c>
      <c r="I481" s="115" t="inlineStr">
        <is>
          <t>Acessório</t>
        </is>
      </c>
    </row>
    <row r="482">
      <c r="A482" s="115" t="inlineStr">
        <is>
          <t>Tier 10 (Ébano)</t>
        </is>
      </c>
      <c r="B482" s="115" t="inlineStr">
        <is>
          <t>Manto do Zelote da Fusão</t>
        </is>
      </c>
      <c r="C482" s="115" t="inlineStr">
        <is>
          <t>1x Manto Cinzento de Zelote Iniciante + 1x Máscara Rachada de Zelote Fundido</t>
        </is>
      </c>
      <c r="D482" s="115" t="inlineStr">
        <is>
          <t>+10% de resistência a Corrupção do Culto</t>
        </is>
      </c>
      <c r="E482" s="115" t="n">
        <v>64</v>
      </c>
      <c r="H482" s="115" t="inlineStr">
        <is>
          <t>Qualquer ferreiro da cidade do tier</t>
        </is>
      </c>
      <c r="I482" s="115" t="inlineStr">
        <is>
          <t>Acessório</t>
        </is>
      </c>
    </row>
    <row r="483">
      <c r="A483" s="115" t="inlineStr">
        <is>
          <t>Tier 10 (Ébano)</t>
        </is>
      </c>
      <c r="B483" s="115" t="inlineStr">
        <is>
          <t>Amuleto da Sombra</t>
        </is>
      </c>
      <c r="C483" s="115" t="inlineStr">
        <is>
          <t>1x Resíduo de Sombra Recém-Formada + 1x Resíduo de Sombra Vulcânica + 1x Resíduo de Sombra Jovem</t>
        </is>
      </c>
      <c r="D483" s="115" t="inlineStr">
        <is>
          <t>+10% de resistência a Controle</t>
        </is>
      </c>
      <c r="E483" s="115" t="n">
        <v>64</v>
      </c>
      <c r="H483" s="115" t="inlineStr">
        <is>
          <t>Qualquer ferreiro da cidade do tier</t>
        </is>
      </c>
      <c r="I483" s="115" t="inlineStr">
        <is>
          <t>Acessório</t>
        </is>
      </c>
    </row>
    <row r="484">
      <c r="A484" s="115" t="inlineStr">
        <is>
          <t>Tier 10 (Ébano)</t>
        </is>
      </c>
      <c r="B484" s="115" t="inlineStr">
        <is>
          <t>Amuleto da Raiz</t>
        </is>
      </c>
      <c r="C484" s="115" t="inlineStr">
        <is>
          <t>1x Fragmento de Raiz Jovem + 1x Fragmento de Raiz Rastejante</t>
        </is>
      </c>
      <c r="D484" s="115" t="inlineStr">
        <is>
          <t>+10% de resistência a Enrededamento</t>
        </is>
      </c>
      <c r="E484" s="115" t="n">
        <v>64</v>
      </c>
      <c r="H484" s="115" t="inlineStr">
        <is>
          <t>Qualquer ferreiro da cidade do tier</t>
        </is>
      </c>
      <c r="I484" s="115" t="inlineStr">
        <is>
          <t>Acessório</t>
        </is>
      </c>
    </row>
    <row r="485">
      <c r="A485" s="115" t="inlineStr">
        <is>
          <t>Tier 10 (Ébano)</t>
        </is>
      </c>
      <c r="B485" s="115" t="inlineStr">
        <is>
          <t>Amuleto do Guardião da Fenda</t>
        </is>
      </c>
      <c r="C485" s="115" t="inlineStr">
        <is>
          <t>1x Núcleo de Guardião Jovem + 1x Núcleo de Guardião Menor</t>
        </is>
      </c>
      <c r="D485" s="115" t="inlineStr">
        <is>
          <t>+2 de Defesa leve</t>
        </is>
      </c>
      <c r="E485" s="115" t="n">
        <v>64</v>
      </c>
      <c r="H485" s="115" t="inlineStr">
        <is>
          <t>Qualquer ferreiro da cidade do tier</t>
        </is>
      </c>
      <c r="I485" s="115" t="inlineStr">
        <is>
          <t>Acessório</t>
        </is>
      </c>
    </row>
    <row r="486">
      <c r="A486" s="115" t="inlineStr">
        <is>
          <t>Tier 10 (Ébano)</t>
        </is>
      </c>
      <c r="B486" s="115" t="inlineStr">
        <is>
          <t>Vial da Seiva da Raiz Corrompida</t>
        </is>
      </c>
      <c r="C486" s="115" t="inlineStr">
        <is>
          <t>1x Seiva Parasita Jovem + 1x Seiva Parasita de Raiz</t>
        </is>
      </c>
      <c r="D486" s="115" t="inlineStr">
        <is>
          <t>+10% de resistência a Veneno</t>
        </is>
      </c>
      <c r="E486" s="115" t="n">
        <v>64</v>
      </c>
      <c r="H486" s="115" t="inlineStr">
        <is>
          <t>Qualquer ferreiro da cidade do tier</t>
        </is>
      </c>
      <c r="I486" s="115" t="inlineStr">
        <is>
          <t>Acessório</t>
        </is>
      </c>
    </row>
    <row r="487">
      <c r="A487" s="115" t="inlineStr">
        <is>
          <t>Tier 10 (Ébano)</t>
        </is>
      </c>
      <c r="B487" s="115" t="inlineStr">
        <is>
          <t>Vial da Cinza Amaldiçoada</t>
        </is>
      </c>
      <c r="C487" s="115" t="inlineStr">
        <is>
          <t>1x Punhado de Cinza Amaldiçoada Menor + 1x Punhado de Cinza Amaldiçoada + 1x Resíduo de Cinza Rastejante</t>
        </is>
      </c>
      <c r="D487" s="115" t="inlineStr">
        <is>
          <t>+10% de resistência a Corrosão</t>
        </is>
      </c>
      <c r="E487" s="115" t="n">
        <v>64</v>
      </c>
      <c r="H487" s="115" t="inlineStr">
        <is>
          <t>Qualquer ferreiro da cidade do tier</t>
        </is>
      </c>
      <c r="I487" s="115" t="inlineStr">
        <is>
          <t>Acessório</t>
        </is>
      </c>
    </row>
    <row r="488">
      <c r="A488" s="115" t="inlineStr">
        <is>
          <t>Tier 10 (Ébano)</t>
        </is>
      </c>
      <c r="B488" s="115" t="inlineStr">
        <is>
          <t>Amuleto da Aberração</t>
        </is>
      </c>
      <c r="C488" s="115" t="inlineStr">
        <is>
          <t>1x Amostra de Carne Fundida Recente + 1x Amostra de Carne Multi-Fundida + 1x Amostra de Carne Bifundida</t>
        </is>
      </c>
      <c r="D488" s="115" t="inlineStr">
        <is>
          <t>+10% de resistência a efeitos de Fusão</t>
        </is>
      </c>
      <c r="E488" s="115" t="n">
        <v>68</v>
      </c>
      <c r="H488" s="115" t="inlineStr">
        <is>
          <t>Qualquer ferreiro da cidade do tier (receita rara)</t>
        </is>
      </c>
      <c r="I488" s="115" t="inlineStr">
        <is>
          <t>Acessório</t>
        </is>
      </c>
    </row>
    <row r="489">
      <c r="A489" s="115" t="inlineStr">
        <is>
          <t>Tier 10 (Ébano)</t>
        </is>
      </c>
      <c r="B489" s="115" t="inlineStr">
        <is>
          <t>Amuleto do Espectro</t>
        </is>
      </c>
      <c r="C489" s="115" t="inlineStr">
        <is>
          <t>1x Fragmento Espectral Menor + 1x Fragmento Espectral de Ebano</t>
        </is>
      </c>
      <c r="D489" s="115" t="inlineStr">
        <is>
          <t>+15% de resistência a Medo</t>
        </is>
      </c>
      <c r="E489" s="115" t="n">
        <v>64</v>
      </c>
      <c r="H489" s="115" t="inlineStr">
        <is>
          <t>Qualquer ferreiro da cidade do tier</t>
        </is>
      </c>
      <c r="I489" s="115" t="inlineStr">
        <is>
          <t>Acessório</t>
        </is>
      </c>
    </row>
    <row r="490">
      <c r="A490" s="115" t="inlineStr">
        <is>
          <t>Tier 10 (Ébano)</t>
        </is>
      </c>
      <c r="B490" s="115" t="inlineStr">
        <is>
          <t>Foice do Ceifador Aprendiz</t>
        </is>
      </c>
      <c r="C490" s="115" t="inlineStr">
        <is>
          <t>1x Foice Improvisada de Ceifador Aprendiz</t>
        </is>
      </c>
      <c r="D490" s="115" t="inlineStr">
        <is>
          <t>+5% de chance de crítico</t>
        </is>
      </c>
      <c r="E490" s="115" t="n">
        <v>64</v>
      </c>
      <c r="H490" s="115" t="inlineStr">
        <is>
          <t>Qualquer ferreiro da cidade do tier</t>
        </is>
      </c>
      <c r="I490" s="115" t="inlineStr">
        <is>
          <t>Acessório</t>
        </is>
      </c>
    </row>
    <row r="491">
      <c r="A491" s="115" t="inlineStr">
        <is>
          <t>Tier 10 (Ébano)</t>
        </is>
      </c>
      <c r="B491" s="115" t="inlineStr">
        <is>
          <t>Amuleto do Cogumelo da Cinza</t>
        </is>
      </c>
      <c r="C491" s="115" t="inlineStr">
        <is>
          <t>1x Esporo Jovem de Cinza + 1x Esporo Andante de Cinza</t>
        </is>
      </c>
      <c r="D491" s="115" t="inlineStr">
        <is>
          <t>+10% de resistência a Debuffs</t>
        </is>
      </c>
      <c r="E491" s="115" t="n">
        <v>64</v>
      </c>
      <c r="H491" s="115" t="inlineStr">
        <is>
          <t>Qualquer ferreiro da cidade do tier</t>
        </is>
      </c>
      <c r="I491" s="115" t="inlineStr">
        <is>
          <t>Acessório</t>
        </is>
      </c>
    </row>
    <row r="492">
      <c r="A492" s="115" t="inlineStr">
        <is>
          <t>Tier 10 (Ébano)</t>
        </is>
      </c>
      <c r="B492" s="115" t="inlineStr">
        <is>
          <t>Vial da Sombra Devoradora</t>
        </is>
      </c>
      <c r="C492" s="115" t="inlineStr">
        <is>
          <t>1x Resíduo de Sombra Devoradora Jovem + 1x Resíduo de Sombra Devoradora</t>
        </is>
      </c>
      <c r="D492" s="115" t="inlineStr">
        <is>
          <t>+10% de resistência a Necrose</t>
        </is>
      </c>
      <c r="E492" s="115" t="n">
        <v>64</v>
      </c>
      <c r="H492" s="115" t="inlineStr">
        <is>
          <t>Qualquer ferreiro da cidade do tier</t>
        </is>
      </c>
      <c r="I492" s="115" t="inlineStr">
        <is>
          <t>Acessório</t>
        </is>
      </c>
    </row>
    <row r="493">
      <c r="A493" s="115" t="inlineStr">
        <is>
          <t>Tier 10 (Ébano)</t>
        </is>
      </c>
      <c r="B493" s="115" t="inlineStr">
        <is>
          <t>Amuleto do Amálgama</t>
        </is>
      </c>
      <c r="C493" s="115" t="inlineStr">
        <is>
          <t>1x Amostra de Carne do Amálgama Menor</t>
        </is>
      </c>
      <c r="D493" s="115" t="inlineStr">
        <is>
          <t>+10% de resistência a efeitos de Fusão</t>
        </is>
      </c>
      <c r="E493" s="115" t="n">
        <v>68</v>
      </c>
      <c r="H493" s="115" t="inlineStr">
        <is>
          <t>Qualquer ferreiro da cidade do tier (receita rara)</t>
        </is>
      </c>
      <c r="I493" s="115" t="inlineStr">
        <is>
          <t>Acessório</t>
        </is>
      </c>
    </row>
    <row r="494">
      <c r="A494" s="115" t="inlineStr">
        <is>
          <t>Tier 10 (Ébano)</t>
        </is>
      </c>
      <c r="B494" s="115" t="inlineStr">
        <is>
          <t>Foice do Ceifador Menor</t>
        </is>
      </c>
      <c r="C494" s="115" t="inlineStr">
        <is>
          <t>1x Fragmento de Ceifador Menor</t>
        </is>
      </c>
      <c r="D494" s="115" t="inlineStr">
        <is>
          <t>+10% de dano em ataques corpo a corpo (versão de Elite)</t>
        </is>
      </c>
      <c r="E494" s="115" t="n">
        <v>70</v>
      </c>
      <c r="H494" s="115" t="inlineStr">
        <is>
          <t>Qualquer ferreiro da cidade do tier (receita de Elite)</t>
        </is>
      </c>
      <c r="I494" s="115" t="inlineStr">
        <is>
          <t>Acessório</t>
        </is>
      </c>
    </row>
    <row r="495">
      <c r="A495" s="115" t="inlineStr">
        <is>
          <t>Tier 10 (Ébano)</t>
        </is>
      </c>
      <c r="B495" s="115" t="inlineStr">
        <is>
          <t>Fechadura do Cofre de Cinzas</t>
        </is>
      </c>
      <c r="C495" s="115" t="inlineStr">
        <is>
          <t>1x Fragmento de Cofre Armadilhado</t>
        </is>
      </c>
      <c r="D495" s="115" t="inlineStr">
        <is>
          <t>+10% de chance de identificar Mímicos antes do primeiro golpe</t>
        </is>
      </c>
      <c r="E495" s="115" t="n">
        <v>70</v>
      </c>
      <c r="H495" s="115" t="inlineStr">
        <is>
          <t>Qualquer ferreiro da cidade do tier (receita de Elite)</t>
        </is>
      </c>
      <c r="I495" s="115" t="inlineStr">
        <is>
          <t>Acessório</t>
        </is>
      </c>
    </row>
    <row r="496">
      <c r="A496" s="115" t="inlineStr">
        <is>
          <t>Tier 10 (Ébano)</t>
        </is>
      </c>
      <c r="B496" s="115" t="inlineStr">
        <is>
          <t>Amuleto do Fragmento Fugidio</t>
        </is>
      </c>
      <c r="C496" s="115" t="inlineStr">
        <is>
          <t>1x Amostra Instável do Fragmento Fugidio</t>
        </is>
      </c>
      <c r="D496" s="115" t="inlineStr">
        <is>
          <t>+5% de chance de loot Raro extra em combates vencidos</t>
        </is>
      </c>
      <c r="E496" s="115" t="n">
        <v>70</v>
      </c>
      <c r="H496" s="115" t="inlineStr">
        <is>
          <t>Qualquer ferreiro da cidade do tier (receita de Elite)</t>
        </is>
      </c>
      <c r="I496" s="115" t="inlineStr">
        <is>
          <t>Acessório</t>
        </is>
      </c>
    </row>
    <row r="497">
      <c r="A497" s="115" t="inlineStr">
        <is>
          <t>Tier 10 (Ébano)</t>
        </is>
      </c>
      <c r="B497" s="115" t="inlineStr">
        <is>
          <t>Amuleto do Amálgama Fragmentário</t>
        </is>
      </c>
      <c r="C497" s="115" t="inlineStr">
        <is>
          <t>1x Fragmento de Amálgama Fragmentário</t>
        </is>
      </c>
      <c r="D497" s="115" t="inlineStr">
        <is>
          <t>+10% de resistência a efeitos de Fusão (versão de Elite)</t>
        </is>
      </c>
      <c r="E497" s="115" t="n">
        <v>70</v>
      </c>
      <c r="H497" s="115" t="inlineStr">
        <is>
          <t>Qualquer ferreiro da cidade do tier (receita de Elite)</t>
        </is>
      </c>
      <c r="I497" s="115" t="inlineStr">
        <is>
          <t>Acessório</t>
        </is>
      </c>
    </row>
    <row r="498">
      <c r="A498" s="115" t="inlineStr">
        <is>
          <t>Tier 10 (Ébano)</t>
        </is>
      </c>
      <c r="B498" s="115" t="inlineStr">
        <is>
          <t>Broche Menor da Última Resistência</t>
        </is>
      </c>
      <c r="C498" s="115" t="inlineStr">
        <is>
          <t>1x Fragmento de Irmã Vashti</t>
        </is>
      </c>
      <c r="D498" s="115" t="inlineStr">
        <is>
          <t>+15% de resistência a Corrupção (versão de Elite Nomeado)</t>
        </is>
      </c>
      <c r="E498" s="115" t="n">
        <v>78</v>
      </c>
      <c r="H498" s="115" t="inlineStr">
        <is>
          <t>Qualquer ferreiro da cidade do tier (receita de Elite)</t>
        </is>
      </c>
      <c r="I498" s="115" t="inlineStr">
        <is>
          <t>Acessório</t>
        </is>
      </c>
    </row>
    <row r="499">
      <c r="A499" s="115" t="inlineStr">
        <is>
          <t>Tier 11 (Adamantina)</t>
        </is>
      </c>
      <c r="B499" s="115" t="inlineStr">
        <is>
          <t>Amuleto do Golem de Guerra</t>
        </is>
      </c>
      <c r="C499" s="115" t="inlineStr">
        <is>
          <t>1x Fragmento de Golem Muito Menor + 1x Fragmento de Golem Menor de Guerra + 1x Placa Roubada de Golem de Guerra</t>
        </is>
      </c>
      <c r="D499" s="115" t="inlineStr">
        <is>
          <t>+2 de Defesa leve</t>
        </is>
      </c>
      <c r="E499" s="115" t="n">
        <v>84</v>
      </c>
      <c r="H499" s="115" t="inlineStr">
        <is>
          <t>Qualquer ferreiro da cidade do tier</t>
        </is>
      </c>
      <c r="I499" s="115" t="inlineStr">
        <is>
          <t>Acessório</t>
        </is>
      </c>
    </row>
    <row r="500">
      <c r="A500" s="115" t="inlineStr">
        <is>
          <t>Tier 11 (Adamantina)</t>
        </is>
      </c>
      <c r="B500" s="115" t="inlineStr">
        <is>
          <t>Amuleto do Devorador de Cavaleiros</t>
        </is>
      </c>
      <c r="C500" s="115" t="inlineStr">
        <is>
          <t>1x Presa Jovem de Devorador de Cavaleiros + 1x Presa de Devorador de Cavaleiros Caídos</t>
        </is>
      </c>
      <c r="D500" s="115" t="inlineStr">
        <is>
          <t>+10% de resistência a Necrose</t>
        </is>
      </c>
      <c r="E500" s="115" t="n">
        <v>84</v>
      </c>
      <c r="H500" s="115" t="inlineStr">
        <is>
          <t>Qualquer ferreiro da cidade do tier</t>
        </is>
      </c>
      <c r="I500" s="115" t="inlineStr">
        <is>
          <t>Acessório</t>
        </is>
      </c>
    </row>
    <row r="501">
      <c r="A501" s="115" t="inlineStr">
        <is>
          <t>Tier 11 (Adamantina)</t>
        </is>
      </c>
      <c r="B501" s="115" t="inlineStr">
        <is>
          <t>Brasão do Cavaleiro</t>
        </is>
      </c>
      <c r="C501" s="115" t="inlineStr">
        <is>
          <t>1x Brasão Manchado de Cavaleiro Ferido + 1x Brasão do Cavaleiro Fiel + 1x Placa Renegada de Cavaleiro + 1x Placa Ferida de Renegado</t>
        </is>
      </c>
      <c r="D501" s="115" t="inlineStr">
        <is>
          <t>+10% de resistência a Corrupção</t>
        </is>
      </c>
      <c r="E501" s="115" t="n">
        <v>84</v>
      </c>
      <c r="H501" s="115" t="inlineStr">
        <is>
          <t>Qualquer ferreiro da cidade do tier</t>
        </is>
      </c>
      <c r="I501" s="115" t="inlineStr">
        <is>
          <t>Acessório</t>
        </is>
      </c>
    </row>
    <row r="502">
      <c r="A502" s="115" t="inlineStr">
        <is>
          <t>Tier 11 (Adamantina)</t>
        </is>
      </c>
      <c r="B502" s="115" t="inlineStr">
        <is>
          <t>Amuleto do Sacerdote da Heresia</t>
        </is>
      </c>
      <c r="C502" s="115" t="inlineStr">
        <is>
          <t>1x Amuleto do Sacerdote Iniciante + 1x Fragmento de Sacerdote Menor da Heresia</t>
        </is>
      </c>
      <c r="D502" s="115" t="inlineStr">
        <is>
          <t>+10% de resistência a Debuffs</t>
        </is>
      </c>
      <c r="E502" s="115" t="n">
        <v>92</v>
      </c>
      <c r="H502" s="115" t="inlineStr">
        <is>
          <t>Qualquer ferreiro da cidade do tier (receita de Elite)</t>
        </is>
      </c>
      <c r="I502" s="115" t="inlineStr">
        <is>
          <t>Acessório</t>
        </is>
      </c>
    </row>
    <row r="503">
      <c r="A503" s="115" t="inlineStr">
        <is>
          <t>Tier 11 (Adamantina)</t>
        </is>
      </c>
      <c r="B503" s="115" t="inlineStr">
        <is>
          <t>Amuleto da Rachadura</t>
        </is>
      </c>
      <c r="C503" s="115" t="inlineStr">
        <is>
          <t>1x Fragmento de Rachadura Jovem + 1x Fragmento de Rachadura Viva</t>
        </is>
      </c>
      <c r="D503" s="115" t="inlineStr">
        <is>
          <t>+10% de resistência a Corrosão</t>
        </is>
      </c>
      <c r="E503" s="115" t="n">
        <v>84</v>
      </c>
      <c r="H503" s="115" t="inlineStr">
        <is>
          <t>Qualquer ferreiro da cidade do tier</t>
        </is>
      </c>
      <c r="I503" s="115" t="inlineStr">
        <is>
          <t>Acessório</t>
        </is>
      </c>
    </row>
    <row r="504">
      <c r="A504" s="115" t="inlineStr">
        <is>
          <t>Tier 11 (Adamantina)</t>
        </is>
      </c>
      <c r="B504" s="115" t="inlineStr">
        <is>
          <t>Máscara do Herege</t>
        </is>
      </c>
      <c r="C504" s="115" t="inlineStr">
        <is>
          <t>1x Máscara Jovem de Herege + 1x Máscara de Herege Silencioso</t>
        </is>
      </c>
      <c r="D504" s="115" t="inlineStr">
        <is>
          <t>+10% de resistência a Silêncio/Controle</t>
        </is>
      </c>
      <c r="E504" s="115" t="n">
        <v>84</v>
      </c>
      <c r="H504" s="115" t="inlineStr">
        <is>
          <t>Qualquer ferreiro da cidade do tier</t>
        </is>
      </c>
      <c r="I504" s="115" t="inlineStr">
        <is>
          <t>Acessório</t>
        </is>
      </c>
    </row>
    <row r="505">
      <c r="A505" s="115" t="inlineStr">
        <is>
          <t>Tier 11 (Adamantina)</t>
        </is>
      </c>
      <c r="B505" s="115" t="inlineStr">
        <is>
          <t>Manto do Devoto da Heresia</t>
        </is>
      </c>
      <c r="C505" s="115" t="inlineStr">
        <is>
          <t>1x Manto Novo de Devoto Recém-Convertido + 1x Manto Jovem de Devoto + 1x Manto do Devoto da Heresia</t>
        </is>
      </c>
      <c r="D505" s="115" t="inlineStr">
        <is>
          <t>+10% de resistência a Corrupção do Culto</t>
        </is>
      </c>
      <c r="E505" s="115" t="n">
        <v>84</v>
      </c>
      <c r="H505" s="115" t="inlineStr">
        <is>
          <t>Qualquer ferreiro da cidade do tier</t>
        </is>
      </c>
      <c r="I505" s="115" t="inlineStr">
        <is>
          <t>Acessório</t>
        </is>
      </c>
    </row>
    <row r="506">
      <c r="A506" s="115" t="inlineStr">
        <is>
          <t>Tier 11 (Adamantina)</t>
        </is>
      </c>
      <c r="B506" s="115" t="inlineStr">
        <is>
          <t>Amuleto da Carne-Metal</t>
        </is>
      </c>
      <c r="C506" s="115" t="inlineStr">
        <is>
          <t>1x Amostra de Carne-Metal Jovem + 1x Amostra de Carne-Metal Rastejante + 1x Amostra de Carne-Metal Andante</t>
        </is>
      </c>
      <c r="D506" s="115" t="inlineStr">
        <is>
          <t>+10% de resistência a efeitos de Fusão</t>
        </is>
      </c>
      <c r="E506" s="115" t="n">
        <v>88</v>
      </c>
      <c r="H506" s="115" t="inlineStr">
        <is>
          <t>Qualquer ferreiro da cidade do tier (receita rara)</t>
        </is>
      </c>
      <c r="I506" s="115" t="inlineStr">
        <is>
          <t>Acessório</t>
        </is>
      </c>
    </row>
    <row r="507">
      <c r="A507" s="115" t="inlineStr">
        <is>
          <t>Tier 11 (Adamantina)</t>
        </is>
      </c>
      <c r="B507" s="115" t="inlineStr">
        <is>
          <t>Núcleo do Constructo Titânico</t>
        </is>
      </c>
      <c r="C507" s="115" t="inlineStr">
        <is>
          <t>1x Fragmento de Constructo Muito Menor + 1x Núcleo de Constructo Titânico Menor</t>
        </is>
      </c>
      <c r="D507" s="115" t="inlineStr">
        <is>
          <t>+10% de resistência a Atordoamento</t>
        </is>
      </c>
      <c r="E507" s="115" t="n">
        <v>92</v>
      </c>
      <c r="H507" s="115" t="inlineStr">
        <is>
          <t>Qualquer ferreiro da cidade do tier (receita de Elite)</t>
        </is>
      </c>
      <c r="I507" s="115" t="inlineStr">
        <is>
          <t>Acessório</t>
        </is>
      </c>
    </row>
    <row r="508">
      <c r="A508" s="115" t="inlineStr">
        <is>
          <t>Tier 11 (Adamantina)</t>
        </is>
      </c>
      <c r="B508" s="115" t="inlineStr">
        <is>
          <t>Amuleto do Campeão Adamantino Menor</t>
        </is>
      </c>
      <c r="C508" s="115" t="inlineStr">
        <is>
          <t>1x Fragmento de Campeão Menor Adamantino + 1x Placa Ferida de Campeão</t>
        </is>
      </c>
      <c r="D508" s="115" t="inlineStr">
        <is>
          <t>+5% de dano em ataques corpo a corpo</t>
        </is>
      </c>
      <c r="E508" s="115" t="n">
        <v>84</v>
      </c>
      <c r="H508" s="115" t="inlineStr">
        <is>
          <t>Qualquer ferreiro da cidade do tier</t>
        </is>
      </c>
      <c r="I508" s="115" t="inlineStr">
        <is>
          <t>Acessório</t>
        </is>
      </c>
    </row>
    <row r="509">
      <c r="A509" s="115" t="inlineStr">
        <is>
          <t>Tier 11 (Adamantina)</t>
        </is>
      </c>
      <c r="B509" s="115" t="inlineStr">
        <is>
          <t>Núcleo do Golem Fragmentado</t>
        </is>
      </c>
      <c r="C509" s="115" t="inlineStr">
        <is>
          <t>1x Fragmento de Golem Fragmentado Menor + 1x Fragmento de Golem Fragmentado de Adamantina</t>
        </is>
      </c>
      <c r="D509" s="115" t="inlineStr">
        <is>
          <t>+10% de resistência a Explosão (versão de Elite)</t>
        </is>
      </c>
      <c r="E509" s="115" t="n">
        <v>92</v>
      </c>
      <c r="H509" s="115" t="inlineStr">
        <is>
          <t>Qualquer ferreiro da cidade do tier (receita de Elite)</t>
        </is>
      </c>
      <c r="I509" s="115" t="inlineStr">
        <is>
          <t>Acessório</t>
        </is>
      </c>
    </row>
    <row r="510">
      <c r="A510" s="115" t="inlineStr">
        <is>
          <t>Tier 11 (Adamantina)</t>
        </is>
      </c>
      <c r="B510" s="115" t="inlineStr">
        <is>
          <t>Fechadura do Cofre-Titã</t>
        </is>
      </c>
      <c r="C510" s="115" t="inlineStr">
        <is>
          <t>1x Fragmento de Cofre-Titã Armadilhado</t>
        </is>
      </c>
      <c r="D510" s="115" t="inlineStr">
        <is>
          <t>+10% de chance de identificar Mímicos antes do primeiro golpe</t>
        </is>
      </c>
      <c r="E510" s="115" t="n">
        <v>92</v>
      </c>
      <c r="H510" s="115" t="inlineStr">
        <is>
          <t>Qualquer ferreiro da cidade do tier (receita de Elite)</t>
        </is>
      </c>
      <c r="I510" s="115" t="inlineStr">
        <is>
          <t>Acessório</t>
        </is>
      </c>
    </row>
    <row r="511">
      <c r="A511" s="115" t="inlineStr">
        <is>
          <t>Tier 11 (Adamantina)</t>
        </is>
      </c>
      <c r="B511" s="115" t="inlineStr">
        <is>
          <t>Amuleto do Fragmento Fugidio de Adamantina</t>
        </is>
      </c>
      <c r="C511" s="115" t="inlineStr">
        <is>
          <t>1x Amostra Pura de Fragmento Fugidio</t>
        </is>
      </c>
      <c r="D511" s="115" t="inlineStr">
        <is>
          <t>+5% de chance de loot Raro extra em combates vencidos</t>
        </is>
      </c>
      <c r="E511" s="115" t="n">
        <v>92</v>
      </c>
      <c r="H511" s="115" t="inlineStr">
        <is>
          <t>Qualquer ferreiro da cidade do tier (receita de Elite)</t>
        </is>
      </c>
      <c r="I511" s="115" t="inlineStr">
        <is>
          <t>Acessório</t>
        </is>
      </c>
    </row>
    <row r="512">
      <c r="A512" s="115" t="inlineStr">
        <is>
          <t>Tier 11 (Adamantina)</t>
        </is>
      </c>
      <c r="B512" s="115" t="inlineStr">
        <is>
          <t>Brasão Menor do Juramento Quebrado</t>
        </is>
      </c>
      <c r="C512" s="115" t="inlineStr">
        <is>
          <t>1x Fragmento de Sir Aldric</t>
        </is>
      </c>
      <c r="D512" s="115" t="inlineStr">
        <is>
          <t>+15% de resistência a Medo (versão de Elite Nomeado)</t>
        </is>
      </c>
      <c r="E512" s="115" t="n">
        <v>100</v>
      </c>
      <c r="H512" s="115" t="inlineStr">
        <is>
          <t>Qualquer ferreiro da cidade do tier (receita de Elite)</t>
        </is>
      </c>
      <c r="I512" s="115" t="inlineStr">
        <is>
          <t>Acessório</t>
        </is>
      </c>
    </row>
    <row r="513">
      <c r="A513" s="115" t="inlineStr">
        <is>
          <t>Tier 12 (Osso de Dragão)</t>
        </is>
      </c>
      <c r="B513" s="115" t="inlineStr">
        <is>
          <t>Amuleto do Wyrmling</t>
        </is>
      </c>
      <c r="C513" s="115" t="inlineStr">
        <is>
          <t>1x Escama Ferida de Wyrmling Jovem + 1x Escama de Wyrmling Poupável + 1x Escama de Wyrmling Muito Jovem + 1x Garra de Wyrmling Faminto</t>
        </is>
      </c>
      <c r="D513" s="115" t="inlineStr">
        <is>
          <t>+15% de resistência a Fogo</t>
        </is>
      </c>
      <c r="E513" s="115" t="n">
        <v>100</v>
      </c>
      <c r="H513" s="115" t="inlineStr">
        <is>
          <t>Qualquer ferreiro da cidade do tier</t>
        </is>
      </c>
      <c r="I513" s="115" t="inlineStr">
        <is>
          <t>Acessório</t>
        </is>
      </c>
    </row>
    <row r="514">
      <c r="A514" s="115" t="inlineStr">
        <is>
          <t>Tier 12 (Osso de Dragão)</t>
        </is>
      </c>
      <c r="B514" s="115" t="inlineStr">
        <is>
          <t>Amuleto do Ovo Corrompido</t>
        </is>
      </c>
      <c r="C514" s="115" t="inlineStr">
        <is>
          <t>1x Casca de Ovo Corrompido</t>
        </is>
      </c>
      <c r="D514" s="115" t="inlineStr">
        <is>
          <t>+10% de resistência a Explosão</t>
        </is>
      </c>
      <c r="E514" s="115" t="n">
        <v>108</v>
      </c>
      <c r="H514" s="115" t="inlineStr">
        <is>
          <t>Qualquer ferreiro da cidade do tier (receita rara)</t>
        </is>
      </c>
      <c r="I514" s="115" t="inlineStr">
        <is>
          <t>Acessório</t>
        </is>
      </c>
    </row>
    <row r="515">
      <c r="A515" s="115" t="inlineStr">
        <is>
          <t>Tier 12 (Osso de Dragão)</t>
        </is>
      </c>
      <c r="B515" s="115" t="inlineStr">
        <is>
          <t>Arco do Caçador</t>
        </is>
      </c>
      <c r="C515" s="115" t="inlineStr">
        <is>
          <t>1x Arco Novo de Caçador Iniciante + 1x Arco de Caçador Aprendiz + 1x Insígnia Vendida do Caçador Corrompido</t>
        </is>
      </c>
      <c r="D515" s="115" t="inlineStr">
        <is>
          <t>+10% de precisão em ataques à distância</t>
        </is>
      </c>
      <c r="E515" s="115" t="n">
        <v>100</v>
      </c>
      <c r="H515" s="115" t="inlineStr">
        <is>
          <t>Qualquer ferreiro da cidade do tier</t>
        </is>
      </c>
      <c r="I515" s="115" t="inlineStr">
        <is>
          <t>Acessório</t>
        </is>
      </c>
    </row>
    <row r="516">
      <c r="A516" s="115" t="inlineStr">
        <is>
          <t>Tier 12 (Osso de Dragão)</t>
        </is>
      </c>
      <c r="B516" s="115" t="inlineStr">
        <is>
          <t>Véu da Peste</t>
        </is>
      </c>
      <c r="C516" s="115" t="inlineStr">
        <is>
          <t>1x Véu Manchado de Serva Recém-Infectada + 1x Véu da Serva da Peste</t>
        </is>
      </c>
      <c r="D516" s="115" t="inlineStr">
        <is>
          <t>+10% de resistência a Doença/Peste</t>
        </is>
      </c>
      <c r="E516" s="115" t="n">
        <v>100</v>
      </c>
      <c r="H516" s="115" t="inlineStr">
        <is>
          <t>Qualquer ferreiro da cidade do tier</t>
        </is>
      </c>
      <c r="I516" s="115" t="inlineStr">
        <is>
          <t>Acessório</t>
        </is>
      </c>
    </row>
    <row r="517">
      <c r="A517" s="115" t="inlineStr">
        <is>
          <t>Tier 12 (Osso de Dragão)</t>
        </is>
      </c>
      <c r="B517" s="115" t="inlineStr">
        <is>
          <t>Frasco da Peste Escarlate</t>
        </is>
      </c>
      <c r="C517" s="115" t="inlineStr">
        <is>
          <t>1x Frasco Menor de Peste + 1x Frasco de Peste</t>
        </is>
      </c>
      <c r="D517" s="115" t="inlineStr">
        <is>
          <t>+10% de dano com efeito Debuff aplicado</t>
        </is>
      </c>
      <c r="E517" s="115" t="n">
        <v>100</v>
      </c>
      <c r="H517" s="115" t="inlineStr">
        <is>
          <t>Qualquer ferreiro da cidade do tier</t>
        </is>
      </c>
      <c r="I517" s="115" t="inlineStr">
        <is>
          <t>Acessório</t>
        </is>
      </c>
    </row>
    <row r="518">
      <c r="A518" s="115" t="inlineStr">
        <is>
          <t>Tier 12 (Osso de Dragão)</t>
        </is>
      </c>
      <c r="B518" s="115" t="inlineStr">
        <is>
          <t>Amuleto da Fera Alada</t>
        </is>
      </c>
      <c r="C518" s="115" t="inlineStr">
        <is>
          <t>1x Pena Doente de Fera Alada + 1x Pena Enfraquecida de Fera Alada + 1x Pena da Fera Alada Doente</t>
        </is>
      </c>
      <c r="D518" s="115" t="inlineStr">
        <is>
          <t>+10% de resistência a Doença</t>
        </is>
      </c>
      <c r="E518" s="115" t="n">
        <v>100</v>
      </c>
      <c r="H518" s="115" t="inlineStr">
        <is>
          <t>Qualquer ferreiro da cidade do tier</t>
        </is>
      </c>
      <c r="I518" s="115" t="inlineStr">
        <is>
          <t>Acessório</t>
        </is>
      </c>
    </row>
    <row r="519">
      <c r="A519" s="115" t="inlineStr">
        <is>
          <t>Tier 12 (Osso de Dragão)</t>
        </is>
      </c>
      <c r="B519" s="115" t="inlineStr">
        <is>
          <t>Presa do Devorador de Ossos</t>
        </is>
      </c>
      <c r="C519" s="115" t="inlineStr">
        <is>
          <t>1x Presa Jovem de Devorador de Ossos + 1x Presa de Devorador de Ossos Antigos</t>
        </is>
      </c>
      <c r="D519" s="115" t="inlineStr">
        <is>
          <t>+10% de resistência a Necrose</t>
        </is>
      </c>
      <c r="E519" s="115" t="n">
        <v>100</v>
      </c>
      <c r="H519" s="115" t="inlineStr">
        <is>
          <t>Qualquer ferreiro da cidade do tier</t>
        </is>
      </c>
      <c r="I519" s="115" t="inlineStr">
        <is>
          <t>Acessório</t>
        </is>
      </c>
    </row>
    <row r="520">
      <c r="A520" s="115" t="inlineStr">
        <is>
          <t>Tier 12 (Osso de Dragão)</t>
        </is>
      </c>
      <c r="B520" s="115" t="inlineStr">
        <is>
          <t>Segmento do Verme da Peste</t>
        </is>
      </c>
      <c r="C520" s="115" t="inlineStr">
        <is>
          <t>1x Segmento Jovem de Verme da Peste + 1x Segmento de Verme da Peste Escarlate</t>
        </is>
      </c>
      <c r="D520" s="115" t="inlineStr">
        <is>
          <t>+10% de resistência a Veneno/Doença</t>
        </is>
      </c>
      <c r="E520" s="115" t="n">
        <v>100</v>
      </c>
      <c r="H520" s="115" t="inlineStr">
        <is>
          <t>Qualquer ferreiro da cidade do tier</t>
        </is>
      </c>
      <c r="I520" s="115" t="inlineStr">
        <is>
          <t>Acessório</t>
        </is>
      </c>
    </row>
    <row r="521">
      <c r="A521" s="115" t="inlineStr">
        <is>
          <t>Tier 12 (Osso de Dragão)</t>
        </is>
      </c>
      <c r="B521" s="115" t="inlineStr">
        <is>
          <t>Amuleto do Guardião do Pilar</t>
        </is>
      </c>
      <c r="C521" s="115" t="inlineStr">
        <is>
          <t>1x Fragmento de Guardião Muito Menor do Pilar + 1x Núcleo de Guardião Menor do Pilar</t>
        </is>
      </c>
      <c r="D521" s="115" t="inlineStr">
        <is>
          <t>+2 de Defesa leve</t>
        </is>
      </c>
      <c r="E521" s="115" t="n">
        <v>108</v>
      </c>
      <c r="H521" s="115" t="inlineStr">
        <is>
          <t>Qualquer ferreiro da cidade do tier (receita de Elite)</t>
        </is>
      </c>
      <c r="I521" s="115" t="inlineStr">
        <is>
          <t>Acessório</t>
        </is>
      </c>
    </row>
    <row r="522">
      <c r="A522" s="115" t="inlineStr">
        <is>
          <t>Tier 12 (Osso de Dragão)</t>
        </is>
      </c>
      <c r="B522" s="115" t="inlineStr">
        <is>
          <t>Amuleto do Caçador-Mestre</t>
        </is>
      </c>
      <c r="C522" s="115" t="inlineStr">
        <is>
          <t>1x Fragmento de Caçador-Mestre Ferido + 1x Fragmento de Caçador-Mestre em Treinamento</t>
        </is>
      </c>
      <c r="D522" s="115" t="inlineStr">
        <is>
          <t>+5% de dano em ataques à distância (versão de Elite)</t>
        </is>
      </c>
      <c r="E522" s="115" t="n">
        <v>108</v>
      </c>
      <c r="H522" s="115" t="inlineStr">
        <is>
          <t>Qualquer ferreiro da cidade do tier (receita de Elite)</t>
        </is>
      </c>
      <c r="I522" s="115" t="inlineStr">
        <is>
          <t>Acessório</t>
        </is>
      </c>
    </row>
    <row r="523">
      <c r="A523" s="115" t="inlineStr">
        <is>
          <t>Tier 12 (Osso de Dragão)</t>
        </is>
      </c>
      <c r="B523" s="115" t="inlineStr">
        <is>
          <t>Fechadura do Baú de Ossos</t>
        </is>
      </c>
      <c r="C523" s="115" t="inlineStr">
        <is>
          <t>1x Fragmento de Baú Armadilhado</t>
        </is>
      </c>
      <c r="D523" s="115" t="inlineStr">
        <is>
          <t>+10% de chance de identificar Mímicos antes do primeiro golpe</t>
        </is>
      </c>
      <c r="E523" s="115" t="n">
        <v>108</v>
      </c>
      <c r="H523" s="115" t="inlineStr">
        <is>
          <t>Qualquer ferreiro da cidade do tier (receita de Elite)</t>
        </is>
      </c>
      <c r="I523" s="115" t="inlineStr">
        <is>
          <t>Acessório</t>
        </is>
      </c>
    </row>
    <row r="524">
      <c r="A524" s="115" t="inlineStr">
        <is>
          <t>Tier 12 (Osso de Dragão)</t>
        </is>
      </c>
      <c r="B524" s="115" t="inlineStr">
        <is>
          <t>Amuleto do Wyrmling Dourado</t>
        </is>
      </c>
      <c r="C524" s="115" t="inlineStr">
        <is>
          <t>1x Escama Dourada de Wyrmling Fugidio</t>
        </is>
      </c>
      <c r="D524" s="115" t="inlineStr">
        <is>
          <t>+5% de chance de loot Raro extra em combates vencidos</t>
        </is>
      </c>
      <c r="E524" s="115" t="n">
        <v>108</v>
      </c>
      <c r="H524" s="115" t="inlineStr">
        <is>
          <t>Qualquer ferreiro da cidade do tier (receita de Elite)</t>
        </is>
      </c>
      <c r="I524" s="115" t="inlineStr">
        <is>
          <t>Acessório</t>
        </is>
      </c>
    </row>
    <row r="525">
      <c r="A525" s="115" t="inlineStr">
        <is>
          <t>Tier 12 (Osso de Dragão)</t>
        </is>
      </c>
      <c r="B525" s="115" t="inlineStr">
        <is>
          <t>Lança Menor da Lealdade</t>
        </is>
      </c>
      <c r="C525" s="115" t="inlineStr">
        <is>
          <t>1x Fragmento de Kessandra</t>
        </is>
      </c>
      <c r="D525" s="115" t="inlineStr">
        <is>
          <t>+15% de resistência a Corrupção (versão de Elite Nomeado)</t>
        </is>
      </c>
      <c r="E525" s="115" t="n">
        <v>115</v>
      </c>
      <c r="H525" s="115" t="inlineStr">
        <is>
          <t>Qualquer ferreiro da cidade do tier (receita de Elite)</t>
        </is>
      </c>
      <c r="I525" s="115" t="inlineStr">
        <is>
          <t>Acessório</t>
        </is>
      </c>
    </row>
    <row r="526">
      <c r="A526" s="115" t="inlineStr">
        <is>
          <t>Tier 13 (Pacto Daédrico)</t>
        </is>
      </c>
      <c r="B526" s="115" t="inlineStr">
        <is>
          <t>Manto do Cultista</t>
        </is>
      </c>
      <c r="C526" s="115" t="inlineStr">
        <is>
          <t>1x Manto Novo de Cultista + 1x Marca Fresca de Cultista Iniciado + 1x Manto de Cultista Daédrico</t>
        </is>
      </c>
      <c r="D526" s="115" t="inlineStr">
        <is>
          <t>+10% de resistência a Corrupção do Culto</t>
        </is>
      </c>
      <c r="E526" s="115" t="n">
        <v>128</v>
      </c>
      <c r="H526" s="115" t="inlineStr">
        <is>
          <t>Qualquer ferreiro da cidade do tier</t>
        </is>
      </c>
      <c r="I526" s="115" t="inlineStr">
        <is>
          <t>Acessório</t>
        </is>
      </c>
    </row>
    <row r="527">
      <c r="A527" s="115" t="inlineStr">
        <is>
          <t>Tier 13 (Pacto Daédrico)</t>
        </is>
      </c>
      <c r="B527" s="115" t="inlineStr">
        <is>
          <t>Pena do Escriba</t>
        </is>
      </c>
      <c r="C527" s="115" t="inlineStr">
        <is>
          <t>1x Pena Rachada de Escriba Iniciante + 1x Registro Roubado do Escriba</t>
        </is>
      </c>
      <c r="D527" s="115" t="inlineStr">
        <is>
          <t>+10% de resistência a efeitos mentais/Debuffs</t>
        </is>
      </c>
      <c r="E527" s="115" t="n">
        <v>128</v>
      </c>
      <c r="H527" s="115" t="inlineStr">
        <is>
          <t>Qualquer ferreiro da cidade do tier</t>
        </is>
      </c>
      <c r="I527" s="115" t="inlineStr">
        <is>
          <t>Acessório</t>
        </is>
      </c>
    </row>
    <row r="528">
      <c r="A528" s="115" t="inlineStr">
        <is>
          <t>Tier 13 (Pacto Daédrico)</t>
        </is>
      </c>
      <c r="B528" s="115" t="inlineStr">
        <is>
          <t>Amuleto do Horror</t>
        </is>
      </c>
      <c r="C528" s="115" t="inlineStr">
        <is>
          <t>1x Resíduo de Horror Muito Fragmentado + 1x Resíduo de Horror Menor + 1x Resíduo de Horror Fragmentado + 1x Resíduo de Horror Sem Rosto</t>
        </is>
      </c>
      <c r="D528" s="115" t="inlineStr">
        <is>
          <t>+15% de resistência a Medo</t>
        </is>
      </c>
      <c r="E528" s="115" t="n">
        <v>134</v>
      </c>
      <c r="H528" s="115" t="inlineStr">
        <is>
          <t>Qualquer ferreiro da cidade do tier (receita rara)</t>
        </is>
      </c>
      <c r="I528" s="115" t="inlineStr">
        <is>
          <t>Acessório</t>
        </is>
      </c>
    </row>
    <row r="529">
      <c r="A529" s="115" t="inlineStr">
        <is>
          <t>Tier 13 (Pacto Daédrico)</t>
        </is>
      </c>
      <c r="B529" s="115" t="inlineStr">
        <is>
          <t>Presa do Devorador de Sacrifícios</t>
        </is>
      </c>
      <c r="C529" s="115" t="inlineStr">
        <is>
          <t>1x Presa Jovem de Devorador de Sacrifícios + 1x Presa de Devorador de Sacrifícios</t>
        </is>
      </c>
      <c r="D529" s="115" t="inlineStr">
        <is>
          <t>+10% de resistência a Necrose</t>
        </is>
      </c>
      <c r="E529" s="115" t="n">
        <v>128</v>
      </c>
      <c r="H529" s="115" t="inlineStr">
        <is>
          <t>Qualquer ferreiro da cidade do tier</t>
        </is>
      </c>
      <c r="I529" s="115" t="inlineStr">
        <is>
          <t>Acessório</t>
        </is>
      </c>
    </row>
    <row r="530">
      <c r="A530" s="115" t="inlineStr">
        <is>
          <t>Tier 13 (Pacto Daédrico)</t>
        </is>
      </c>
      <c r="B530" s="115" t="inlineStr">
        <is>
          <t>Fragmento do Véu</t>
        </is>
      </c>
      <c r="C530" s="115" t="inlineStr">
        <is>
          <t>1x Fragmento Jovem do Véu + 1x Fragmento do Véu</t>
        </is>
      </c>
      <c r="D530" s="115" t="inlineStr">
        <is>
          <t>+10% de resistência a efeitos dimensionais/Controle</t>
        </is>
      </c>
      <c r="E530" s="115" t="n">
        <v>128</v>
      </c>
      <c r="H530" s="115" t="inlineStr">
        <is>
          <t>Qualquer ferreiro da cidade do tier</t>
        </is>
      </c>
      <c r="I530" s="115" t="inlineStr">
        <is>
          <t>Acessório</t>
        </is>
      </c>
    </row>
    <row r="531">
      <c r="A531" s="115" t="inlineStr">
        <is>
          <t>Tier 13 (Pacto Daédrico)</t>
        </is>
      </c>
      <c r="B531" s="115" t="inlineStr">
        <is>
          <t>Amuleto da Sombra Sem Rosto</t>
        </is>
      </c>
      <c r="C531" s="115" t="inlineStr">
        <is>
          <t>1x Resíduo de Sombra Sem Rosto Muito Menor + 1x Resíduo de Sombra Sem Rosto Menor</t>
        </is>
      </c>
      <c r="D531" s="115" t="inlineStr">
        <is>
          <t>+10% de resistência a Controle</t>
        </is>
      </c>
      <c r="E531" s="115" t="n">
        <v>128</v>
      </c>
      <c r="H531" s="115" t="inlineStr">
        <is>
          <t>Qualquer ferreiro da cidade do tier</t>
        </is>
      </c>
      <c r="I531" s="115" t="inlineStr">
        <is>
          <t>Acessório</t>
        </is>
      </c>
    </row>
    <row r="532">
      <c r="A532" s="115" t="inlineStr">
        <is>
          <t>Tier 13 (Pacto Daédrico)</t>
        </is>
      </c>
      <c r="B532" s="115" t="inlineStr">
        <is>
          <t>Amuleto do Aprendiz</t>
        </is>
      </c>
      <c r="C532" s="115" t="inlineStr">
        <is>
          <t>1x Amuleto do Aprendiz Menor + 1x Amuleto do Aprendiz do Pacto</t>
        </is>
      </c>
      <c r="D532" s="115" t="inlineStr">
        <is>
          <t>+10% de resistência a Debuffs</t>
        </is>
      </c>
      <c r="E532" s="115" t="n">
        <v>128</v>
      </c>
      <c r="H532" s="115" t="inlineStr">
        <is>
          <t>Qualquer ferreiro da cidade do tier</t>
        </is>
      </c>
      <c r="I532" s="115" t="inlineStr">
        <is>
          <t>Acessório</t>
        </is>
      </c>
    </row>
    <row r="533">
      <c r="A533" s="115" t="inlineStr">
        <is>
          <t>Tier 13 (Pacto Daédrico)</t>
        </is>
      </c>
      <c r="B533" s="115" t="inlineStr">
        <is>
          <t>Amuleto da Guardiã dos Altares</t>
        </is>
      </c>
      <c r="C533" s="115" t="inlineStr">
        <is>
          <t>1x Fragmento de Guardiã Muito Menor + 1x Núcleo de Guardiã Menor dos Altares</t>
        </is>
      </c>
      <c r="D533" s="115" t="inlineStr">
        <is>
          <t>+2 de Defesa leve</t>
        </is>
      </c>
      <c r="E533" s="115" t="n">
        <v>134</v>
      </c>
      <c r="H533" s="115" t="inlineStr">
        <is>
          <t>Qualquer ferreiro da cidade do tier (receita de Elite)</t>
        </is>
      </c>
      <c r="I533" s="115" t="inlineStr">
        <is>
          <t>Acessório</t>
        </is>
      </c>
    </row>
    <row r="534">
      <c r="A534" s="115" t="inlineStr">
        <is>
          <t>Tier 13 (Pacto Daédrico)</t>
        </is>
      </c>
      <c r="B534" s="115" t="inlineStr">
        <is>
          <t>Eco do Sussurrante</t>
        </is>
      </c>
      <c r="C534" s="115" t="inlineStr">
        <is>
          <t>1x Eco Condicional do Sussurrante + 1x Eco do Terceiro Sussurrante + 1x Eco do Segundo Sussurrante + 1x Eco do Sussurrante do Círculo</t>
        </is>
      </c>
      <c r="D534" s="115" t="inlineStr">
        <is>
          <t>+10% de resistência a Controle mental</t>
        </is>
      </c>
      <c r="E534" s="115" t="n">
        <v>134</v>
      </c>
      <c r="H534" s="115" t="inlineStr">
        <is>
          <t>Qualquer ferreiro da cidade do tier (receita rara)</t>
        </is>
      </c>
      <c r="I534" s="115" t="inlineStr">
        <is>
          <t>Acessório</t>
        </is>
      </c>
    </row>
    <row r="535">
      <c r="A535" s="115" t="inlineStr">
        <is>
          <t>Tier 13 (Pacto Daédrico)</t>
        </is>
      </c>
      <c r="B535" s="115" t="inlineStr">
        <is>
          <t>Fechadura do Altar Falso</t>
        </is>
      </c>
      <c r="C535" s="115" t="inlineStr">
        <is>
          <t>1x Fragmento de Altar Armadilhado</t>
        </is>
      </c>
      <c r="D535" s="115" t="inlineStr">
        <is>
          <t>+10% de chance de identificar Mímicos antes do primeiro golpe</t>
        </is>
      </c>
      <c r="E535" s="115" t="n">
        <v>134</v>
      </c>
      <c r="H535" s="115" t="inlineStr">
        <is>
          <t>Qualquer ferreiro da cidade do tier (receita de Elite)</t>
        </is>
      </c>
      <c r="I535" s="115" t="inlineStr">
        <is>
          <t>Acessório</t>
        </is>
      </c>
    </row>
    <row r="536">
      <c r="A536" s="115" t="inlineStr">
        <is>
          <t>Tier 13 (Pacto Daédrico)</t>
        </is>
      </c>
      <c r="B536" s="115" t="inlineStr">
        <is>
          <t>Amuleto do Horror Fugidio</t>
        </is>
      </c>
      <c r="C536" s="115" t="inlineStr">
        <is>
          <t>1x Resíduo Instável do Horror Fugidio</t>
        </is>
      </c>
      <c r="D536" s="115" t="inlineStr">
        <is>
          <t>+5% de chance de loot Raro extra em combates vencidos</t>
        </is>
      </c>
      <c r="E536" s="115" t="n">
        <v>134</v>
      </c>
      <c r="H536" s="115" t="inlineStr">
        <is>
          <t>Qualquer ferreiro da cidade do tier (receita de Elite)</t>
        </is>
      </c>
      <c r="I536" s="115" t="inlineStr">
        <is>
          <t>Acessório</t>
        </is>
      </c>
    </row>
    <row r="537">
      <c r="A537" s="115" t="inlineStr">
        <is>
          <t>Tier 13 (Pacto Daédrico)</t>
        </is>
      </c>
      <c r="B537" s="115" t="inlineStr">
        <is>
          <t>Relicário Menor do Sangue Final</t>
        </is>
      </c>
      <c r="C537" s="115" t="inlineStr">
        <is>
          <t>1x Fragmento de Sacerdote do Sangue Final Ferido</t>
        </is>
      </c>
      <c r="D537" s="115" t="inlineStr">
        <is>
          <t>+10% de resistência a Sangramento (versão de Elite)</t>
        </is>
      </c>
      <c r="E537" s="115" t="n">
        <v>134</v>
      </c>
      <c r="H537" s="115" t="inlineStr">
        <is>
          <t>Qualquer ferreiro da cidade do tier (receita de Elite)</t>
        </is>
      </c>
      <c r="I537" s="115" t="inlineStr">
        <is>
          <t>Acessório</t>
        </is>
      </c>
    </row>
    <row r="538">
      <c r="A538" s="115" t="inlineStr">
        <is>
          <t>Tier 13 (Pacto Daédrico)</t>
        </is>
      </c>
      <c r="B538" s="115" t="inlineStr">
        <is>
          <t>Punhal Menor do Círculo Quebrado</t>
        </is>
      </c>
      <c r="C538" s="115" t="inlineStr">
        <is>
          <t>1x Fragmento de Irmã Coral</t>
        </is>
      </c>
      <c r="D538" s="115" t="inlineStr">
        <is>
          <t>+15% de resistência a Corrupção (versão de Elite Nomeado)</t>
        </is>
      </c>
      <c r="E538" s="115" t="n">
        <v>142</v>
      </c>
      <c r="H538" s="115" t="inlineStr">
        <is>
          <t>Qualquer ferreiro da cidade do tier (receita de Elite)</t>
        </is>
      </c>
      <c r="I538" s="115" t="inlineStr">
        <is>
          <t>Acessório</t>
        </is>
      </c>
    </row>
    <row r="539">
      <c r="A539" s="115" t="inlineStr">
        <is>
          <t>Tier 14 (Estelar/Cósmico)</t>
        </is>
      </c>
      <c r="B539" s="115" t="inlineStr">
        <is>
          <t>Diário da Testemunha</t>
        </is>
      </c>
      <c r="C539" s="115" t="inlineStr">
        <is>
          <t>1x Diário Mudo da Testemunha</t>
        </is>
      </c>
      <c r="D539" s="115" t="inlineStr">
        <is>
          <t>+15% de resistência a Medo/efeitos mentais</t>
        </is>
      </c>
      <c r="E539" s="115" t="n">
        <v>160</v>
      </c>
      <c r="H539" s="115" t="inlineStr">
        <is>
          <t>Qualquer ferreiro da cidade do tier (receita rara)</t>
        </is>
      </c>
      <c r="I539" s="115" t="inlineStr">
        <is>
          <t>Acessório</t>
        </is>
      </c>
    </row>
    <row r="540">
      <c r="A540" s="115" t="inlineStr">
        <is>
          <t>Tier 14 (Estelar/Cósmico)</t>
        </is>
      </c>
      <c r="B540" s="115" t="inlineStr">
        <is>
          <t>Amuleto do Fragmento Estelar</t>
        </is>
      </c>
      <c r="C540" s="115" t="inlineStr">
        <is>
          <t>1x Poeira de Fragmento Muito Instável + 1x Poeira de Fragmento Consciente + 1x Poeira de Fragmento Instável + 1x Poeira do Fragmento Consciente Menor</t>
        </is>
      </c>
      <c r="D540" s="115" t="inlineStr">
        <is>
          <t>+10% de resistência a efeitos Cósmicos</t>
        </is>
      </c>
      <c r="E540" s="115" t="n">
        <v>154</v>
      </c>
      <c r="H540" s="115" t="inlineStr">
        <is>
          <t>Qualquer ferreiro da cidade do tier</t>
        </is>
      </c>
      <c r="I540" s="115" t="inlineStr">
        <is>
          <t>Acessório</t>
        </is>
      </c>
    </row>
    <row r="541">
      <c r="A541" s="115" t="inlineStr">
        <is>
          <t>Tier 14 (Estelar/Cósmico)</t>
        </is>
      </c>
      <c r="B541" s="115" t="inlineStr">
        <is>
          <t>Manto do Zelote Final</t>
        </is>
      </c>
      <c r="C541" s="115" t="inlineStr">
        <is>
          <t>1x Marca do Despertar Recente + 1x Marca do Despertar + 1x Manto do Zelote Final Menor</t>
        </is>
      </c>
      <c r="D541" s="115" t="inlineStr">
        <is>
          <t>+10% de resistência a Corrupção do Culto</t>
        </is>
      </c>
      <c r="E541" s="115" t="n">
        <v>154</v>
      </c>
      <c r="H541" s="115" t="inlineStr">
        <is>
          <t>Qualquer ferreiro da cidade do tier</t>
        </is>
      </c>
      <c r="I541" s="115" t="inlineStr">
        <is>
          <t>Acessório</t>
        </is>
      </c>
    </row>
    <row r="542">
      <c r="A542" s="115" t="inlineStr">
        <is>
          <t>Tier 14 (Estelar/Cósmico)</t>
        </is>
      </c>
      <c r="B542" s="115" t="inlineStr">
        <is>
          <t>Núcleo da Sentinela da Fenda</t>
        </is>
      </c>
      <c r="C542" s="115" t="inlineStr">
        <is>
          <t>1x Núcleo da Sentinela Recém-Formada + 1x Núcleo da Sentinela Silenciosa</t>
        </is>
      </c>
      <c r="D542" s="115" t="inlineStr">
        <is>
          <t>+2 de Defesa leve</t>
        </is>
      </c>
      <c r="E542" s="115" t="n">
        <v>154</v>
      </c>
      <c r="H542" s="115" t="inlineStr">
        <is>
          <t>Qualquer ferreiro da cidade do tier</t>
        </is>
      </c>
      <c r="I542" s="115" t="inlineStr">
        <is>
          <t>Acessório</t>
        </is>
      </c>
    </row>
    <row r="543">
      <c r="A543" s="115" t="inlineStr">
        <is>
          <t>Tier 14 (Estelar/Cósmico)</t>
        </is>
      </c>
      <c r="B543" s="115" t="inlineStr">
        <is>
          <t>Amuleto do Vigia do Vazio</t>
        </is>
      </c>
      <c r="C543" s="115" t="inlineStr">
        <is>
          <t>1x Fragmento de Vigia Muito Menor + 1x Fragmento de Vigia do Vazio + 1x Fragmento de Vigia Menor</t>
        </is>
      </c>
      <c r="D543" s="115" t="inlineStr">
        <is>
          <t>+10% de resistência a Controle</t>
        </is>
      </c>
      <c r="E543" s="115" t="n">
        <v>154</v>
      </c>
      <c r="H543" s="115" t="inlineStr">
        <is>
          <t>Qualquer ferreiro da cidade do tier</t>
        </is>
      </c>
      <c r="I543" s="115" t="inlineStr">
        <is>
          <t>Acessório</t>
        </is>
      </c>
    </row>
    <row r="544">
      <c r="A544" s="115" t="inlineStr">
        <is>
          <t>Tier 14 (Estelar/Cósmico)</t>
        </is>
      </c>
      <c r="B544" s="115" t="inlineStr">
        <is>
          <t>Amuleto do Devorador de Luz</t>
        </is>
      </c>
      <c r="C544" s="115" t="inlineStr">
        <is>
          <t>1x Resíduo de Devorador de Luz Fraca + 1x Resíduo de Devorador de Luz</t>
        </is>
      </c>
      <c r="D544" s="115" t="inlineStr">
        <is>
          <t>+10% de resistência a Necrose</t>
        </is>
      </c>
      <c r="E544" s="115" t="n">
        <v>154</v>
      </c>
      <c r="H544" s="115" t="inlineStr">
        <is>
          <t>Qualquer ferreiro da cidade do tier</t>
        </is>
      </c>
      <c r="I544" s="115" t="inlineStr">
        <is>
          <t>Acessório</t>
        </is>
      </c>
    </row>
    <row r="545">
      <c r="A545" s="115" t="inlineStr">
        <is>
          <t>Tier 14 (Estelar/Cósmico)</t>
        </is>
      </c>
      <c r="B545" s="115" t="inlineStr">
        <is>
          <t>Fragmento do Aspecto</t>
        </is>
      </c>
      <c r="C545" s="115" t="inlineStr">
        <is>
          <t>1x Fragmento Jovem do Aspecto + 1x Fragmento do Aspecto + 1x Eco Fraco do Aspecto</t>
        </is>
      </c>
      <c r="D545" s="115" t="inlineStr">
        <is>
          <t>+10% de resistência à Corrupção Cósmica</t>
        </is>
      </c>
      <c r="E545" s="115" t="n">
        <v>160</v>
      </c>
      <c r="H545" s="115" t="inlineStr">
        <is>
          <t>Qualquer ferreiro da cidade do tier (receita rara)</t>
        </is>
      </c>
      <c r="I545" s="115" t="inlineStr">
        <is>
          <t>Acessório</t>
        </is>
      </c>
    </row>
    <row r="546">
      <c r="A546" s="115" t="inlineStr">
        <is>
          <t>Tier 14 (Estelar/Cósmico)</t>
        </is>
      </c>
      <c r="B546" s="115" t="inlineStr">
        <is>
          <t>Amuleto do Eco</t>
        </is>
      </c>
      <c r="C546" s="115" t="inlineStr">
        <is>
          <t>1x Resíduo de Terceira Ordem + 1x Resíduo de Segunda Ordem + 1x Resíduo de Eco Distorcido</t>
        </is>
      </c>
      <c r="D546" s="115" t="inlineStr">
        <is>
          <t>+10% de resistência a Enxame/Duplicação</t>
        </is>
      </c>
      <c r="E546" s="115" t="n">
        <v>154</v>
      </c>
      <c r="H546" s="115" t="inlineStr">
        <is>
          <t>Qualquer ferreiro da cidade do tier</t>
        </is>
      </c>
      <c r="I546" s="115" t="inlineStr">
        <is>
          <t>Acessório</t>
        </is>
      </c>
    </row>
    <row r="547">
      <c r="A547" s="115" t="inlineStr">
        <is>
          <t>Tier 14 (Estelar/Cósmico)</t>
        </is>
      </c>
      <c r="B547" s="115" t="inlineStr">
        <is>
          <t>Amuleto da Vanguarda do Vazio</t>
        </is>
      </c>
      <c r="C547" s="115" t="inlineStr">
        <is>
          <t>1x Fragmento de Vanguarda Muito Menor + 1x Fragmento de Vanguarda Menor do Vazio</t>
        </is>
      </c>
      <c r="D547" s="115" t="inlineStr">
        <is>
          <t>+5% de dano em ataques corpo a corpo</t>
        </is>
      </c>
      <c r="E547" s="115" t="n">
        <v>165</v>
      </c>
      <c r="H547" s="115" t="inlineStr">
        <is>
          <t>Qualquer ferreiro da cidade do tier (receita de Elite)</t>
        </is>
      </c>
      <c r="I547" s="115" t="inlineStr">
        <is>
          <t>Acessório</t>
        </is>
      </c>
    </row>
    <row r="548">
      <c r="A548" s="115" t="inlineStr">
        <is>
          <t>Tier 14 (Estelar/Cósmico)</t>
        </is>
      </c>
      <c r="B548" s="115" t="inlineStr">
        <is>
          <t>Fechadura do Portal Menor</t>
        </is>
      </c>
      <c r="C548" s="115" t="inlineStr">
        <is>
          <t>1x Fragmento de Portal Menor Armadilhado</t>
        </is>
      </c>
      <c r="D548" s="115" t="inlineStr">
        <is>
          <t>+10% de chance de identificar Mímicos antes do primeiro golpe</t>
        </is>
      </c>
      <c r="E548" s="115" t="n">
        <v>165</v>
      </c>
      <c r="H548" s="115" t="inlineStr">
        <is>
          <t>Qualquer ferreiro da cidade do tier (receita de Elite)</t>
        </is>
      </c>
      <c r="I548" s="115" t="inlineStr">
        <is>
          <t>Acessório</t>
        </is>
      </c>
    </row>
    <row r="549">
      <c r="A549" s="115" t="inlineStr">
        <is>
          <t>Tier 14 (Estelar/Cósmico)</t>
        </is>
      </c>
      <c r="B549" s="115" t="inlineStr">
        <is>
          <t>Amuleto do Fragmento Fugidio Menor</t>
        </is>
      </c>
      <c r="C549" s="115" t="inlineStr">
        <is>
          <t>1x Poeira Instável do Fragmento Fugidio Menor</t>
        </is>
      </c>
      <c r="D549" s="115" t="inlineStr">
        <is>
          <t>+5% de chance de loot Raro extra em combates vencidos</t>
        </is>
      </c>
      <c r="E549" s="115" t="n">
        <v>165</v>
      </c>
      <c r="H549" s="115" t="inlineStr">
        <is>
          <t>Qualquer ferreiro da cidade do tier (receita de Elite)</t>
        </is>
      </c>
      <c r="I549" s="115" t="inlineStr">
        <is>
          <t>Acessório</t>
        </is>
      </c>
    </row>
    <row r="550">
      <c r="A550" s="115" t="inlineStr">
        <is>
          <t>Tier 14 (Estelar/Cósmico)</t>
        </is>
      </c>
      <c r="B550" s="115" t="inlineStr">
        <is>
          <t>Fechadura do Portal</t>
        </is>
      </c>
      <c r="C550" s="115" t="inlineStr">
        <is>
          <t>1x Fragmento de Portal Armadilhado</t>
        </is>
      </c>
      <c r="D550" s="115" t="inlineStr">
        <is>
          <t>+10% de chance de identificar Mímicos antes do primeiro golpe (versão maior)</t>
        </is>
      </c>
      <c r="E550" s="115" t="n">
        <v>165</v>
      </c>
      <c r="H550" s="115" t="inlineStr">
        <is>
          <t>Qualquer ferreiro da cidade do tier (receita de Elite)</t>
        </is>
      </c>
      <c r="I550" s="115" t="inlineStr">
        <is>
          <t>Acessório</t>
        </is>
      </c>
    </row>
    <row r="551">
      <c r="A551" s="115" t="inlineStr">
        <is>
          <t>Tier 14 (Estelar/Cósmico)</t>
        </is>
      </c>
      <c r="B551" s="115" t="inlineStr">
        <is>
          <t>Amuleto do Vazio Astral</t>
        </is>
      </c>
      <c r="C551" s="115" t="inlineStr">
        <is>
          <t>1x Resíduo Puro do Vazio Astral</t>
        </is>
      </c>
      <c r="D551" s="115" t="inlineStr">
        <is>
          <t>+5% de chance de loot Raro extra em combates vencidos (versão maior)</t>
        </is>
      </c>
      <c r="E551" s="115" t="n">
        <v>165</v>
      </c>
      <c r="H551" s="115" t="inlineStr">
        <is>
          <t>Qualquer ferreiro da cidade do tier (receita de Elite)</t>
        </is>
      </c>
      <c r="I551" s="115" t="inlineStr">
        <is>
          <t>Acessório</t>
        </is>
      </c>
    </row>
    <row r="552">
      <c r="A552" s="115" t="inlineStr">
        <is>
          <t>Tier 14 (Estelar/Cósmico)</t>
        </is>
      </c>
      <c r="B552" s="115" t="inlineStr">
        <is>
          <t>Eco Menor da Última Voz</t>
        </is>
      </c>
      <c r="C552" s="115" t="inlineStr">
        <is>
          <t>1x Fragmento da Última Voz</t>
        </is>
      </c>
      <c r="D552" s="115" t="inlineStr">
        <is>
          <t>+15% de resistência a Corrupção (versão de Elite Nomeado)</t>
        </is>
      </c>
      <c r="E552" s="115" t="n">
        <v>180</v>
      </c>
      <c r="H552" s="115" t="inlineStr">
        <is>
          <t>Qualquer ferreiro da cidade do tier (receita de Elite)</t>
        </is>
      </c>
      <c r="I552" s="115" t="inlineStr">
        <is>
          <t>Acessório</t>
        </is>
      </c>
    </row>
    <row r="553">
      <c r="A553" s="161" t="inlineStr">
        <is>
          <t>Tier 11 (Adamantina)</t>
        </is>
      </c>
      <c r="B553" s="161" t="inlineStr">
        <is>
          <t>Broquel Menor</t>
        </is>
      </c>
      <c r="C553" s="161" t="inlineStr">
        <is>
          <t>Placa Rachada de Adamantina (1x)</t>
        </is>
      </c>
      <c r="D553" s="161" t="inlineStr">
        <is>
          <t>+8% de resistência a dano físico (versão leve, não substitui escudo completo)</t>
        </is>
      </c>
      <c r="E553" s="161">
        <f>ROUND(Economia!$C$24*0.5,0)</f>
        <v/>
      </c>
      <c r="F553" s="161" t="inlineStr"/>
      <c r="G553" s="161" t="inlineStr"/>
      <c r="H553" s="161" t="inlineStr">
        <is>
          <t>Qualquer ferreiro da cidade do tier (receita incomum)</t>
        </is>
      </c>
      <c r="I553" s="161" t="inlineStr">
        <is>
          <t>Acessório</t>
        </is>
      </c>
      <c r="J553" s="115" t="inlineStr">
        <is>
          <t>+8% de resistência a dano físico (versão leve, não substitui escudo completo)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0.xml><?xml version="1.0" encoding="utf-8"?>
<worksheet xmlns="http://schemas.openxmlformats.org/spreadsheetml/2006/main">
  <sheetPr filterMode="0">
    <outlinePr summaryBelow="1" summaryRight="1"/>
    <pageSetUpPr fitToPage="0"/>
  </sheetPr>
  <dimension ref="A1:G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115" min="1" max="1"/>
    <col width="22" customWidth="1" style="115" min="2" max="2"/>
    <col width="20" customWidth="1" style="115" min="3" max="3"/>
    <col width="9" customWidth="1" style="115" min="4" max="4"/>
    <col width="13" customWidth="1" style="115" min="5" max="5"/>
    <col width="38" customWidth="1" style="115" min="6" max="7"/>
  </cols>
  <sheetData>
    <row r="1" ht="15.75" customHeight="1" s="116">
      <c r="A1" s="117" t="inlineStr">
        <is>
          <t>Expedições AFK — você mesmo, em tempo real, enquanto está fora</t>
        </is>
      </c>
    </row>
    <row r="2" ht="15" customHeight="1" s="116">
      <c r="A2" s="115" t="inlineStr">
        <is>
          <t>Duração real por Perigo: 1-2=2h | 3=6h | 4=12h | 5=24h (Mesa de Expedições na Base reduz -25%). Chance = 50% base +20% (atributo recomendado) +10% (Knowledge da região) -5%/Perigo. Falha = volta ferido, precisa Tratamento (Bloco 1) - sem risco de perder personagem.</t>
        </is>
      </c>
    </row>
    <row r="4" ht="15" customHeight="1" s="116">
      <c r="A4" s="118" t="inlineStr">
        <is>
          <t>Local (exemplo)</t>
        </is>
      </c>
      <c r="B4" s="118" t="inlineStr">
        <is>
          <t>Tipo de Expedição</t>
        </is>
      </c>
      <c r="C4" s="118" t="inlineStr">
        <is>
          <t>Atributo Recomendado</t>
        </is>
      </c>
      <c r="D4" s="118" t="inlineStr">
        <is>
          <t>Perigo</t>
        </is>
      </c>
      <c r="E4" s="118" t="inlineStr">
        <is>
          <t>Duração Real</t>
        </is>
      </c>
      <c r="F4" s="118" t="inlineStr">
        <is>
          <t>Recompensa em Sucesso</t>
        </is>
      </c>
      <c r="G4" s="232" t="n"/>
    </row>
    <row r="5" ht="15" customHeight="1" s="116">
      <c r="A5" s="119" t="inlineStr">
        <is>
          <t>Mina de Bronze</t>
        </is>
      </c>
      <c r="B5" s="119" t="inlineStr">
        <is>
          <t>Mineração</t>
        </is>
      </c>
      <c r="C5" s="119" t="inlineStr">
        <is>
          <t>FOR ou SAB (coleta)</t>
        </is>
      </c>
      <c r="D5" s="119" t="n">
        <v>2</v>
      </c>
      <c r="E5" s="119" t="inlineStr">
        <is>
          <t>2h</t>
        </is>
      </c>
      <c r="F5" s="119" t="inlineStr">
        <is>
          <t>2x Minério do tier + 15 Ouro</t>
        </is>
      </c>
      <c r="G5" s="119" t="n"/>
    </row>
    <row r="6" ht="15" customHeight="1" s="116">
      <c r="A6" s="119" t="inlineStr">
        <is>
          <t>Floresta dos Trolls</t>
        </is>
      </c>
      <c r="B6" s="119" t="inlineStr">
        <is>
          <t>Rastreio/Furtividade</t>
        </is>
      </c>
      <c r="C6" s="119" t="inlineStr">
        <is>
          <t>DES ou SAB</t>
        </is>
      </c>
      <c r="D6" s="119" t="n">
        <v>3</v>
      </c>
      <c r="E6" s="119" t="inlineStr">
        <is>
          <t>6h</t>
        </is>
      </c>
      <c r="F6" s="119" t="inlineStr">
        <is>
          <t>Revela 1 Local Secreto + Atenção -10</t>
        </is>
      </c>
      <c r="G6" s="119" t="n"/>
    </row>
    <row r="7" ht="15" customHeight="1" s="116">
      <c r="A7" s="119" t="inlineStr">
        <is>
          <t>Acampamento Orc</t>
        </is>
      </c>
      <c r="B7" s="119" t="inlineStr">
        <is>
          <t>Combate/Caça</t>
        </is>
      </c>
      <c r="C7" s="119" t="inlineStr">
        <is>
          <t>FOR</t>
        </is>
      </c>
      <c r="D7" s="119" t="n">
        <v>4</v>
      </c>
      <c r="E7" s="119" t="inlineStr">
        <is>
          <t>12h</t>
        </is>
      </c>
      <c r="F7" s="119" t="inlineStr">
        <is>
          <t>Troféu de monstro + XP passivo</t>
        </is>
      </c>
      <c r="G7" s="119" t="n"/>
    </row>
    <row r="8" ht="15" customHeight="1" s="116">
      <c r="A8" s="119" t="inlineStr">
        <is>
          <t>Estrada dos Bandidos</t>
        </is>
      </c>
      <c r="B8" s="119" t="inlineStr">
        <is>
          <t>Combate leve/Escolta</t>
        </is>
      </c>
      <c r="C8" s="119" t="inlineStr">
        <is>
          <t>FOR ou DES</t>
        </is>
      </c>
      <c r="D8" s="119" t="n">
        <v>2</v>
      </c>
      <c r="E8" s="119" t="inlineStr">
        <is>
          <t>2h</t>
        </is>
      </c>
      <c r="F8" s="119" t="inlineStr">
        <is>
          <t>1x material comum + 10 Ouro</t>
        </is>
      </c>
      <c r="G8" s="119" t="n"/>
    </row>
    <row r="9" ht="15" customHeight="1" s="116">
      <c r="A9" s="119" t="inlineStr">
        <is>
          <t>Covil do Titã</t>
        </is>
      </c>
      <c r="B9" s="119" t="inlineStr">
        <is>
          <t>Combate pesado</t>
        </is>
      </c>
      <c r="C9" s="119" t="inlineStr">
        <is>
          <t>FOR + CON</t>
        </is>
      </c>
      <c r="D9" s="119" t="n">
        <v>5</v>
      </c>
      <c r="E9" s="119" t="inlineStr">
        <is>
          <t>24h</t>
        </is>
      </c>
      <c r="F9" s="119" t="inlineStr">
        <is>
          <t>Componente Raro do tier + risco de ferimento grave</t>
        </is>
      </c>
      <c r="G9" s="119" t="n"/>
    </row>
    <row r="10" ht="15" customHeight="1" s="116">
      <c r="A10" s="119" t="inlineStr">
        <is>
          <t>Planície das Feras Alfa</t>
        </is>
      </c>
      <c r="B10" s="119" t="inlineStr">
        <is>
          <t>Caça</t>
        </is>
      </c>
      <c r="C10" s="119" t="inlineStr">
        <is>
          <t>DES</t>
        </is>
      </c>
      <c r="D10" s="119" t="n">
        <v>3</v>
      </c>
      <c r="E10" s="119" t="inlineStr">
        <is>
          <t>6h</t>
        </is>
      </c>
      <c r="F10" s="119" t="inlineStr">
        <is>
          <t>Couro de Fera Alfa + XP passivo</t>
        </is>
      </c>
      <c r="G10" s="119" t="n"/>
    </row>
    <row r="11" ht="15" customHeight="1" s="116">
      <c r="A11" s="119" t="inlineStr">
        <is>
          <t>Cavernas Profundas de Mithril</t>
        </is>
      </c>
      <c r="B11" s="119" t="inlineStr">
        <is>
          <t>Exploração arcana</t>
        </is>
      </c>
      <c r="C11" s="119" t="inlineStr">
        <is>
          <t>INT ou SAB</t>
        </is>
      </c>
      <c r="D11" s="119" t="n">
        <v>3</v>
      </c>
      <c r="E11" s="119" t="inlineStr">
        <is>
          <t>6h</t>
        </is>
      </c>
      <c r="F11" s="119" t="inlineStr">
        <is>
          <t>Material raro do tier + descoberta</t>
        </is>
      </c>
      <c r="G11" s="119"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1.xml><?xml version="1.0" encoding="utf-8"?>
<worksheet xmlns="http://schemas.openxmlformats.org/spreadsheetml/2006/main">
  <sheetPr filterMode="0">
    <outlinePr summaryBelow="1" summaryRight="1"/>
    <pageSetUpPr fitToPage="0"/>
  </sheetPr>
  <dimension ref="A1:F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6" customWidth="1" style="115" min="1" max="1"/>
    <col width="36" customWidth="1" style="115" min="2" max="2"/>
    <col width="40" customWidth="1" style="115" min="3" max="3"/>
    <col width="28" customWidth="1" style="115" min="4" max="4"/>
    <col width="30" customWidth="1" style="115" min="5" max="5"/>
    <col width="40" customWidth="1" style="115" min="6" max="6"/>
  </cols>
  <sheetData>
    <row r="1" ht="15.75" customHeight="1" s="116">
      <c r="A1" s="117" t="inlineStr">
        <is>
          <t>Base de Operações — NPCs recrutados, bônus passivo fixo</t>
        </is>
      </c>
    </row>
    <row r="2" ht="15" customHeight="1" s="116">
      <c r="A2" s="115" t="inlineStr">
        <is>
          <t>Condição de recrutamento (regra geral): concluir a quest que libera o NPC + Reputação ≥ +40 com a facção dele. Custo pago 1x (Ouro + Materiais + Tempo, ver Núcleo de Regras item 5).</t>
        </is>
      </c>
    </row>
    <row r="4" ht="15" customHeight="1" s="116">
      <c r="A4" s="118" t="inlineStr">
        <is>
          <t>Função</t>
        </is>
      </c>
      <c r="B4" s="118" t="inlineStr">
        <is>
          <t>Bônus Passivo</t>
        </is>
      </c>
      <c r="C4" s="118" t="inlineStr">
        <is>
          <t>Candidato(s)</t>
        </is>
      </c>
      <c r="D4" s="118" t="inlineStr">
        <is>
          <t>Quest de Liberação</t>
        </is>
      </c>
      <c r="E4" s="118" t="inlineStr">
        <is>
          <t>Facção (Reputação ≥40)</t>
        </is>
      </c>
      <c r="F4" s="118" t="inlineStr">
        <is>
          <t>Custo de Recrutamento</t>
        </is>
      </c>
    </row>
    <row r="5" ht="15" customHeight="1" s="116">
      <c r="A5" s="119" t="inlineStr">
        <is>
          <t>Ferreiro</t>
        </is>
      </c>
      <c r="B5" s="119" t="inlineStr">
        <is>
          <t>Reparo de equipamento custa -30%</t>
        </is>
      </c>
      <c r="C5" s="119" t="inlineStr">
        <is>
          <t>Thrum</t>
        </is>
      </c>
      <c r="D5" s="119" t="inlineStr">
        <is>
          <t>O Núcleo Silencioso (Tier 6)</t>
        </is>
      </c>
      <c r="E5" s="119" t="inlineStr">
        <is>
          <t>Clã Martelo de Vapor</t>
        </is>
      </c>
      <c r="F5" s="119" t="inlineStr">
        <is>
          <t>200 Ouro + 2x Essência do Tier 6 + 1 Descanso Longo</t>
        </is>
      </c>
    </row>
    <row r="6" ht="15" customHeight="1" s="116">
      <c r="A6" s="119" t="inlineStr">
        <is>
          <t>Enfermaria</t>
        </is>
      </c>
      <c r="B6" s="119" t="inlineStr">
        <is>
          <t>Trata 1 condição Grave de graça por Descanso Longo</t>
        </is>
      </c>
      <c r="C6" s="119" t="inlineStr">
        <is>
          <t>A definir (Irmã Valéria ou Mori — depende de quem estiver viva na sua campanha)</t>
        </is>
      </c>
      <c r="D6" s="119" t="inlineStr">
        <is>
          <t>O Voto de Valéria (Tier 4) / sempre disponível (Mori, Tier 14)</t>
        </is>
      </c>
      <c r="E6" s="119" t="inlineStr">
        <is>
          <t>A Fraternidade dos Sem-Voz (redimida) / Guardiões do Último Véu</t>
        </is>
      </c>
      <c r="F6" s="119" t="inlineStr">
        <is>
          <t>150-800 Ouro conforme o tier + tempo</t>
        </is>
      </c>
    </row>
    <row r="7" ht="15" customHeight="1" s="116">
      <c r="A7" s="119" t="inlineStr">
        <is>
          <t>Armazém</t>
        </is>
      </c>
      <c r="B7" s="119" t="inlineStr">
        <is>
          <t>+50% de capacidade de carga (Peso)</t>
        </is>
      </c>
      <c r="C7" s="119" t="inlineStr">
        <is>
          <t>O Recruta Salvo</t>
        </is>
      </c>
      <c r="D7" s="119" t="inlineStr">
        <is>
          <t>O Recruta Marcado (Tier 8)</t>
        </is>
      </c>
      <c r="E7" s="119" t="inlineStr">
        <is>
          <t>—(pessoal, não precisa reputação de facção)</t>
        </is>
      </c>
      <c r="F7" s="119" t="inlineStr">
        <is>
          <t>100 Ouro + 1x material comum</t>
        </is>
      </c>
    </row>
    <row r="8" ht="15" customHeight="1" s="116">
      <c r="A8" s="119" t="inlineStr">
        <is>
          <t>Oficina</t>
        </is>
      </c>
      <c r="B8" s="119" t="inlineStr">
        <is>
          <t>Refinamento custa -20% de material</t>
        </is>
      </c>
      <c r="C8" s="119" t="inlineStr">
        <is>
          <t>Malkor</t>
        </is>
      </c>
      <c r="D8" s="119" t="inlineStr">
        <is>
          <t>O Voto de Malkor (Tier 8)</t>
        </is>
      </c>
      <c r="E8" s="119" t="inlineStr">
        <is>
          <t>Bando de Ferro Órquico (trégua)</t>
        </is>
      </c>
      <c r="F8" s="119" t="inlineStr">
        <is>
          <t>300 Ouro + 2x Essência do Tier 8</t>
        </is>
      </c>
    </row>
    <row r="9" ht="15" customHeight="1" s="116">
      <c r="A9" s="119" t="inlineStr">
        <is>
          <t>Biblioteca</t>
        </is>
      </c>
      <c r="B9" s="119" t="inlineStr">
        <is>
          <t>Knowledge sobe 2x mais rápido</t>
        </is>
      </c>
      <c r="C9" s="119" t="inlineStr">
        <is>
          <t>Silas</t>
        </is>
      </c>
      <c r="D9" s="119" t="inlineStr">
        <is>
          <t>O Luto de Silas (Tier 5)</t>
        </is>
      </c>
      <c r="E9" s="119" t="inlineStr">
        <is>
          <t>—(pessoal)</t>
        </is>
      </c>
      <c r="F9" s="119" t="inlineStr">
        <is>
          <t>250 Ouro + 1x Componente Raro (se disponível) ou Essência do Tier 5</t>
        </is>
      </c>
    </row>
    <row r="10" ht="15" customHeight="1" s="116">
      <c r="A10" s="119" t="inlineStr">
        <is>
          <t>Mesa de Expedições</t>
        </is>
      </c>
      <c r="B10" s="119" t="inlineStr">
        <is>
          <t>-25% na duração real de toda Expedição</t>
        </is>
      </c>
      <c r="C10" s="119" t="inlineStr">
        <is>
          <t>Elowen ou Nadia</t>
        </is>
      </c>
      <c r="D10" s="119" t="inlineStr">
        <is>
          <t>Sempre disponíveis (Tier 12 / Tier 9)</t>
        </is>
      </c>
      <c r="E10" s="119" t="inlineStr">
        <is>
          <t>Ordem dos Cavaleiros do Dragão / Navegadores do Abismo</t>
        </is>
      </c>
      <c r="F10" s="119" t="inlineStr">
        <is>
          <t>400 Ouro + tempo (1 Descanso Longo)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2.xml><?xml version="1.0" encoding="utf-8"?>
<worksheet xmlns="http://schemas.openxmlformats.org/spreadsheetml/2006/main">
  <sheetPr filterMode="0">
    <outlinePr summaryBelow="1" summaryRight="1"/>
    <pageSetUpPr fitToPage="0"/>
  </sheetPr>
  <dimension ref="A1:C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115" min="1" max="1"/>
    <col width="45" customWidth="1" style="115" min="2" max="2"/>
    <col width="38" customWidth="1" style="115" min="3" max="3"/>
  </cols>
  <sheetData>
    <row r="1" ht="15.75" customHeight="1" s="116">
      <c r="A1" s="117" t="inlineStr">
        <is>
          <t>Títulos — feitos que o personagem exibe (colecionável, alguns dão bônus pequeno)</t>
        </is>
      </c>
    </row>
    <row r="3" ht="15" customHeight="1" s="116">
      <c r="A3" s="118" t="inlineStr">
        <is>
          <t>Título</t>
        </is>
      </c>
      <c r="B3" s="118" t="inlineStr">
        <is>
          <t>Condição</t>
        </is>
      </c>
      <c r="C3" s="118" t="inlineStr">
        <is>
          <t>Bônus (se houver)</t>
        </is>
      </c>
    </row>
    <row r="4" ht="15" customHeight="1" s="116">
      <c r="A4" s="119" t="inlineStr">
        <is>
          <t>Mestre da Espada / Machado / etc (7 versões)</t>
        </is>
      </c>
      <c r="B4" s="119" t="inlineStr">
        <is>
          <t>Alcançar 100 de Proficiência naquele Tipo (Bloco Especialização)</t>
        </is>
      </c>
      <c r="C4" s="119" t="inlineStr">
        <is>
          <t>Nenhum extra — a mecânica de Grão-Mestre já é o bônus</t>
        </is>
      </c>
    </row>
    <row r="5" ht="15" customHeight="1" s="116">
      <c r="A5" s="119" t="inlineStr">
        <is>
          <t>Caçador de Gigantes</t>
        </is>
      </c>
      <c r="B5" s="119" t="inlineStr">
        <is>
          <t>Derrotar 10 criaturas Boss (de qualquer tier)</t>
        </is>
      </c>
      <c r="C5" s="119" t="inlineStr">
        <is>
          <t>+5% de dano contra Boss</t>
        </is>
      </c>
    </row>
    <row r="6" ht="15" customHeight="1" s="116">
      <c r="A6" s="119" t="inlineStr">
        <is>
          <t>Amigo dos Ferreiros</t>
        </is>
      </c>
      <c r="B6" s="119" t="inlineStr">
        <is>
          <t>Reputação +80 com qualquer facção de Forja</t>
        </is>
      </c>
      <c r="C6" s="119" t="inlineStr">
        <is>
          <t>Desconto extra de 5% em qualquer ferreiro</t>
        </is>
      </c>
    </row>
    <row r="7" ht="15" customHeight="1" s="116">
      <c r="A7" s="119" t="inlineStr">
        <is>
          <t>Purificado</t>
        </is>
      </c>
      <c r="B7" s="119" t="inlineStr">
        <is>
          <t>Completar a Penitência do Bastião (Corrupção e Sanidade)</t>
        </is>
      </c>
      <c r="C7" s="119" t="inlineStr">
        <is>
          <t>+2 em testes de Vontade contra a Mão</t>
        </is>
      </c>
    </row>
    <row r="8" ht="15" customHeight="1" s="116">
      <c r="A8" s="119" t="inlineStr">
        <is>
          <t>Sobrevivente do Vazio</t>
        </is>
      </c>
      <c r="B8" s="119" t="inlineStr">
        <is>
          <t>Completar o Tier 14 sem nenhum personagem "morto" (sem substituição)</t>
        </is>
      </c>
      <c r="C8" s="119" t="inlineStr">
        <is>
          <t>Colecionável — sem bônus mecânico, é prestígio puro</t>
        </is>
      </c>
    </row>
    <row r="9" ht="15" customHeight="1" s="116">
      <c r="A9" s="119" t="inlineStr">
        <is>
          <t>Coletor Incansável</t>
        </is>
      </c>
      <c r="B9" s="119" t="inlineStr">
        <is>
          <t>Identificar 20 materiais/itens desconhecidos (Descoberta)</t>
        </is>
      </c>
      <c r="C9" s="119" t="inlineStr">
        <is>
          <t>Nenhum — desbloqueia entrada especial no Codex</t>
        </is>
      </c>
    </row>
    <row r="10" ht="15" customHeight="1" s="116">
      <c r="A10" s="119" t="inlineStr">
        <is>
          <t>Diplomata</t>
        </is>
      </c>
      <c r="B10" s="119" t="inlineStr">
        <is>
          <t>Chegar a Íntimo (Relação com NPC) com 3 NPCs diferentes</t>
        </is>
      </c>
      <c r="C10" s="119" t="inlineStr">
        <is>
          <t>Preço -5% em todo NPC com quem você tem relação Aliado+</t>
        </is>
      </c>
    </row>
    <row r="11">
      <c r="A11" s="161" t="inlineStr">
        <is>
          <t>O Que Perdoou o Traidor</t>
        </is>
      </c>
      <c r="B11" s="161" t="inlineStr">
        <is>
          <t>Poupar Garr'th em vez de matá-lo (Tier 1)</t>
        </is>
      </c>
      <c r="C11" s="161" t="inlineStr">
        <is>
          <t>+10% de Reputação ganha com qualquer facção</t>
        </is>
      </c>
    </row>
    <row r="12">
      <c r="A12" s="161" t="inlineStr">
        <is>
          <t>Guardião do Posto Esquecido</t>
        </is>
      </c>
      <c r="B12" s="161" t="inlineStr">
        <is>
          <t>Aceitar a rendição do Capitão Vessel (Tier 3)</t>
        </is>
      </c>
      <c r="C12" s="161" t="inlineStr">
        <is>
          <t>+2 de Defesa ao lutar sozinho, sem aliados</t>
        </is>
      </c>
    </row>
    <row r="13">
      <c r="A13" s="161" t="inlineStr">
        <is>
          <t>O Que Prometeu e Cumpriu</t>
        </is>
      </c>
      <c r="B13" s="161" t="inlineStr">
        <is>
          <t>Prometer não tocar o Sino ao Irmão Guardião e cumprir (Tier 4)</t>
        </is>
      </c>
      <c r="C13" s="161" t="inlineStr">
        <is>
          <t>Acesso a diálogo exclusivo com NPCs da Fraternidade</t>
        </is>
      </c>
    </row>
    <row r="14">
      <c r="A14" s="161" t="inlineStr">
        <is>
          <t>Aprovado pela Última Sentinela</t>
        </is>
      </c>
      <c r="B14" s="161" t="inlineStr">
        <is>
          <t>Responder corretamente à pergunta da Vigília Élfica (Tier 5)</t>
        </is>
      </c>
      <c r="C14" s="161" t="inlineStr">
        <is>
          <t>+8% de chance de Crítico contra Elite/Boss</t>
        </is>
      </c>
    </row>
    <row r="15">
      <c r="A15" s="161" t="inlineStr">
        <is>
          <t>O Que Desligou em Paz</t>
        </is>
      </c>
      <c r="B15" s="161" t="inlineStr">
        <is>
          <t>Deixar Grondar se autodesligar (Tier 6)</t>
        </is>
      </c>
      <c r="C15" s="161" t="inlineStr">
        <is>
          <t>Desconto permanente em qualquer Engenheiro/Ferreiro</t>
        </is>
      </c>
    </row>
    <row r="16">
      <c r="A16" s="161" t="inlineStr">
        <is>
          <t>Testemunha do Último Sermão</t>
        </is>
      </c>
      <c r="B16" s="161" t="inlineStr">
        <is>
          <t>Poupar Irmão Kaelen, encerrando sua dúvida em paz (Tier 7)</t>
        </is>
      </c>
      <c r="C16" s="161" t="inlineStr">
        <is>
          <t>+15% de resistência a Corrupção</t>
        </is>
      </c>
    </row>
    <row r="17">
      <c r="A17" s="161" t="inlineStr">
        <is>
          <t>O Que Ouviu a Última Canção</t>
        </is>
      </c>
      <c r="B17" s="161" t="inlineStr">
        <is>
          <t>Não interromper a canção da Imediata Sereia (Tier 9)</t>
        </is>
      </c>
      <c r="C17" s="161" t="inlineStr">
        <is>
          <t>Revela 1 Local Secreto extra por sessão</t>
        </is>
      </c>
    </row>
    <row r="18">
      <c r="A18" s="161" t="inlineStr">
        <is>
          <t>Guardião do Túmulo Vazio</t>
        </is>
      </c>
      <c r="B18" s="161" t="inlineStr">
        <is>
          <t>Convencer Sir Aldric com a prova do túmulo vazio (Tier 11)</t>
        </is>
      </c>
      <c r="C18" s="161" t="inlineStr">
        <is>
          <t>+2 de Defesa contra Constructos e Golems</t>
        </is>
      </c>
    </row>
    <row r="19">
      <c r="A19" s="161" t="inlineStr">
        <is>
          <t>Confidente do Arquivista Caído</t>
        </is>
      </c>
      <c r="B19" s="161" t="inlineStr">
        <is>
          <t>Poupar Irmã Coral e receber o segredo dela (Tier 13)</t>
        </is>
      </c>
      <c r="C19" s="161" t="inlineStr">
        <is>
          <t>Revela 1 pista sobre o Arquivista Traidor</t>
        </is>
      </c>
    </row>
    <row r="20">
      <c r="A20" s="161" t="inlineStr">
        <is>
          <t>Quem Libertou a Última Voz</t>
        </is>
      </c>
      <c r="B20" s="161" t="inlineStr">
        <is>
          <t>Poupar a Última Voz no confronto final (Tier 14)</t>
        </is>
      </c>
      <c r="C20" s="161" t="inlineStr">
        <is>
          <t>Título mais raro do jogo — sem bônus mecânico, só reconhecimento</t>
        </is>
      </c>
    </row>
    <row r="21">
      <c r="A21" s="161" t="inlineStr">
        <is>
          <t>Quem Tocou o Primeiro Sangue</t>
        </is>
      </c>
      <c r="B21" s="161" t="inlineStr">
        <is>
          <t>Derrotar O Fragmento que Ainda Sangra (Monstro Raro, Tier 1)</t>
        </is>
      </c>
      <c r="C21" s="161" t="inlineStr">
        <is>
          <t>Permite Refinamento +3 sem Componente Raro em qualquer arma de Tier 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3.xml><?xml version="1.0" encoding="utf-8"?>
<worksheet xmlns="http://schemas.openxmlformats.org/spreadsheetml/2006/main">
  <sheetPr filterMode="0">
    <outlinePr summaryBelow="1" summaryRight="1"/>
    <pageSetUpPr fitToPage="0"/>
  </sheetPr>
  <dimension ref="A1:F3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115" min="1" max="1"/>
    <col width="8" customWidth="1" style="115" min="2" max="2"/>
    <col width="30" customWidth="1" style="115" min="3" max="3"/>
    <col width="55" customWidth="1" style="115" min="4" max="4"/>
    <col width="30" customWidth="1" style="115" min="5" max="5"/>
  </cols>
  <sheetData>
    <row r="1" ht="15.75" customHeight="1" s="116">
      <c r="A1" s="117" t="inlineStr">
        <is>
          <t>Talentos de Classe — os 32, com efeito real</t>
        </is>
      </c>
    </row>
    <row r="2" ht="15" customHeight="1" s="116">
      <c r="A2" s="115" t="inlineStr">
        <is>
          <t>Fica disponível no nível indicado. Só é aprendido de verdade treinando com o Mestre da classe (Ouro + Tempo). Sem o Mestre: dobro de Ouro e Tempo, sozinho.</t>
        </is>
      </c>
    </row>
    <row r="4" ht="15" customHeight="1" s="116">
      <c r="A4" s="118" t="inlineStr">
        <is>
          <t>Classe</t>
        </is>
      </c>
      <c r="B4" s="118" t="inlineStr">
        <is>
          <t>Nível</t>
        </is>
      </c>
      <c r="C4" s="118" t="inlineStr">
        <is>
          <t>Talento</t>
        </is>
      </c>
      <c r="D4" s="118" t="inlineStr">
        <is>
          <t>Efeito Real</t>
        </is>
      </c>
      <c r="E4" s="118" t="inlineStr">
        <is>
          <t>Mestre de Treino</t>
        </is>
      </c>
      <c r="F4" s="118" t="inlineStr">
        <is>
          <t>Localização do Mestre</t>
        </is>
      </c>
    </row>
    <row r="5" ht="15" customHeight="1" s="116">
      <c r="A5" s="119" t="inlineStr">
        <is>
          <t>Guerreiro da Forja</t>
        </is>
      </c>
      <c r="B5" s="119" t="n">
        <v>15</v>
      </c>
      <c r="C5" s="119" t="inlineStr">
        <is>
          <t>Muralha Inabalável</t>
        </is>
      </c>
      <c r="D5" s="119" t="inlineStr">
        <is>
          <t>+3 de Defesa quando estiver abaixo de 30% de HP</t>
        </is>
      </c>
      <c r="E5" s="119" t="inlineStr">
        <is>
          <t>Capitão Vane</t>
        </is>
      </c>
      <c r="F5" s="119" t="inlineStr">
        <is>
          <t>Valória</t>
        </is>
      </c>
    </row>
    <row r="6" ht="15" customHeight="1" s="116">
      <c r="A6" s="119" t="inlineStr">
        <is>
          <t>Guerreiro da Forja</t>
        </is>
      </c>
      <c r="B6" s="119" t="n">
        <v>30</v>
      </c>
      <c r="C6" s="119" t="inlineStr">
        <is>
          <t>Golpe Sísmico</t>
        </is>
      </c>
      <c r="D6" s="119" t="inlineStr">
        <is>
          <t>Machado e Maça ganham 30% de chance de Atordoar ao acertar</t>
        </is>
      </c>
      <c r="E6" s="119" t="inlineStr">
        <is>
          <t>Capitão Vane</t>
        </is>
      </c>
      <c r="F6" s="119" t="inlineStr">
        <is>
          <t>Valória</t>
        </is>
      </c>
    </row>
    <row r="7" ht="15" customHeight="1" s="116">
      <c r="A7" s="119" t="inlineStr">
        <is>
          <t>Guerreiro da Forja</t>
        </is>
      </c>
      <c r="B7" s="119" t="n">
        <v>50</v>
      </c>
      <c r="C7" s="119" t="inlineStr">
        <is>
          <t>Fenda Rompe-Couraça</t>
        </is>
      </c>
      <c r="D7" s="119" t="inlineStr">
        <is>
          <t>Ignora 3 pontos de Defesa do alvo com qualquer arma pesada (Machado/Maça)</t>
        </is>
      </c>
      <c r="E7" s="119" t="inlineStr">
        <is>
          <t>Capitão Vane</t>
        </is>
      </c>
      <c r="F7" s="119" t="inlineStr">
        <is>
          <t>Valória</t>
        </is>
      </c>
    </row>
    <row r="8" ht="15" customHeight="1" s="116">
      <c r="A8" s="119" t="inlineStr">
        <is>
          <t>Guerreiro da Forja</t>
        </is>
      </c>
      <c r="B8" s="119" t="n">
        <v>65</v>
      </c>
      <c r="C8" s="119" t="inlineStr">
        <is>
          <t>Avatar de Adamantina</t>
        </is>
      </c>
      <c r="D8" s="119" t="inlineStr">
        <is>
          <t>1x por combate, reduz todo dano recebido pela metade por 2 turnos</t>
        </is>
      </c>
      <c r="E8" s="119" t="inlineStr">
        <is>
          <t>Capitão Vane</t>
        </is>
      </c>
      <c r="F8" s="119" t="inlineStr">
        <is>
          <t>Valória</t>
        </is>
      </c>
    </row>
    <row r="9" ht="15" customHeight="1" s="116">
      <c r="A9" s="119" t="inlineStr">
        <is>
          <t>Inquisidor de Prata</t>
        </is>
      </c>
      <c r="B9" s="119" t="n">
        <v>15</v>
      </c>
      <c r="C9" s="119" t="inlineStr">
        <is>
          <t>Lança de Purificação</t>
        </is>
      </c>
      <c r="D9" s="119" t="inlineStr">
        <is>
          <t>+2 de dano e Ignora Resistência Mágica contra mortos-vivos e cultistas</t>
        </is>
      </c>
      <c r="E9" s="119" t="inlineStr">
        <is>
          <t>Irmã Valéria dos Sem-Voz</t>
        </is>
      </c>
      <c r="F9" s="119" t="inlineStr">
        <is>
          <t>Cinzenta</t>
        </is>
      </c>
    </row>
    <row r="10" ht="15" customHeight="1" s="116">
      <c r="A10" s="119" t="inlineStr">
        <is>
          <t>Inquisidor de Prata</t>
        </is>
      </c>
      <c r="B10" s="119" t="n">
        <v>30</v>
      </c>
      <c r="C10" s="119" t="inlineStr">
        <is>
          <t>Julgamento Sagrado</t>
        </is>
      </c>
      <c r="D10" s="119" t="inlineStr">
        <is>
          <t>Golpe crítico contra morto-vivo cura o grupo em 10% do dano causado</t>
        </is>
      </c>
      <c r="E10" s="119" t="inlineStr">
        <is>
          <t>Irmã Valéria dos Sem-Voz</t>
        </is>
      </c>
      <c r="F10" s="119" t="inlineStr">
        <is>
          <t>Cinzenta</t>
        </is>
      </c>
    </row>
    <row r="11" ht="15" customHeight="1" s="116">
      <c r="A11" s="119" t="inlineStr">
        <is>
          <t>Inquisidor de Prata</t>
        </is>
      </c>
      <c r="B11" s="119" t="n">
        <v>50</v>
      </c>
      <c r="C11" s="119" t="inlineStr">
        <is>
          <t>Aurora da Restauração Plena</t>
        </is>
      </c>
      <c r="D11" s="119" t="inlineStr">
        <is>
          <t>1x por Descanso Longo, cura 30% do HP máximo do grupo instantaneamente</t>
        </is>
      </c>
      <c r="E11" s="119" t="inlineStr">
        <is>
          <t>Irmã Valéria dos Sem-Voz</t>
        </is>
      </c>
      <c r="F11" s="119" t="inlineStr">
        <is>
          <t>Cinzenta</t>
        </is>
      </c>
    </row>
    <row r="12" ht="15" customHeight="1" s="116">
      <c r="A12" s="119" t="inlineStr">
        <is>
          <t>Inquisidor de Prata</t>
        </is>
      </c>
      <c r="B12" s="119" t="n">
        <v>65</v>
      </c>
      <c r="C12" s="119" t="inlineStr">
        <is>
          <t>Presença do Sol Eterno</t>
        </is>
      </c>
      <c r="D12" s="119" t="inlineStr">
        <is>
          <t>Aliados próximos ganham +5% de chance de acerto contra mortos-vivos</t>
        </is>
      </c>
      <c r="E12" s="119" t="inlineStr">
        <is>
          <t>Irmã Valéria dos Sem-Voz</t>
        </is>
      </c>
      <c r="F12" s="119" t="inlineStr">
        <is>
          <t>Cinzenta</t>
        </is>
      </c>
    </row>
    <row r="13" ht="15" customHeight="1" s="116">
      <c r="A13" s="119" t="inlineStr">
        <is>
          <t>Conjurador de Sangue (Hemomante)</t>
        </is>
      </c>
      <c r="B13" s="119" t="n">
        <v>15</v>
      </c>
      <c r="C13" s="119" t="inlineStr">
        <is>
          <t>Lâmina da Carne Corrompida</t>
        </is>
      </c>
      <c r="D13" s="119" t="inlineStr">
        <is>
          <t>A arma equipada ganha Rouba Vida (15%) permanentemente</t>
        </is>
      </c>
      <c r="E13" s="119" t="inlineStr">
        <is>
          <t>O Penitente dos Dez Dedos</t>
        </is>
      </c>
      <c r="F13" s="119" t="inlineStr">
        <is>
          <t>O Limiar</t>
        </is>
      </c>
    </row>
    <row r="14" ht="15" customHeight="1" s="116">
      <c r="A14" s="119" t="inlineStr">
        <is>
          <t>Conjurador de Sangue (Hemomante)</t>
        </is>
      </c>
      <c r="B14" s="119" t="n">
        <v>30</v>
      </c>
      <c r="C14" s="119" t="inlineStr">
        <is>
          <t>Consumir Vida</t>
        </is>
      </c>
      <c r="D14" s="119" t="inlineStr">
        <is>
          <t>Destrava esse feitiço (normalmente nível 30 de conjurador) de graça, com -20% de custo de Mana</t>
        </is>
      </c>
      <c r="E14" s="119" t="inlineStr">
        <is>
          <t>O Penitente dos Dez Dedos</t>
        </is>
      </c>
      <c r="F14" s="119" t="inlineStr">
        <is>
          <t>O Limiar</t>
        </is>
      </c>
    </row>
    <row r="15" ht="15" customHeight="1" s="116">
      <c r="A15" s="119" t="inlineStr">
        <is>
          <t>Conjurador de Sangue (Hemomante)</t>
        </is>
      </c>
      <c r="B15" s="119" t="n">
        <v>50</v>
      </c>
      <c r="C15" s="119" t="inlineStr">
        <is>
          <t>Eclipse da Aniquilação</t>
        </is>
      </c>
      <c r="D15" s="119" t="inlineStr">
        <is>
          <t>1x por combate, converte 20% do próprio HP restante em dano bônus no próximo golpe</t>
        </is>
      </c>
      <c r="E15" s="119" t="inlineStr">
        <is>
          <t>O Penitente dos Dez Dedos</t>
        </is>
      </c>
      <c r="F15" s="119" t="inlineStr">
        <is>
          <t>O Limiar</t>
        </is>
      </c>
    </row>
    <row r="16" ht="15" customHeight="1" s="116">
      <c r="A16" s="119" t="inlineStr">
        <is>
          <t>Conjurador de Sangue (Hemomante)</t>
        </is>
      </c>
      <c r="B16" s="119" t="n">
        <v>55</v>
      </c>
      <c r="C16" s="119" t="inlineStr">
        <is>
          <t>Sacrifício dos Dez Dedos</t>
        </is>
      </c>
      <c r="D16" s="119" t="inlineStr">
        <is>
          <t>1x por Ato, ao cair a 0 HP, revive com HP cheio sacrificando 30% do HP máximo</t>
        </is>
      </c>
      <c r="E16" s="119" t="inlineStr">
        <is>
          <t>O Penitente dos Dez Dedos</t>
        </is>
      </c>
      <c r="F16" s="119" t="inlineStr">
        <is>
          <t>O Limiar</t>
        </is>
      </c>
    </row>
    <row r="17" ht="15" customHeight="1" s="116">
      <c r="A17" s="119" t="inlineStr">
        <is>
          <t>Batedor dos Ecos</t>
        </is>
      </c>
      <c r="B17" s="119" t="n">
        <v>15</v>
      </c>
      <c r="C17" s="119" t="inlineStr">
        <is>
          <t>Nevasca Perfurante</t>
        </is>
      </c>
      <c r="D17" s="119" t="inlineStr">
        <is>
          <t>Arco equipado ganha Queimadura OU Lentidão à escolha, permanentemente</t>
        </is>
      </c>
      <c r="E17" s="119" t="inlineStr">
        <is>
          <t>Silas o Rastreador Noturno</t>
        </is>
      </c>
      <c r="F17" s="119" t="inlineStr">
        <is>
          <t>Ecoril</t>
        </is>
      </c>
    </row>
    <row r="18" ht="15" customHeight="1" s="116">
      <c r="A18" s="119" t="inlineStr">
        <is>
          <t>Batedor dos Ecos</t>
        </is>
      </c>
      <c r="B18" s="119" t="n">
        <v>20</v>
      </c>
      <c r="C18" s="119" t="inlineStr">
        <is>
          <t>Dança das Lâminas</t>
        </is>
      </c>
      <c r="D18" s="119" t="inlineStr">
        <is>
          <t>+1 chance de golpe extra com Adaga (soma com a mecânica já existente)</t>
        </is>
      </c>
      <c r="E18" s="119" t="inlineStr">
        <is>
          <t>Silas o Rastreador Noturno</t>
        </is>
      </c>
      <c r="F18" s="119" t="inlineStr">
        <is>
          <t>Ecoril</t>
        </is>
      </c>
    </row>
    <row r="19" ht="15" customHeight="1" s="116">
      <c r="A19" s="119" t="inlineStr">
        <is>
          <t>Batedor dos Ecos</t>
        </is>
      </c>
      <c r="B19" s="119" t="n">
        <v>30</v>
      </c>
      <c r="C19" s="119" t="inlineStr">
        <is>
          <t>Flecha Translúcida</t>
        </is>
      </c>
      <c r="D19" s="119" t="inlineStr">
        <is>
          <t>1x por combate, um tiro de Arco ignora toda a Defesa do alvo</t>
        </is>
      </c>
      <c r="E19" s="119" t="inlineStr">
        <is>
          <t>Silas o Rastreador Noturno</t>
        </is>
      </c>
      <c r="F19" s="119" t="inlineStr">
        <is>
          <t>Ecoril</t>
        </is>
      </c>
    </row>
    <row r="20" ht="15" customHeight="1" s="116">
      <c r="A20" s="119" t="inlineStr">
        <is>
          <t>Batedor dos Ecos</t>
        </is>
      </c>
      <c r="B20" s="119" t="n">
        <v>50</v>
      </c>
      <c r="C20" s="119" t="inlineStr">
        <is>
          <t>Disparo Astral Dimensional</t>
        </is>
      </c>
      <c r="D20" s="119" t="inlineStr">
        <is>
          <t>Ataques à distância nunca sofrem penalidade de cobertura ou distância</t>
        </is>
      </c>
      <c r="E20" s="119" t="inlineStr">
        <is>
          <t>Silas o Rastreador Noturno</t>
        </is>
      </c>
      <c r="F20" s="119" t="inlineStr">
        <is>
          <t>Ecoril</t>
        </is>
      </c>
    </row>
    <row r="21" ht="15" customHeight="1" s="116">
      <c r="A21" s="119" t="inlineStr">
        <is>
          <t>Ladino das Sombras</t>
        </is>
      </c>
      <c r="B21" s="119" t="n">
        <v>15</v>
      </c>
      <c r="C21" s="119" t="inlineStr">
        <is>
          <t>Manto da Não-Existência</t>
        </is>
      </c>
      <c r="D21" s="119" t="inlineStr">
        <is>
          <t>+20% de chance em testes de Furtividade</t>
        </is>
      </c>
      <c r="E21" s="119" t="inlineStr">
        <is>
          <t>Nenhum — aprende sozinho, por prática</t>
        </is>
      </c>
      <c r="F21" s="119" t="inlineStr">
        <is>
          <t>—</t>
        </is>
      </c>
    </row>
    <row r="22" ht="15" customHeight="1" s="116">
      <c r="A22" s="119" t="inlineStr">
        <is>
          <t>Ladino das Sombras</t>
        </is>
      </c>
      <c r="B22" s="119" t="n">
        <v>30</v>
      </c>
      <c r="C22" s="119" t="inlineStr">
        <is>
          <t>Toque que Silencia</t>
        </is>
      </c>
      <c r="D22" s="119" t="inlineStr">
        <is>
          <t>Ataques de emboscada aplicam Lentidão/Imobilização automaticamente</t>
        </is>
      </c>
      <c r="E22" s="119" t="inlineStr">
        <is>
          <t>Nenhum — aprende sozinho, por prática</t>
        </is>
      </c>
      <c r="F22" s="119" t="inlineStr">
        <is>
          <t>—</t>
        </is>
      </c>
    </row>
    <row r="23" ht="15" customHeight="1" s="116">
      <c r="A23" s="119" t="inlineStr">
        <is>
          <t>Ladino das Sombras</t>
        </is>
      </c>
      <c r="B23" s="119" t="n">
        <v>50</v>
      </c>
      <c r="C23" s="119" t="inlineStr">
        <is>
          <t>Sentença da Lâmina Noturna</t>
        </is>
      </c>
      <c r="D23" s="119" t="inlineStr">
        <is>
          <t>Crítico (natural 20) contra alvo desprevenido causa dano TRIPLO em vez de dobro</t>
        </is>
      </c>
      <c r="E23" s="119" t="inlineStr">
        <is>
          <t>Nenhum — aprende sozinho, por prática</t>
        </is>
      </c>
      <c r="F23" s="119" t="inlineStr">
        <is>
          <t>—</t>
        </is>
      </c>
    </row>
    <row r="24" ht="15" customHeight="1" s="116">
      <c r="A24" s="119" t="inlineStr">
        <is>
          <t>Ladino das Sombras</t>
        </is>
      </c>
      <c r="B24" s="119" t="n">
        <v>65</v>
      </c>
      <c r="C24" s="119" t="inlineStr">
        <is>
          <t>Passo do Vazio</t>
        </is>
      </c>
      <c r="D24" s="119" t="inlineStr">
        <is>
          <t>1x por combate, fica intocável (Defesa infinita) por 1 turno</t>
        </is>
      </c>
      <c r="E24" s="119" t="inlineStr">
        <is>
          <t>Nenhum — aprende sozinho, por prática</t>
        </is>
      </c>
      <c r="F24" s="119" t="inlineStr">
        <is>
          <t>—</t>
        </is>
      </c>
    </row>
    <row r="25" ht="15" customHeight="1" s="116">
      <c r="A25" s="119" t="inlineStr">
        <is>
          <t>Mago Elemental</t>
        </is>
      </c>
      <c r="B25" s="119" t="n">
        <v>15</v>
      </c>
      <c r="C25" s="119" t="inlineStr">
        <is>
          <t>Arco Voltaico Encadeado</t>
        </is>
      </c>
      <c r="D25" s="119" t="inlineStr">
        <is>
          <t>Destrava esse feitiço de graça, mesmo antes do nível padrão de conjurador</t>
        </is>
      </c>
      <c r="E25" s="119" t="inlineStr">
        <is>
          <t>Mestre Oron o Arquivista</t>
        </is>
      </c>
      <c r="F25" s="119" t="inlineStr">
        <is>
          <t>Ecoril</t>
        </is>
      </c>
    </row>
    <row r="26" ht="15" customHeight="1" s="116">
      <c r="A26" s="119" t="inlineStr">
        <is>
          <t>Mago Elemental</t>
        </is>
      </c>
      <c r="B26" s="119" t="n">
        <v>30</v>
      </c>
      <c r="C26" s="119" t="inlineStr">
        <is>
          <t>Explosão Vulcânica</t>
        </is>
      </c>
      <c r="D26" s="119" t="inlineStr">
        <is>
          <t>Destrava esse feitiço Avançado 4 níveis antes do normal, com -20% de custo de Mana</t>
        </is>
      </c>
      <c r="E26" s="119" t="inlineStr">
        <is>
          <t>Mestre Oron o Arquivista</t>
        </is>
      </c>
      <c r="F26" s="119" t="inlineStr">
        <is>
          <t>Ecoril</t>
        </is>
      </c>
    </row>
    <row r="27" ht="15" customHeight="1" s="116">
      <c r="A27" s="119" t="inlineStr">
        <is>
          <t>Mago Elemental</t>
        </is>
      </c>
      <c r="B27" s="119" t="n">
        <v>50</v>
      </c>
      <c r="C27" s="119" t="inlineStr">
        <is>
          <t>Meteoro da Fenda Viva</t>
        </is>
      </c>
      <c r="D27" s="119" t="inlineStr">
        <is>
          <t>1x por combate, dobra o dano do próximo feitiço lançado</t>
        </is>
      </c>
      <c r="E27" s="119" t="inlineStr">
        <is>
          <t>Mestre Oron o Arquivista</t>
        </is>
      </c>
      <c r="F27" s="119" t="inlineStr">
        <is>
          <t>Ecoril</t>
        </is>
      </c>
    </row>
    <row r="28" ht="15" customHeight="1" s="116">
      <c r="A28" s="119" t="inlineStr">
        <is>
          <t>Mago Elemental</t>
        </is>
      </c>
      <c r="B28" s="119" t="n">
        <v>65</v>
      </c>
      <c r="C28" s="119" t="inlineStr">
        <is>
          <t>Ruptura Dimensional</t>
        </is>
      </c>
      <c r="D28" s="119" t="inlineStr">
        <is>
          <t>Destrava esse feitiço Avançado sem custo de Mana, 1x por combate</t>
        </is>
      </c>
      <c r="E28" s="119" t="inlineStr">
        <is>
          <t>Mestre Oron o Arquivista</t>
        </is>
      </c>
      <c r="F28" s="119" t="inlineStr">
        <is>
          <t>Ecoril</t>
        </is>
      </c>
    </row>
    <row r="29" ht="15" customHeight="1" s="116">
      <c r="A29" s="119" t="inlineStr">
        <is>
          <t>Bárbaro da Fenda</t>
        </is>
      </c>
      <c r="B29" s="119" t="n">
        <v>15</v>
      </c>
      <c r="C29" s="119" t="inlineStr">
        <is>
          <t>Golpe Desesperado</t>
        </is>
      </c>
      <c r="D29" s="119" t="inlineStr">
        <is>
          <t>Abaixo de 30% de HP, +2 de Dano em todos os ataques</t>
        </is>
      </c>
      <c r="E29" s="119" t="inlineStr">
        <is>
          <t>Malkor o Renegado Orc</t>
        </is>
      </c>
      <c r="F29" s="119" t="inlineStr">
        <is>
          <t>Rocha Alta</t>
        </is>
      </c>
    </row>
    <row r="30" ht="15" customHeight="1" s="116">
      <c r="A30" s="119" t="inlineStr">
        <is>
          <t>Bárbaro da Fenda</t>
        </is>
      </c>
      <c r="B30" s="119" t="n">
        <v>35</v>
      </c>
      <c r="C30" s="119" t="inlineStr">
        <is>
          <t>Fúria Indomável do Bastião</t>
        </is>
      </c>
      <c r="D30" s="119" t="inlineStr">
        <is>
          <t>Abaixo de 30% de HP, ganha +10 de Ataque e +5 de Defesa por 3 rodadas</t>
        </is>
      </c>
      <c r="E30" s="119" t="inlineStr">
        <is>
          <t>Malkor o Renegado Orc</t>
        </is>
      </c>
      <c r="F30" s="119" t="inlineStr">
        <is>
          <t>Rocha Alta</t>
        </is>
      </c>
    </row>
    <row r="31" ht="15" customHeight="1" s="116">
      <c r="A31" s="119" t="inlineStr">
        <is>
          <t>Bárbaro da Fenda</t>
        </is>
      </c>
      <c r="B31" s="119" t="n">
        <v>50</v>
      </c>
      <c r="C31" s="119" t="inlineStr">
        <is>
          <t>Colapso Titânico</t>
        </is>
      </c>
      <c r="D31" s="119" t="inlineStr">
        <is>
          <t>1x por combate, o próximo golpe atinge todos os inimigos adjacentes</t>
        </is>
      </c>
      <c r="E31" s="119" t="inlineStr">
        <is>
          <t>Malkor o Renegado Orc</t>
        </is>
      </c>
      <c r="F31" s="119" t="inlineStr">
        <is>
          <t>Rocha Alta</t>
        </is>
      </c>
    </row>
    <row r="32" ht="15" customHeight="1" s="116">
      <c r="A32" s="119" t="inlineStr">
        <is>
          <t>Bárbaro da Fenda</t>
        </is>
      </c>
      <c r="B32" s="119" t="n">
        <v>65</v>
      </c>
      <c r="C32" s="119" t="inlineStr">
        <is>
          <t>Ira do Fim do Mundo</t>
        </is>
      </c>
      <c r="D32" s="119" t="inlineStr">
        <is>
          <t>Abaixo de 10% de HP, todos os ataques causam crítico automaticamente</t>
        </is>
      </c>
      <c r="E32" s="119" t="inlineStr">
        <is>
          <t>Malkor o Renegado Orc</t>
        </is>
      </c>
      <c r="F32" s="119" t="inlineStr">
        <is>
          <t>Rocha Alta</t>
        </is>
      </c>
    </row>
    <row r="33" ht="15" customHeight="1" s="116">
      <c r="A33" s="119" t="inlineStr">
        <is>
          <t>Artífice Mecânico</t>
        </is>
      </c>
      <c r="B33" s="119" t="n">
        <v>15</v>
      </c>
      <c r="C33" s="119" t="inlineStr">
        <is>
          <t>Barreira de Distorção Rúnica</t>
        </is>
      </c>
      <c r="D33" s="119" t="inlineStr">
        <is>
          <t>Destrava o feitiço arcano de escudo (Barreira) de graça, mesmo sem ser conjurador</t>
        </is>
      </c>
      <c r="E33" s="119" t="inlineStr">
        <is>
          <t>Thrum o Engenheiro Renegado</t>
        </is>
      </c>
      <c r="F33" s="119" t="inlineStr">
        <is>
          <t>Ecoril</t>
        </is>
      </c>
    </row>
    <row r="34" ht="15" customHeight="1" s="116">
      <c r="A34" s="119" t="inlineStr">
        <is>
          <t>Artífice Mecânico</t>
        </is>
      </c>
      <c r="B34" s="119" t="n">
        <v>26</v>
      </c>
      <c r="C34" s="119" t="inlineStr">
        <is>
          <t>Desmanche de Autômatos</t>
        </is>
      </c>
      <c r="D34" s="119" t="inlineStr">
        <is>
          <t>+5 em testes contra monstros Mecânicos, e eles dropam +1 material extra</t>
        </is>
      </c>
      <c r="E34" s="119" t="inlineStr">
        <is>
          <t>Thrum o Engenheiro Renegado</t>
        </is>
      </c>
      <c r="F34" s="119" t="inlineStr">
        <is>
          <t>Ecoril</t>
        </is>
      </c>
    </row>
    <row r="35" ht="15" customHeight="1" s="116">
      <c r="A35" s="119" t="inlineStr">
        <is>
          <t>Artífice Mecânico</t>
        </is>
      </c>
      <c r="B35" s="119" t="n">
        <v>35</v>
      </c>
      <c r="C35" s="119" t="inlineStr">
        <is>
          <t>Forja Rúnica de Campanha</t>
        </is>
      </c>
      <c r="D35" s="119" t="inlineStr">
        <is>
          <t>Pode reparar equipamento fora de cidade, sem custo de Ouro (só tempo)</t>
        </is>
      </c>
      <c r="E35" s="119" t="inlineStr">
        <is>
          <t>Thrum o Engenheiro Renegado</t>
        </is>
      </c>
      <c r="F35" s="119" t="inlineStr">
        <is>
          <t>Ecoril</t>
        </is>
      </c>
    </row>
    <row r="36" ht="15" customHeight="1" s="116">
      <c r="A36" s="119" t="inlineStr">
        <is>
          <t>Artífice Mecânico</t>
        </is>
      </c>
      <c r="B36" s="119" t="n">
        <v>50</v>
      </c>
      <c r="C36" s="119" t="inlineStr">
        <is>
          <t>Construção de Golem Guardião</t>
        </is>
      </c>
      <c r="D36" s="119" t="inlineStr">
        <is>
          <t>1x por Ato, invoca um aliado temporário (stats de "Golem de Guerra") por 1 combate</t>
        </is>
      </c>
      <c r="E36" s="119" t="inlineStr">
        <is>
          <t>Thrum o Engenheiro Renegado</t>
        </is>
      </c>
      <c r="F36" s="119" t="inlineStr">
        <is>
          <t>Ecoril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4.xml><?xml version="1.0" encoding="utf-8"?>
<worksheet xmlns="http://schemas.openxmlformats.org/spreadsheetml/2006/main">
  <sheetPr filterMode="0">
    <outlinePr summaryBelow="1" summaryRight="1"/>
    <pageSetUpPr fitToPage="0"/>
  </sheetPr>
  <dimension ref="A1:I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15" min="1" max="1"/>
    <col width="28" customWidth="1" style="115" min="2" max="2"/>
    <col width="7" customWidth="1" style="115" min="3" max="3"/>
    <col width="18" customWidth="1" style="115" min="4" max="4"/>
    <col width="40" customWidth="1" style="115" min="5" max="5"/>
    <col width="45" customWidth="1" style="115" min="6" max="6"/>
    <col width="40" customWidth="1" style="115" min="7" max="7"/>
    <col width="28" customWidth="1" style="115" min="8" max="8"/>
    <col width="13" customWidth="1" style="115" min="9" max="9"/>
  </cols>
  <sheetData>
    <row r="1" ht="15.75" customHeight="1" s="116">
      <c r="A1" s="117" t="inlineStr">
        <is>
          <t>Monstros Raros — spawn de 0,5% a 1%, loot exclusivo, geram Título</t>
        </is>
      </c>
    </row>
    <row r="2" ht="15" customHeight="1" s="116">
      <c r="A2" s="115" t="inlineStr">
        <is>
          <t>Diferente do Superloot/Evasivo (que já mora no Bestiário principal, 1-3%) — esses são raridade extrema, com item único de verdade.</t>
        </is>
      </c>
    </row>
    <row r="4" ht="15" customHeight="1" s="116">
      <c r="A4" s="118" t="inlineStr">
        <is>
          <t>Tier</t>
        </is>
      </c>
      <c r="B4" s="118" t="inlineStr">
        <is>
          <t>Nome</t>
        </is>
      </c>
      <c r="C4" s="118" t="inlineStr">
        <is>
          <t>Nível</t>
        </is>
      </c>
      <c r="D4" s="118" t="inlineStr">
        <is>
          <t>Golpe Especial</t>
        </is>
      </c>
      <c r="E4" s="118" t="inlineStr">
        <is>
          <t>Efeito Mecânico</t>
        </is>
      </c>
      <c r="F4" s="118" t="inlineStr">
        <is>
          <t>Motivação</t>
        </is>
      </c>
      <c r="G4" s="118" t="inlineStr">
        <is>
          <t>Loot Exclusivo</t>
        </is>
      </c>
      <c r="H4" s="118" t="inlineStr">
        <is>
          <t>Título ao Derrotar</t>
        </is>
      </c>
      <c r="I4" s="118" t="inlineStr">
        <is>
          <t>Chance de Spawn</t>
        </is>
      </c>
    </row>
    <row r="5" ht="15" customHeight="1" s="116">
      <c r="A5" s="119" t="inlineStr">
        <is>
          <t>Tier 1 (Sucata Enferrujada)</t>
        </is>
      </c>
      <c r="B5" s="119" t="inlineStr">
        <is>
          <t>O Fragmento que Ainda Sangra</t>
        </is>
      </c>
      <c r="C5" s="119" t="n">
        <v>5</v>
      </c>
      <c r="D5" s="119" t="inlineStr">
        <is>
          <t>Pulso Carmesim</t>
        </is>
      </c>
      <c r="E5" s="119" t="inlineStr">
        <is>
          <t>A cada 3 turnos, causa Sangramento em área (todos os combatentes)</t>
        </is>
      </c>
      <c r="F5" s="119" t="inlineStr">
        <is>
          <t>Um caco maior do artefato original — não é cultista, não é fera. É o próprio Fragmento tentando andar.</t>
        </is>
      </c>
      <c r="G5" s="119" t="inlineStr">
        <is>
          <t>Coração de Sucata Viva (permite Refinamento +3 em qualquer arma de Tier 1, sem precisar de Componente Raro)</t>
        </is>
      </c>
      <c r="H5" s="119" t="inlineStr">
        <is>
          <t>🏆 Quem Tocou o Primeiro Sangue</t>
        </is>
      </c>
      <c r="I5" s="119" t="inlineStr">
        <is>
          <t>0,7%</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5.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22" customWidth="1" style="116" min="1" max="1"/>
    <col width="14" customWidth="1" style="116" min="2" max="2"/>
    <col width="16" customWidth="1" style="116" min="3" max="3"/>
    <col width="22" customWidth="1" style="116" min="4" max="4"/>
    <col width="22" customWidth="1" style="116" min="5" max="5"/>
    <col width="16" customWidth="1" style="116" min="6" max="6"/>
    <col width="14" customWidth="1" style="116" min="7" max="7"/>
  </cols>
  <sheetData>
    <row r="1">
      <c r="A1" s="244" t="inlineStr">
        <is>
          <t>Dashboard de Progresso — Ciclo do Tier</t>
        </is>
      </c>
    </row>
    <row r="2">
      <c r="A2" s="115" t="inlineStr">
        <is>
          <t>Cada Tier so fecha quando as 5 colunas do meio estiverem check.</t>
        </is>
      </c>
    </row>
    <row r="4">
      <c r="A4" s="245" t="inlineStr">
        <is>
          <t>Tier</t>
        </is>
      </c>
      <c r="B4" s="245" t="inlineStr">
        <is>
          <t>Monstros (qtd)</t>
        </is>
      </c>
      <c r="C4" s="245" t="inlineStr">
        <is>
          <t>Loot Conectado</t>
        </is>
      </c>
      <c r="D4" s="245" t="inlineStr">
        <is>
          <t>Materiais Unicos Criados</t>
        </is>
      </c>
      <c r="E4" s="245" t="inlineStr">
        <is>
          <t>Crafting Usa os Materiais</t>
        </is>
      </c>
      <c r="F4" s="245" t="inlineStr">
        <is>
          <t>Missao Criada</t>
        </is>
      </c>
      <c r="G4" s="245" t="inlineStr">
        <is>
          <t>Status</t>
        </is>
      </c>
    </row>
    <row r="5">
      <c r="A5" s="161" t="inlineStr">
        <is>
          <t>1 - Sucata Enferrujada</t>
        </is>
      </c>
      <c r="B5" s="161" t="n">
        <v>30</v>
      </c>
      <c r="C5" s="161" t="inlineStr">
        <is>
          <t>✅</t>
        </is>
      </c>
      <c r="D5" s="161" t="inlineStr">
        <is>
          <t>✅</t>
        </is>
      </c>
      <c r="E5" s="161" t="inlineStr">
        <is>
          <t>✅</t>
        </is>
      </c>
      <c r="F5" s="161" t="inlineStr">
        <is>
          <t>✅</t>
        </is>
      </c>
      <c r="G5" s="161" t="inlineStr">
        <is>
          <t>FECHADO</t>
        </is>
      </c>
    </row>
    <row r="6">
      <c r="A6" s="161" t="inlineStr">
        <is>
          <t>2 - Bronze</t>
        </is>
      </c>
      <c r="B6" s="161" t="n">
        <v>31</v>
      </c>
      <c r="C6" s="161" t="inlineStr">
        <is>
          <t>✅</t>
        </is>
      </c>
      <c r="D6" s="161" t="inlineStr">
        <is>
          <t>✅</t>
        </is>
      </c>
      <c r="E6" s="161" t="inlineStr">
        <is>
          <t>✅</t>
        </is>
      </c>
      <c r="F6" s="161" t="inlineStr">
        <is>
          <t>✅</t>
        </is>
      </c>
      <c r="G6" s="161" t="inlineStr">
        <is>
          <t>FECHADO</t>
        </is>
      </c>
    </row>
    <row r="7">
      <c r="A7" s="161" t="inlineStr">
        <is>
          <t>3 - Ferro</t>
        </is>
      </c>
      <c r="B7" s="161" t="n">
        <v>31</v>
      </c>
      <c r="C7" s="161" t="inlineStr">
        <is>
          <t>✅</t>
        </is>
      </c>
      <c r="D7" s="161" t="inlineStr">
        <is>
          <t>✅</t>
        </is>
      </c>
      <c r="E7" s="161" t="inlineStr">
        <is>
          <t>✅</t>
        </is>
      </c>
      <c r="F7" s="161" t="inlineStr">
        <is>
          <t>✅</t>
        </is>
      </c>
      <c r="G7" s="161" t="inlineStr">
        <is>
          <t>FECHADO</t>
        </is>
      </c>
    </row>
    <row r="8">
      <c r="A8" s="161" t="inlineStr">
        <is>
          <t>4 - Prata</t>
        </is>
      </c>
      <c r="B8" s="161" t="n">
        <v>33</v>
      </c>
      <c r="C8" s="161" t="inlineStr">
        <is>
          <t>✅</t>
        </is>
      </c>
      <c r="D8" s="161" t="inlineStr">
        <is>
          <t>✅</t>
        </is>
      </c>
      <c r="E8" s="161" t="inlineStr">
        <is>
          <t>✅</t>
        </is>
      </c>
      <c r="F8" s="161" t="inlineStr">
        <is>
          <t>✅</t>
        </is>
      </c>
      <c r="G8" s="161" t="inlineStr">
        <is>
          <t>FECHADO</t>
        </is>
      </c>
    </row>
    <row r="9">
      <c r="A9" s="161" t="inlineStr">
        <is>
          <t>5 - Aco Elfico</t>
        </is>
      </c>
      <c r="B9" s="161" t="n">
        <v>36</v>
      </c>
      <c r="C9" s="161" t="inlineStr">
        <is>
          <t>✅</t>
        </is>
      </c>
      <c r="D9" s="161" t="inlineStr">
        <is>
          <t>✅</t>
        </is>
      </c>
      <c r="E9" s="161" t="inlineStr">
        <is>
          <t>✅</t>
        </is>
      </c>
      <c r="F9" s="161" t="inlineStr">
        <is>
          <t>✅</t>
        </is>
      </c>
      <c r="G9" s="161" t="inlineStr">
        <is>
          <t>FECHADO</t>
        </is>
      </c>
    </row>
    <row r="10">
      <c r="A10" s="161" t="inlineStr">
        <is>
          <t>6 - Mecanismo Anao</t>
        </is>
      </c>
      <c r="B10" s="161" t="n">
        <v>36</v>
      </c>
      <c r="C10" s="161" t="inlineStr">
        <is>
          <t>✅</t>
        </is>
      </c>
      <c r="D10" s="161" t="inlineStr">
        <is>
          <t>✅</t>
        </is>
      </c>
      <c r="E10" s="161" t="inlineStr">
        <is>
          <t>✅</t>
        </is>
      </c>
      <c r="F10" s="161" t="inlineStr">
        <is>
          <t>✅</t>
        </is>
      </c>
      <c r="G10" s="161" t="inlineStr">
        <is>
          <t>FECHADO</t>
        </is>
      </c>
    </row>
    <row r="11">
      <c r="A11" s="161" t="inlineStr">
        <is>
          <t>7 - Vidro Vulcanico</t>
        </is>
      </c>
      <c r="B11" s="161" t="n">
        <v>36</v>
      </c>
      <c r="C11" s="161" t="inlineStr">
        <is>
          <t>✅</t>
        </is>
      </c>
      <c r="D11" s="161" t="inlineStr">
        <is>
          <t>✅</t>
        </is>
      </c>
      <c r="E11" s="161" t="inlineStr">
        <is>
          <t>✅</t>
        </is>
      </c>
      <c r="F11" s="161" t="inlineStr">
        <is>
          <t>✅</t>
        </is>
      </c>
      <c r="G11" s="161" t="inlineStr">
        <is>
          <t>FECHADO</t>
        </is>
      </c>
    </row>
    <row r="12">
      <c r="A12" s="161" t="inlineStr">
        <is>
          <t>8 - Ferro Orquico</t>
        </is>
      </c>
      <c r="B12" s="161" t="n">
        <v>35</v>
      </c>
      <c r="C12" s="161" t="inlineStr">
        <is>
          <t>✅</t>
        </is>
      </c>
      <c r="D12" s="161" t="inlineStr">
        <is>
          <t>✅</t>
        </is>
      </c>
      <c r="E12" s="161" t="inlineStr">
        <is>
          <t>✅</t>
        </is>
      </c>
      <c r="F12" s="161" t="inlineStr">
        <is>
          <t>✅</t>
        </is>
      </c>
      <c r="G12" s="161" t="inlineStr">
        <is>
          <t>FECHADO</t>
        </is>
      </c>
    </row>
    <row r="13">
      <c r="A13" s="161" t="inlineStr">
        <is>
          <t>9 - Mithril</t>
        </is>
      </c>
      <c r="B13" s="161" t="n">
        <v>35</v>
      </c>
      <c r="C13" s="161" t="inlineStr">
        <is>
          <t>✅</t>
        </is>
      </c>
      <c r="D13" s="161" t="inlineStr">
        <is>
          <t>✅</t>
        </is>
      </c>
      <c r="E13" s="161" t="inlineStr">
        <is>
          <t>✅</t>
        </is>
      </c>
      <c r="F13" s="161" t="inlineStr">
        <is>
          <t>✅</t>
        </is>
      </c>
      <c r="G13" s="161" t="inlineStr">
        <is>
          <t>FECHADO</t>
        </is>
      </c>
    </row>
    <row r="14">
      <c r="A14" s="161" t="inlineStr">
        <is>
          <t>10 - Ebano</t>
        </is>
      </c>
      <c r="B14" s="161" t="n">
        <v>35</v>
      </c>
      <c r="C14" s="161" t="inlineStr">
        <is>
          <t>✅</t>
        </is>
      </c>
      <c r="D14" s="161" t="inlineStr">
        <is>
          <t>✅</t>
        </is>
      </c>
      <c r="E14" s="161" t="inlineStr">
        <is>
          <t>✅</t>
        </is>
      </c>
      <c r="F14" s="161" t="inlineStr">
        <is>
          <t>✅</t>
        </is>
      </c>
      <c r="G14" s="161" t="inlineStr">
        <is>
          <t>FECHADO</t>
        </is>
      </c>
    </row>
    <row r="15">
      <c r="A15" s="161" t="inlineStr">
        <is>
          <t>11 - Adamantina</t>
        </is>
      </c>
      <c r="B15" s="161" t="n">
        <v>35</v>
      </c>
      <c r="C15" s="161" t="inlineStr">
        <is>
          <t>✅</t>
        </is>
      </c>
      <c r="D15" s="161" t="inlineStr">
        <is>
          <t>✅</t>
        </is>
      </c>
      <c r="E15" s="161" t="inlineStr">
        <is>
          <t>✅</t>
        </is>
      </c>
      <c r="F15" s="161" t="inlineStr">
        <is>
          <t>✅</t>
        </is>
      </c>
      <c r="G15" s="161" t="inlineStr">
        <is>
          <t>FECHADO</t>
        </is>
      </c>
    </row>
    <row r="16">
      <c r="A16" s="161" t="inlineStr">
        <is>
          <t>12 - Osso de Dragao</t>
        </is>
      </c>
      <c r="B16" s="161" t="n">
        <v>32</v>
      </c>
      <c r="C16" s="161" t="inlineStr">
        <is>
          <t>✅</t>
        </is>
      </c>
      <c r="D16" s="161" t="inlineStr">
        <is>
          <t>✅</t>
        </is>
      </c>
      <c r="E16" s="161" t="inlineStr">
        <is>
          <t>✅</t>
        </is>
      </c>
      <c r="F16" s="161" t="inlineStr">
        <is>
          <t>✅</t>
        </is>
      </c>
      <c r="G16" s="161" t="inlineStr">
        <is>
          <t>FECHADO</t>
        </is>
      </c>
    </row>
    <row r="17">
      <c r="A17" s="161" t="inlineStr">
        <is>
          <t>13 - Pacto Daedrico</t>
        </is>
      </c>
      <c r="B17" s="161" t="n">
        <v>32</v>
      </c>
      <c r="C17" s="161" t="inlineStr">
        <is>
          <t>✅</t>
        </is>
      </c>
      <c r="D17" s="161" t="inlineStr">
        <is>
          <t>✅</t>
        </is>
      </c>
      <c r="E17" s="161" t="inlineStr">
        <is>
          <t>✅</t>
        </is>
      </c>
      <c r="F17" s="161" t="inlineStr">
        <is>
          <t>✅</t>
        </is>
      </c>
      <c r="G17" s="161" t="inlineStr">
        <is>
          <t>FECHADO ✅ (3 monstros sem material corrigidos em 03/09)</t>
        </is>
      </c>
    </row>
    <row r="18">
      <c r="A18" s="161" t="inlineStr">
        <is>
          <t>14 - Estelar/Cosmico</t>
        </is>
      </c>
      <c r="B18" s="161" t="n">
        <v>33</v>
      </c>
      <c r="C18" s="161" t="inlineStr">
        <is>
          <t>✅</t>
        </is>
      </c>
      <c r="D18" s="161" t="inlineStr">
        <is>
          <t>✅</t>
        </is>
      </c>
      <c r="E18" s="161" t="inlineStr">
        <is>
          <t>✅</t>
        </is>
      </c>
      <c r="F18" s="161" t="inlineStr">
        <is>
          <t>✅</t>
        </is>
      </c>
      <c r="G18" s="161" t="inlineStr">
        <is>
          <t>FECHADO</t>
        </is>
      </c>
    </row>
    <row r="20">
      <c r="A20" s="115" t="inlineStr">
        <is>
          <t>Ciclo de Mundo — Valoria (Tier 1-2): Nome oficial + 4 Locais novos (Covil Javali, Santuario, Recanto Oculto, Camara do Barao) + 5 NPCs com Missao real ligada + Cidade conectada a Locais/Monstros/Recursos/Faccoes. FECHADO 03/09.</t>
        </is>
      </c>
    </row>
    <row r="21">
      <c r="A21" s="115" t="inlineStr">
        <is>
          <t>Ciclo de Mundo — Cinzenta (Tier 3-4): Nome oficial + 4 Locais novos (2 Covil de Boss, 2 Secreto) + 5 NPCs com Missao real corrigida + 4 Boss ligados a local proprio + Cidade conectada. FECHADO.</t>
        </is>
      </c>
    </row>
    <row r="22">
      <c r="A22" s="115" t="inlineStr">
        <is>
          <t>Ciclo de Mundo — Ecoril (Tier 5-6): Nome oficial + 2 Covil de Boss (sem Secreto, nao tinha gancho narrativo real) + 5 NPCs corrigidos + 4 Boss ligados + 2 nomes sem acento corrigidos + Cidade conectada. FECHADO.</t>
        </is>
      </c>
    </row>
    <row r="23">
      <c r="A23" s="115" t="inlineStr">
        <is>
          <t>Ciclo de Mundo — Rocha Alta (Tier 7-8): Nome oficial + 2 Covil de Boss + 2 Secreto + 5 NPCs corrigidos (achou 2 variacoes de nome/ordem) + 4 Boss ligados + Cidade conectada. FECHADO.</t>
        </is>
      </c>
    </row>
    <row r="24">
      <c r="A24" s="115" t="inlineStr">
        <is>
          <t>Ciclo de Mundo — Abismar (Tier 9-10): Nome oficial + 2 Covil de Boss (sem Secreto) + 5 NPCs corrigidos + 4 Boss ligados + Culto da Assimilacao confirmado + Cidade conectada. FECHADO.</t>
        </is>
      </c>
    </row>
    <row r="25">
      <c r="A25" s="115" t="inlineStr">
        <is>
          <t>Ciclo de Mundo — O Limiar (Tier 13-14): Nome oficial + 2 Covil de Boss (incluindo o Boss final do jogo) + 1 Secreto + 5 NPCs corrigidos (achou 1 conflito de nome de faccao) + Cidade conectada. FECHADO.</t>
        </is>
      </c>
    </row>
    <row r="26">
      <c r="A26" s="115" t="inlineStr">
        <is>
          <t>CICLO DE MUNDO COMPLETO — 7 pares de Tier fechados (14 tiers). 53 locais totais, 35 NPCs com missao real ligada, 7 cidades com nome oficial de lore.</t>
        </is>
      </c>
    </row>
    <row r="27">
      <c r="A27" s="115" t="inlineStr">
        <is>
          <t>RESOLVIDO: Bloco B (Armas/Magia/Consumiveis, formatacao) + 3 gaps de conteudo confirmados (Artefatos +14 itens, Titulos +11, Eventos +1 Chuva Ferrosa). Zero erro novo.</t>
        </is>
      </c>
    </row>
    <row r="28">
      <c r="A28" s="115" t="inlineStr">
        <is>
          <t>RESOLVIDO: Codex (numeros reais atualizados), Economia auditada + bug real corrigido (Acessorio Tier11 custava 6 Ouro, devia ser ~103 — 9 receitas convertidas pra formula ligada a escala real).</t>
        </is>
      </c>
    </row>
    <row r="29">
      <c r="A29" s="115" t="inlineStr">
        <is>
          <t>VARREDURA FINAL: Armas/Como Usar/Campanha-Atos/Exploracao-Encontros/Classes/Base Operacoes/Armaduras conferidas. 2 bugs reais corrigidos (Exploracao tinha tabela desatualizada divergindo do bot real; Base de Operacoes confundia nome de Boss com nome de missao). V2-Cartas ignorada a pedido do usuario. TODAS as abas do projeto agora auditadas.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6" customWidth="1" style="116" min="1" max="1"/>
    <col width="28" customWidth="1" style="116" min="2" max="2"/>
    <col width="26" customWidth="1" style="116" min="3" max="3"/>
    <col width="70" customWidth="1" style="116" min="4" max="4"/>
  </cols>
  <sheetData>
    <row r="1">
      <c r="A1" s="244" t="inlineStr">
        <is>
          <t>Narrativa</t>
        </is>
      </c>
    </row>
    <row r="2">
      <c r="A2" s="115" t="inlineStr">
        <is>
          <t>Camadas de imersao do jogo -- abertura, transicao de Ato, e o que mais for crescendo aqui.</t>
        </is>
      </c>
    </row>
    <row r="4">
      <c r="A4" s="245" t="inlineStr">
        <is>
          <t>Tipo</t>
        </is>
      </c>
      <c r="B4" s="245" t="inlineStr">
        <is>
          <t>Gatilho (quando aparece)</t>
        </is>
      </c>
      <c r="C4" s="245" t="inlineStr">
        <is>
          <t>Titulo</t>
        </is>
      </c>
      <c r="D4" s="245" t="inlineStr">
        <is>
          <t>Texto Narrativo</t>
        </is>
      </c>
    </row>
    <row r="5" ht="100" customHeight="1" s="116">
      <c r="A5" s="276" t="inlineStr">
        <is>
          <t>Abertura</t>
        </is>
      </c>
      <c r="B5" s="276" t="inlineStr">
        <is>
          <t>Primeira vez que abre o bot, antes de pedir o nome</t>
        </is>
      </c>
      <c r="C5" s="276" t="inlineStr">
        <is>
          <t>A Infecção que Segura o Mundo</t>
        </is>
      </c>
      <c r="D5" s="276" t="inlineStr">
        <is>
          <t>O mundo já morreu uma vez. Ninguém lembra quando — só que um dia, em algum lugar, uma mão tocou o chão e o chão parou de ser chão.
Chamam de Infecção. Chamam de Mão Carmesim. Chamam de mil nomes diferentes em mil vilas diferentes, e todos os nomes significam a mesma coisa: carne virando outra coisa, metal aprendendo a sangrar, gente que já não lembra o próprio rosto.
Você não vai salvar o mundo. Ninguém salva. Mas talvez consiga entender o suficiente pra sobreviver um pouco mais — e talvez, no fim, chegar perto o bastante da Mão pra perguntar por quê.</t>
        </is>
      </c>
    </row>
    <row r="6" ht="100" customHeight="1" s="116">
      <c r="A6" s="276" t="inlineStr">
        <is>
          <t>Transição de Ato</t>
        </is>
      </c>
      <c r="B6" s="276" t="inlineStr">
        <is>
          <t>Ao alcançar o primeiro Tier do Ato I (Sucata Enferrujada)</t>
        </is>
      </c>
      <c r="C6" s="276" t="inlineStr">
        <is>
          <t>Ato I — O Sangue que Toca</t>
        </is>
      </c>
      <c r="D6" s="276" t="inlineStr">
        <is>
          <t>Aqui a Infecção ainda é jovem. Bandidos, cães raivosos, um culto que mal aprendeu a rezar — nada disso parece o fim do mundo.
Mas presta atenção nos detalhes: a ferrugem que não devia estar ali, o silêncio errado nas estradas. O Sangue já tocou essa terra. Só ainda não terminou de espalhar.</t>
        </is>
      </c>
    </row>
    <row r="7" ht="100" customHeight="1" s="116">
      <c r="A7" s="276" t="inlineStr">
        <is>
          <t>Transição de Ato</t>
        </is>
      </c>
      <c r="B7" s="276" t="inlineStr">
        <is>
          <t>Ao alcançar o primeiro Tier do Ato II (Prata)</t>
        </is>
      </c>
      <c r="C7" s="276" t="inlineStr">
        <is>
          <t>Ato II — A Sombra que Esmaga</t>
        </is>
      </c>
      <c r="D7" s="276" t="inlineStr">
        <is>
          <t>A partir daqui, a Infecção não se esconde mais. Ela pesa. Golens de guerra, salões inteiros tomados por rituais, uma sombra que aprendeu a esmagar em vez de sussurrar.
Você já não está mais limpando bagunça de vila pequena. Está entrando em território que a Infecção já considera dela.</t>
        </is>
      </c>
    </row>
    <row r="8" ht="100" customHeight="1" s="116">
      <c r="A8" s="276" t="inlineStr">
        <is>
          <t>Transição de Ato</t>
        </is>
      </c>
      <c r="B8" s="276" t="inlineStr">
        <is>
          <t>Ao alcançar o primeiro Tier do Ato III (Vidro Vulcânico)</t>
        </is>
      </c>
      <c r="C8" s="276" t="inlineStr">
        <is>
          <t>Ato III — O Rei que Governa sem Corpo</t>
        </is>
      </c>
      <c r="D8" s="276" t="inlineStr">
        <is>
          <t>Tem um trono vazio na fenda vulcânica, e um culto inteiro jurando lealdade a um rei que nunca teve corpo. É aqui que a Infecção começa a ter ambição — não só de se espalhar, mas de governar.
Os orcs guerreiam pra sobreviver a ela. Você vai precisar decidir de que lado prefere estar ferido.</t>
        </is>
      </c>
    </row>
    <row r="9" ht="100" customHeight="1" s="116">
      <c r="A9" s="276" t="inlineStr">
        <is>
          <t>Transição de Ato</t>
        </is>
      </c>
      <c r="B9" s="276" t="inlineStr">
        <is>
          <t>Ao alcançar o primeiro Tier do Ato IV (Ébano)</t>
        </is>
      </c>
      <c r="C9" s="276" t="inlineStr">
        <is>
          <t>Ato IV — A Carne que se Espalha</t>
        </is>
      </c>
      <c r="D9" s="276" t="inlineStr">
        <is>
          <t>Chega um ponto em que carne e metal param de ser coisas diferentes. O Culto da Assimilação prega isso como salvação. Os dragões antigos chamam de peste. Os dois têm razão.
Daqui pra frente, cada escolha que você fizer vai deixar marca em quem você ainda é.</t>
        </is>
      </c>
    </row>
    <row r="10" ht="100" customHeight="1" s="116">
      <c r="A10" s="276" t="inlineStr">
        <is>
          <t>Transição de Ato</t>
        </is>
      </c>
      <c r="B10" s="276" t="inlineStr">
        <is>
          <t>Ao alcançar o primeiro Tier do Ato V (Pacto Daédrico)</t>
        </is>
      </c>
      <c r="C10" s="276" t="inlineStr">
        <is>
          <t>Ato V — A Mão que Segura o Fim</t>
        </is>
      </c>
      <c r="D10" s="276" t="inlineStr">
        <is>
          <t>Não sobrou mais distância entre você e a origem de tudo isso. O Pacto foi selado aqui, há muito tempo, por gente que achou que estava negociando com algo que entendia.
A Mão está quase completa. O que você vai fazer quando ela finalmente abrir os dedos?</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18" customWidth="1" style="116" min="1" max="1"/>
    <col width="16" customWidth="1" style="116" min="2" max="2"/>
    <col width="26" customWidth="1" style="116" min="3" max="3"/>
    <col width="90" customWidth="1" style="116" min="4" max="4"/>
    <col width="30" customWidth="1" style="116" min="5" max="5"/>
  </cols>
  <sheetData>
    <row r="1">
      <c r="A1" s="244" t="inlineStr">
        <is>
          <t>Prompts de Geração de Imagem</t>
        </is>
      </c>
    </row>
    <row r="2">
      <c r="A2" s="115" t="inlineStr">
        <is>
          <t>Estilo padrão: Dark Fantasy realista. Preencha "Link do GitHub" depois de gerar/aprimorar e subir a imagem.</t>
        </is>
      </c>
    </row>
    <row r="4">
      <c r="A4" s="245" t="inlineStr">
        <is>
          <t>Tier</t>
        </is>
      </c>
      <c r="B4" s="245" t="inlineStr">
        <is>
          <t>Categoria</t>
        </is>
      </c>
      <c r="C4" s="245" t="inlineStr">
        <is>
          <t>Nome</t>
        </is>
      </c>
      <c r="D4" s="245" t="inlineStr">
        <is>
          <t>Prompt de Geração</t>
        </is>
      </c>
      <c r="E4" s="245" t="inlineStr">
        <is>
          <t>Link do GitHub (preencher depois)</t>
        </is>
      </c>
    </row>
    <row r="5" ht="90" customHeight="1" s="116">
      <c r="A5" s="276" t="inlineStr">
        <is>
          <t>Sucata Enferrujada</t>
        </is>
      </c>
      <c r="B5" s="276" t="inlineStr">
        <is>
          <t>Monstro (Elite)</t>
        </is>
      </c>
      <c r="C5" s="276" t="inlineStr">
        <is>
          <t>Fanático dos Dedos Rubros</t>
        </is>
      </c>
      <c r="D5" s="276" t="inlineStr">
        <is>
          <t>Video game monster concept art, creature design for a dark fantasy RPG, digital illustration, sharp focus, highly detailed rendering, dramatic rim lighting, high contrast. Full-body creature portrait of a dangerous elite corrupted horror, the Fanatic of the Crimson Fingers, covered in rusted scrap metal, jagged makeshift edges, weathered cracked leather. A cultist ritualistically marked with dark red pigment, believing he is clearing a path for a greater power. Snarling, baring fangs and claws, dynamic aggressive combat stance referencing its signature move (blood mark). Glowing corrupted veins, ominous dark atmosphere. Dark blurred wasteland background, centered composition, no text, no watermark.</t>
        </is>
      </c>
      <c r="E5" s="276" t="n"/>
    </row>
    <row r="6" ht="90" customHeight="1" s="116">
      <c r="A6" s="276" t="inlineStr">
        <is>
          <t>Sucata Enferrujada</t>
        </is>
      </c>
      <c r="B6" s="276" t="inlineStr">
        <is>
          <t>Monstro (Elite)</t>
        </is>
      </c>
      <c r="C6" s="276" t="inlineStr">
        <is>
          <t>Cadela-Mãe da Ninhada</t>
        </is>
      </c>
      <c r="D6" s="276" t="inlineStr">
        <is>
          <t>Video game monster concept art, creature design for a dark fantasy RPG, digital illustration, sharp focus, highly detailed rendering, dramatic rim lighting, high contrast. Full-body creature portrait of a dangerous elite corrupted horror, the Brood Mother Hound, covered in rusted scrap metal, jagged makeshift edges, weathered cracked leather. A feral hound whose pups were born already corrupted. Snarling, baring fangs and claws, dynamic aggressive combat stance referencing its signature move (brood's call). Glowing corrupted veins, ominous dark atmosphere. Dark blurred wasteland background, centered composition, no text, no watermark.</t>
        </is>
      </c>
      <c r="E6" s="276" t="n"/>
    </row>
    <row r="7" ht="90" customHeight="1" s="116">
      <c r="A7" s="276" t="inlineStr">
        <is>
          <t>Sucata Enferrujada</t>
        </is>
      </c>
      <c r="B7" s="276" t="inlineStr">
        <is>
          <t>Monstro (Elite)</t>
        </is>
      </c>
      <c r="C7" s="276" t="inlineStr">
        <is>
          <t>Sussurrador de Portas</t>
        </is>
      </c>
      <c r="D7" s="276" t="inlineStr">
        <is>
          <t>Video game monster concept art, creature design for a dark fantasy RPG, digital illustration, sharp focus, highly detailed rendering, dramatic rim lighting, high contrast. Full-body creature portrait of a dangerous elite corrupted horror, the Door Whisperer, covered in rusted scrap metal, jagged makeshift edges, weathered cracked leather. Recites the names of the houses not yet marked. Snarling, baring fangs and claws, dynamic aggressive combat stance referencing its signature move (litany of the hand). Glowing corrupted veins, ominous dark atmosphere. Dark blurred wasteland background, centered composition, no text, no watermark.</t>
        </is>
      </c>
      <c r="E7" s="276" t="n"/>
    </row>
    <row r="8" ht="90" customHeight="1" s="116">
      <c r="A8" s="276" t="inlineStr">
        <is>
          <t>Sucata Enferrujada</t>
        </is>
      </c>
      <c r="B8" s="276" t="inlineStr">
        <is>
          <t>Monstro (Elite)</t>
        </is>
      </c>
      <c r="C8" s="276" t="inlineStr">
        <is>
          <t>Pintor de Portas</t>
        </is>
      </c>
      <c r="D8" s="276" t="inlineStr">
        <is>
          <t>Video game monster concept art, creature design for a dark fantasy RPG, digital illustration, sharp focus, highly detailed rendering, dramatic rim lighting, high contrast. Full-body creature portrait of a dangerous elite corrupted horror, the Door Painter, covered in rusted scrap metal, jagged makeshift edges, weathered cracked leather. Does not fight, only marks; another comes to finish the job. Snarling, baring fangs and claws, dynamic aggressive combat stance referencing its signature move (forehead mark). Glowing corrupted veins, ominous dark atmosphere. Dark blurred wasteland background, centered composition, no text, no watermark.</t>
        </is>
      </c>
      <c r="E8" s="276" t="n"/>
    </row>
    <row r="9" ht="90" customHeight="1" s="116">
      <c r="A9" s="276" t="inlineStr">
        <is>
          <t>Sucata Enferrujada</t>
        </is>
      </c>
      <c r="B9" s="276" t="inlineStr">
        <is>
          <t>Monstro (Elite)</t>
        </is>
      </c>
      <c r="C9" s="276" t="inlineStr">
        <is>
          <t>Baú de Oferendas Falso</t>
        </is>
      </c>
      <c r="D9" s="276" t="inlineStr">
        <is>
          <t>Video game monster concept art, creature design for a dark fantasy RPG, digital illustration, sharp focus, highly detailed rendering, dramatic rim lighting, high contrast. Full-body creature portrait of a dangerous elite corrupted horror, the False Offering Chest (mimic), covered in rusted scrap metal, jagged makeshift edges, weathered cracked leather. A fake chest left on the road by cultists to lure looters. Snarling, baring fangs and claws, dynamic aggressive combat stance referencing its signature move (vault bite). Glowing corrupted veins, ominous dark atmosphere. Dark blurred wasteland background, centered composition, no text, no watermark.</t>
        </is>
      </c>
      <c r="E9" s="276" t="n"/>
    </row>
    <row r="10" ht="90" customHeight="1" s="116">
      <c r="A10" s="276" t="inlineStr">
        <is>
          <t>Sucata Enferrujada</t>
        </is>
      </c>
      <c r="B10" s="276" t="inlineStr">
        <is>
          <t>Monstro (Elite)</t>
        </is>
      </c>
      <c r="C10" s="276" t="inlineStr">
        <is>
          <t>Besouro-Cofre Enferrujado</t>
        </is>
      </c>
      <c r="D10" s="276" t="inlineStr">
        <is>
          <t>Video game monster concept art, creature design for a dark fantasy RPG, digital illustration, sharp focus, highly detailed rendering, dramatic rim lighting, high contrast. Full-body creature portrait of a dangerous elite corrupted horror, the Rusted Vault Beetle, covered in rusted scrap metal, jagged makeshift edges, weathered cracked leather. Eats metal; what it swallowed is worth more than itself. Snarling, baring fangs and claws, dynamic aggressive combat stance referencing its signature move (escape sting). Glowing corrupted veins, ominous dark atmosphere. Dark blurred wasteland background, centered composition, no text, no watermark.</t>
        </is>
      </c>
      <c r="E10" s="276" t="n"/>
    </row>
    <row r="11" ht="90" customHeight="1" s="116">
      <c r="A11" s="276" t="inlineStr">
        <is>
          <t>Sucata Enferrujada</t>
        </is>
      </c>
      <c r="B11" s="276" t="inlineStr">
        <is>
          <t>Monstro (Elite)</t>
        </is>
      </c>
      <c r="C11" s="276" t="inlineStr">
        <is>
          <t>Caçador de Marcas</t>
        </is>
      </c>
      <c r="D11" s="276" t="inlineStr">
        <is>
          <t>Video game monster concept art, creature design for a dark fantasy RPG, digital illustration, sharp focus, highly detailed rendering, dramatic rim lighting, high contrast. Full-body creature portrait of a dangerous elite corrupted horror, the Mark Hunter, covered in rusted scrap metal, jagged makeshift edges, weathered cracked leather. Tracks families fleeing marked villages and reports their location to the cult. Snarling, baring fangs and claws, dynamic aggressive combat stance referencing its signature move (blood scent). Glowing corrupted veins, ominous dark atmosphere. Dark blurred wasteland background, centered composition, no text, no watermark.</t>
        </is>
      </c>
      <c r="E11" s="276" t="n"/>
    </row>
    <row r="12" ht="90" customHeight="1" s="116">
      <c r="A12" s="276" t="inlineStr">
        <is>
          <t>Sucata Enferrujada</t>
        </is>
      </c>
      <c r="B12" s="276" t="inlineStr">
        <is>
          <t>Monstro (Elite)</t>
        </is>
      </c>
      <c r="C12" s="276" t="inlineStr">
        <is>
          <t>Espectro da Chuva Ferrosa</t>
        </is>
      </c>
      <c r="D12" s="276" t="inlineStr">
        <is>
          <t>Video game monster concept art, creature design for a dark fantasy RPG, digital illustration, sharp focus, highly detailed rendering, dramatic rim lighting, high contrast. Full-body creature portrait of a dangerous elite corrupted horror, the Iron Rain Specter, covered in rusted scrap metal, jagged makeshift edges, weathered cracked leather. Forms only when rain falls through the region's marked iron. Snarling, baring fangs and claws, dynamic aggressive combat stance referencing its signature move (rusted touch). Glowing corrupted veins, ominous dark atmosphere. Dark blurred wasteland background, centered composition, no text, no watermark.</t>
        </is>
      </c>
      <c r="E12" s="276" t="n"/>
    </row>
    <row r="13" ht="90" customHeight="1" s="116">
      <c r="A13" s="276" t="inlineStr">
        <is>
          <t>Sucata Enferrujada</t>
        </is>
      </c>
      <c r="B13" s="276" t="inlineStr">
        <is>
          <t>Monstro (Elite)</t>
        </is>
      </c>
      <c r="C13" s="276" t="inlineStr">
        <is>
          <t>Garr'th, o Primeiro Vira-Casaca</t>
        </is>
      </c>
      <c r="D13" s="276" t="inlineStr">
        <is>
          <t>Video game monster concept art, creature design for a dark fantasy RPG, digital illustration, sharp focus, highly detailed rendering, dramatic rim lighting, high contrast. Full-body creature portrait of a dangerous elite corrupted horror, the Garr'th, the First Turncoat, covered in rusted scrap metal, jagged makeshift edges, weathered cracked leather. A former militia guard who betrayed his own village to save his daughter's life. Snarling, baring fangs and claws, dynamic aggressive combat stance referencing its signature move (blade of the regretful). Glowing corrupted veins, ominous dark atmosphere. Dark blurred wasteland background, centered composition, no text, no watermark.</t>
        </is>
      </c>
      <c r="E13" s="276" t="n"/>
    </row>
    <row r="14" ht="90" customHeight="1" s="116">
      <c r="A14" s="276" t="inlineStr">
        <is>
          <t>Sucata Enferrujada</t>
        </is>
      </c>
      <c r="B14" s="276" t="inlineStr">
        <is>
          <t>Monstro (Comum)</t>
        </is>
      </c>
      <c r="C14" s="276" t="inlineStr">
        <is>
          <t>Cão de Caça Sanguíneo</t>
        </is>
      </c>
      <c r="D14" s="276" t="inlineStr">
        <is>
          <t>Video game monster concept art, creature design for a dark fantasy RPG, digital illustration, sharp focus, highly detailed rendering, dramatic rim lighting, high contrast. Full-body creature portrait of a lesser corrupted creature, the Bloodhound, covered in rusted scrap metal, jagged makeshift edges, weathered cracked leather. An ordinary guard dog corrupted near the first marked doors, now growling from hunting instinct alone. Snarling, baring fangs and claws, dynamic aggressive combat stance referencing its signature move (ravenous bite). Glowing corrupted veins, ominous dark atmosphere. Dark blurred wasteland background, centered composition, no text, no watermark.</t>
        </is>
      </c>
      <c r="E14" s="276" t="n"/>
    </row>
    <row r="15" ht="90" customHeight="1" s="116">
      <c r="A15" s="276" t="inlineStr">
        <is>
          <t>Sucata Enferrujada</t>
        </is>
      </c>
      <c r="B15" s="276" t="inlineStr">
        <is>
          <t>Monstro (Comum)</t>
        </is>
      </c>
      <c r="C15" s="276" t="inlineStr">
        <is>
          <t>Enxame de Moscas-Sangue</t>
        </is>
      </c>
      <c r="D15" s="276" t="inlineStr">
        <is>
          <t>Video game monster concept art, creature design for a dark fantasy RPG, digital illustration, sharp focus, highly detailed rendering, dramatic rim lighting, high contrast. Full-body creature portrait of a lesser corrupted creature, the Swarm of Blood Flies, covered in rusted scrap metal, jagged makeshift edges, weathered cracked leather. Insects multiplying near the first corrupted houses. Snarling, baring fangs and claws, dynamic aggressive combat stance referencing its signature move (nauseating breath). Glowing corrupted veins, ominous dark atmosphere. Dark blurred wasteland background, centered composition, no text, no watermark.</t>
        </is>
      </c>
      <c r="E15" s="276" t="n"/>
    </row>
    <row r="16" ht="90" customHeight="1" s="116">
      <c r="A16" s="276" t="inlineStr">
        <is>
          <t>Sucata Enferrujada</t>
        </is>
      </c>
      <c r="B16" s="276" t="inlineStr">
        <is>
          <t>Monstro (Comum)</t>
        </is>
      </c>
      <c r="C16" s="276" t="inlineStr">
        <is>
          <t>Cão Rafado</t>
        </is>
      </c>
      <c r="D16" s="276" t="inlineStr">
        <is>
          <t>Video game monster concept art, creature design for a dark fantasy RPG, digital illustration, sharp focus, highly detailed rendering, dramatic rim lighting, high contrast. Full-body creature portrait of a lesser corrupted creature, the Mangy Dog, covered in rusted scrap metal, jagged makeshift edges, weathered cracked leather. Runs ahead of the pack, marking prey by scent. Snarling, baring fangs and claws, dynamic aggressive combat stance referencing its signature move (warning yelp). Glowing corrupted veins, ominous dark atmosphere. Dark blurred wasteland background, centered composition, no text, no watermark.</t>
        </is>
      </c>
      <c r="E16" s="276" t="n"/>
    </row>
    <row r="17" ht="90" customHeight="1" s="116">
      <c r="A17" s="276" t="inlineStr">
        <is>
          <t>Sucata Enferrujada</t>
        </is>
      </c>
      <c r="B17" s="276" t="inlineStr">
        <is>
          <t>Monstro (Comum)</t>
        </is>
      </c>
      <c r="C17" s="276" t="inlineStr">
        <is>
          <t>Bandido Novato</t>
        </is>
      </c>
      <c r="D17" s="276" t="inlineStr">
        <is>
          <t>Video game monster concept art, creature design for a dark fantasy RPG, digital illustration, sharp focus, highly detailed rendering, dramatic rim lighting, high contrast. Full-body creature portrait of a lesser corrupted creature, the Rookie Bandit, covered in rusted scrap metal, jagged makeshift edges, weathered cracked leather. Joined the gang last week, still inexperienced. Snarling, baring fangs and claws, dynamic aggressive combat stance referencing its signature move (trembling strike). Glowing corrupted veins, ominous dark atmosphere. Dark blurred wasteland background, centered composition, no text, no watermark.</t>
        </is>
      </c>
      <c r="E17" s="276" t="n"/>
    </row>
    <row r="18" ht="90" customHeight="1" s="116">
      <c r="A18" s="276" t="inlineStr">
        <is>
          <t>Sucata Enferrujada</t>
        </is>
      </c>
      <c r="B18" s="276" t="inlineStr">
        <is>
          <t>Monstro (Comum)</t>
        </is>
      </c>
      <c r="C18" s="276" t="inlineStr">
        <is>
          <t>Criança Marcada</t>
        </is>
      </c>
      <c r="D18" s="276" t="inlineStr">
        <is>
          <t>Video game monster concept art, creature design for a dark fantasy RPG, digital illustration, sharp focus, highly detailed rendering, dramatic rim lighting, high contrast. Full-body creature portrait of a lesser corrupted creature, the Marked Child, covered in rusted scrap metal, jagged makeshift edges, weathered cracked leather. A corrupted child, still looking for her mother. Still, unsettling pose, calm but wrong. Glowing corrupted veins, ominous dark atmosphere. Dark blurred wasteland background, centered composition, no text, no watermark.</t>
        </is>
      </c>
      <c r="E18" s="276" t="n"/>
    </row>
    <row r="19" ht="90" customHeight="1" s="116">
      <c r="A19" s="276" t="inlineStr">
        <is>
          <t>Sucata Enferrujada</t>
        </is>
      </c>
      <c r="B19" s="276" t="inlineStr">
        <is>
          <t>Monstro (Comum)</t>
        </is>
      </c>
      <c r="C19" s="276" t="inlineStr">
        <is>
          <t>Acólito Recém-Marcado</t>
        </is>
      </c>
      <c r="D19" s="276" t="inlineStr">
        <is>
          <t>Video game monster concept art, creature design for a dark fantasy RPG, digital illustration, sharp focus, highly detailed rendering, dramatic rim lighting, high contrast. Full-body creature portrait of a lesser corrupted creature, the Newly Marked Acolyte, covered in rusted scrap metal, jagged makeshift edges, weathered cracked leather. Marked his own door yesterday, hand still trembling. Snarling, baring fangs and claws, dynamic aggressive combat stance referencing its signature move (hesitant cut). Glowing corrupted veins, ominous dark atmosphere. Dark blurred wasteland background, centered composition, no text, no watermark.</t>
        </is>
      </c>
      <c r="E19" s="276" t="n"/>
    </row>
    <row r="20" ht="90" customHeight="1" s="116">
      <c r="A20" s="276" t="inlineStr">
        <is>
          <t>Sucata Enferrujada</t>
        </is>
      </c>
      <c r="B20" s="276" t="inlineStr">
        <is>
          <t>Monstro (Comum)</t>
        </is>
      </c>
      <c r="C20" s="276" t="inlineStr">
        <is>
          <t>Leitão Marcado</t>
        </is>
      </c>
      <c r="D20" s="276" t="inlineStr">
        <is>
          <t>Video game monster concept art, creature design for a dark fantasy RPG, digital illustration, sharp focus, highly detailed rendering, dramatic rim lighting, high contrast. Full-body creature portrait of a lesser corrupted creature, the Marked Piglet, covered in rusted scrap metal, jagged makeshift edges, weathered cracked leather. Litter of the Alpha Boar, born already corrupted. Snarling, baring fangs and claws, dynamic aggressive combat stance referencing its signature move (little bite). Glowing corrupted veins, ominous dark atmosphere. Dark blurred wasteland background, centered composition, no text, no watermark.</t>
        </is>
      </c>
      <c r="E20" s="276" t="n"/>
    </row>
    <row r="21" ht="90" customHeight="1" s="116">
      <c r="A21" s="276" t="inlineStr">
        <is>
          <t>Sucata Enferrujada</t>
        </is>
      </c>
      <c r="B21" s="276" t="inlineStr">
        <is>
          <t>Monstro (Comum)</t>
        </is>
      </c>
      <c r="C21" s="276" t="inlineStr">
        <is>
          <t>Carrapato Grande do Javali</t>
        </is>
      </c>
      <c r="D21" s="276" t="inlineStr">
        <is>
          <t>Video game monster concept art, creature design for a dark fantasy RPG, digital illustration, sharp focus, highly detailed rendering, dramatic rim lighting, high contrast. Full-body creature portrait of a lesser corrupted creature, the Large Boar Tick, covered in rusted scrap metal, jagged makeshift edges, weathered cracked leather. Lives on the backs of corrupted boars. Snarling, baring fangs and claws, dynamic aggressive combat stance referencing its signature move (latch on). Glowing corrupted veins, ominous dark atmosphere. Dark blurred wasteland background, centered composition, no text, no watermark.</t>
        </is>
      </c>
      <c r="E21" s="276" t="n"/>
    </row>
    <row r="22" ht="90" customHeight="1" s="116">
      <c r="A22" s="276" t="inlineStr">
        <is>
          <t>Sucata Enferrujada</t>
        </is>
      </c>
      <c r="B22" s="276" t="inlineStr">
        <is>
          <t>Monstro (Comum)</t>
        </is>
      </c>
      <c r="C22" s="276" t="inlineStr">
        <is>
          <t>Bandido de Estrada Marcado</t>
        </is>
      </c>
      <c r="D22" s="276" t="inlineStr">
        <is>
          <t>Video game monster concept art, creature design for a dark fantasy RPG, digital illustration, sharp focus, highly detailed rendering, dramatic rim lighting, high contrast. Full-body creature portrait of a lesser corrupted creature, the Marked Road Bandit, covered in rusted scrap metal, jagged makeshift edges, weathered cracked leather. An ordinary bandit carrying a shard of a lost artifact as a lucky charm. Snarling, baring fangs and claws, dynamic aggressive combat stance referencing its signature move (rusted knife). Glowing corrupted veins, ominous dark atmosphere. Dark blurred wasteland background, centered composition, no text, no watermark.</t>
        </is>
      </c>
      <c r="E22" s="276" t="n"/>
    </row>
    <row r="23" ht="90" customHeight="1" s="116">
      <c r="A23" s="276" t="inlineStr">
        <is>
          <t>Sucata Enferrujada</t>
        </is>
      </c>
      <c r="B23" s="276" t="inlineStr">
        <is>
          <t>Monstro (Comum)</t>
        </is>
      </c>
      <c r="C23" s="276" t="inlineStr">
        <is>
          <t>Peregrino Marcado</t>
        </is>
      </c>
      <c r="D23" s="276" t="inlineStr">
        <is>
          <t>Video game monster concept art, creature design for a dark fantasy RPG, digital illustration, sharp focus, highly detailed rendering, dramatic rim lighting, high contrast. Full-body creature portrait of a lesser corrupted creature, the Marked Pilgrim, covered in rusted scrap metal, jagged makeshift edges, weathered cracked leather. A peasant corrupted by curiosity, still in travel clothes, never arriving anywhere. Snarling, baring fangs and claws, dynamic aggressive combat stance referencing its signature move (rust embrace). Glowing corrupted veins, ominous dark atmosphere. Dark blurred wasteland background, centered composition, no text, no watermark.</t>
        </is>
      </c>
      <c r="E23" s="276" t="n"/>
    </row>
    <row r="24" ht="90" customHeight="1" s="116">
      <c r="A24" s="276" t="inlineStr">
        <is>
          <t>Sucata Enferrujada</t>
        </is>
      </c>
      <c r="B24" s="276" t="inlineStr">
        <is>
          <t>Monstro (Comum)</t>
        </is>
      </c>
      <c r="C24" s="276" t="inlineStr">
        <is>
          <t>Enxame de Vermes Pálidos</t>
        </is>
      </c>
      <c r="D24" s="276" t="inlineStr">
        <is>
          <t>Video game monster concept art, creature design for a dark fantasy RPG, digital illustration, sharp focus, highly detailed rendering, dramatic rim lighting, high contrast. Full-body creature portrait of a lesser corrupted creature, the Swarm of Pale Worms, covered in rusted scrap metal, jagged makeshift edges, weathered cracked leather. Live in rusted ore, feeding on scraps left by miners. Snarling, baring fangs and claws, dynamic aggressive combat stance referencing its signature move (acid bite). Glowing corrupted veins, ominous dark atmosphere. Dark blurred wasteland background, centered composition, no text, no watermark.</t>
        </is>
      </c>
      <c r="E24" s="276" t="n"/>
    </row>
    <row r="25" ht="90" customHeight="1" s="116">
      <c r="A25" s="276" t="inlineStr">
        <is>
          <t>Sucata Enferrujada</t>
        </is>
      </c>
      <c r="B25" s="276" t="inlineStr">
        <is>
          <t>Monstro (Comum)</t>
        </is>
      </c>
      <c r="C25" s="276" t="inlineStr">
        <is>
          <t>Casulo Pulsante</t>
        </is>
      </c>
      <c r="D25" s="276" t="inlineStr">
        <is>
          <t>Video game monster concept art, creature design for a dark fantasy RPG, digital illustration, sharp focus, highly detailed rendering, dramatic rim lighting, high contrast. Full-body creature portrait of a lesser corrupted creature, the Pulsing Cocoon, covered in rusted scrap metal, jagged makeshift edges, weathered cracked leather. Not a creature but a cradle, planted there on purpose. Still, unsettling pose, calm but wrong. Glowing corrupted veins, ominous dark atmosphere. Dark blurred wasteland background, centered composition, no text, no watermark.</t>
        </is>
      </c>
      <c r="E25" s="276" t="n"/>
    </row>
    <row r="26" ht="90" customHeight="1" s="116">
      <c r="A26" s="276" t="inlineStr">
        <is>
          <t>Sucata Enferrujada</t>
        </is>
      </c>
      <c r="B26" s="276" t="inlineStr">
        <is>
          <t>Monstro (Comum)</t>
        </is>
      </c>
      <c r="C26" s="276" t="inlineStr">
        <is>
          <t>Mão Decepada Rastejante</t>
        </is>
      </c>
      <c r="D26" s="276" t="inlineStr">
        <is>
          <t>Video game monster concept art, creature design for a dark fantasy RPG, digital illustration, sharp focus, highly detailed rendering, dramatic rim lighting, high contrast. Full-body creature portrait of a lesser corrupted creature, the Crawling Severed Hand, covered in rusted scrap metal, jagged makeshift edges, weathered cracked leather. A severed hand that still moves on its own. Snarling, baring fangs and claws, dynamic aggressive combat stance referencing its signature move (throat grab). Glowing corrupted veins, ominous dark atmosphere. Dark blurred wasteland background, centered composition, no text, no watermark.</t>
        </is>
      </c>
      <c r="E26" s="276" t="n"/>
    </row>
    <row r="27" ht="90" customHeight="1" s="116">
      <c r="A27" s="276" t="inlineStr">
        <is>
          <t>Sucata Enferrujada</t>
        </is>
      </c>
      <c r="B27" s="276" t="inlineStr">
        <is>
          <t>Monstro (Comum)</t>
        </is>
      </c>
      <c r="C27" s="276" t="inlineStr">
        <is>
          <t>Corvo Necrófago</t>
        </is>
      </c>
      <c r="D27" s="276" t="inlineStr">
        <is>
          <t>Video game monster concept art, creature design for a dark fantasy RPG, digital illustration, sharp focus, highly detailed rendering, dramatic rim lighting, high contrast. Full-body creature portrait of a lesser corrupted creature, the Carrion Crow, covered in rusted scrap metal, jagged makeshift edges, weathered cracked leather. Follows the dead; wherever it lands, someone has fallen. Snarling, baring fangs and claws, dynamic aggressive combat stance referencing its signature move (eye peck). Glowing corrupted veins, ominous dark atmosphere. Dark blurred wasteland background, centered composition, no text, no watermark.</t>
        </is>
      </c>
      <c r="E27" s="276" t="n"/>
    </row>
    <row r="28" ht="90" customHeight="1" s="116">
      <c r="A28" s="276" t="inlineStr">
        <is>
          <t>Sucata Enferrujada</t>
        </is>
      </c>
      <c r="B28" s="276" t="inlineStr">
        <is>
          <t>Monstro (Comum)</t>
        </is>
      </c>
      <c r="C28" s="276" t="inlineStr">
        <is>
          <t>Corredor de Sangue</t>
        </is>
      </c>
      <c r="D28" s="276" t="inlineStr">
        <is>
          <t>Video game monster concept art, creature design for a dark fantasy RPG, digital illustration, sharp focus, highly detailed rendering, dramatic rim lighting, high contrast. Full-body creature portrait of a lesser corrupted creature, the Blood Runner, covered in rusted scrap metal, jagged makeshift edges, weathered cracked leather. A bandit who prefers to wound and flee rather than fight to the end. Snarling, baring fangs and claws, dynamic aggressive combat stance referencing its signature move (passing cut). Glowing corrupted veins, ominous dark atmosphere. Dark blurred wasteland background, centered composition, no text, no watermark.</t>
        </is>
      </c>
      <c r="E28" s="276" t="n"/>
    </row>
    <row r="29" ht="90" customHeight="1" s="116">
      <c r="A29" s="276" t="inlineStr">
        <is>
          <t>Sucata Enferrujada</t>
        </is>
      </c>
      <c r="B29" s="276" t="inlineStr">
        <is>
          <t>Monstro (Comum)</t>
        </is>
      </c>
      <c r="C29" s="276" t="inlineStr">
        <is>
          <t>Saqueador de Caravana</t>
        </is>
      </c>
      <c r="D29" s="276" t="inlineStr">
        <is>
          <t>Video game monster concept art, creature design for a dark fantasy RPG, digital illustration, sharp focus, highly detailed rendering, dramatic rim lighting, high contrast. Full-body creature portrait of a lesser corrupted creature, the Caravan Raider, covered in rusted scrap metal, jagged makeshift edges, weathered cracked leather. Does not want to kill, only wants what you carry. Snarling, baring fangs and claws, dynamic aggressive combat stance referencing its signature move (quick lunge). Glowing corrupted veins, ominous dark atmosphere. Dark blurred wasteland background, centered composition, no text, no watermark.</t>
        </is>
      </c>
      <c r="E29" s="276" t="n"/>
    </row>
    <row r="30" ht="90" customHeight="1" s="116">
      <c r="A30" s="276" t="inlineStr">
        <is>
          <t>Sucata Enferrujada</t>
        </is>
      </c>
      <c r="B30" s="276" t="inlineStr">
        <is>
          <t>Monstro (Comum)</t>
        </is>
      </c>
      <c r="C30" s="276" t="inlineStr">
        <is>
          <t>Peregrino Enlouquecido</t>
        </is>
      </c>
      <c r="D30" s="276" t="inlineStr">
        <is>
          <t>Video game monster concept art, creature design for a dark fantasy RPG, digital illustration, sharp focus, highly detailed rendering, dramatic rim lighting, high contrast. Full-body creature portrait of a lesser corrupted creature, the Maddened Pilgrim, covered in rusted scrap metal, jagged makeshift edges, weathered cracked leather. The corruption reached his throat; he no longer speaks, only screams. Snarling, baring fangs and claws, dynamic aggressive combat stance referencing its signature move (wordless scream). Glowing corrupted veins, ominous dark atmosphere. Dark blurred wasteland background, centered composition, no text, no watermark.</t>
        </is>
      </c>
      <c r="E30" s="276" t="n"/>
    </row>
    <row r="31" ht="90" customHeight="1" s="116">
      <c r="A31" s="276" t="inlineStr">
        <is>
          <t>Sucata Enferrujada</t>
        </is>
      </c>
      <c r="B31" s="276" t="inlineStr">
        <is>
          <t>Monstro (Comum)</t>
        </is>
      </c>
      <c r="C31" s="276" t="inlineStr">
        <is>
          <t>Sombra da Primeira Porta</t>
        </is>
      </c>
      <c r="D31" s="276" t="inlineStr">
        <is>
          <t>Video game monster concept art, creature design for a dark fantasy RPG, digital illustration, sharp focus, highly detailed rendering, dramatic rim lighting, high contrast. Full-body creature portrait of a lesser corrupted creature, the Shadow of the First Door, covered in rusted scrap metal, jagged makeshift edges, weathered cracked leather. Living residue of the first corruption in this region. Snarling, baring fangs and claws, dynamic aggressive combat stance referencing its signature move (touch of the original mark). Glowing corrupted veins, ominous dark atmosphere. Dark blurred wasteland background, centered composition, no text, no watermark.</t>
        </is>
      </c>
      <c r="E31" s="276" t="n"/>
    </row>
    <row r="32" ht="90" customHeight="1" s="116">
      <c r="A32" s="276" t="inlineStr">
        <is>
          <t>Sucata Enferrujada</t>
        </is>
      </c>
      <c r="B32" s="276" t="inlineStr">
        <is>
          <t>Monstro (Comum)</t>
        </is>
      </c>
      <c r="C32" s="276" t="inlineStr">
        <is>
          <t>Bandido Veterano</t>
        </is>
      </c>
      <c r="D32" s="276" t="inlineStr">
        <is>
          <t>Video game monster concept art, creature design for a dark fantasy RPG, digital illustration, sharp focus, highly detailed rendering, dramatic rim lighting, high contrast. Full-body creature portrait of a lesser corrupted creature, the Veteran Bandit, covered in rusted scrap metal, jagged makeshift edges, weathered cracked leather. Survived three encounters and still walks the road. Snarling, baring fangs and claws, dynamic aggressive combat stance referencing its signature move (double cut). Glowing corrupted veins, ominous dark atmosphere. Dark blurred wasteland background, centered composition, no text, no watermark.</t>
        </is>
      </c>
      <c r="E32" s="276" t="n"/>
    </row>
    <row r="33" ht="90" customHeight="1" s="116">
      <c r="A33" s="276" t="inlineStr">
        <is>
          <t>Sucata Enferrujada</t>
        </is>
      </c>
      <c r="B33" s="276" t="inlineStr">
        <is>
          <t>Monstro (Boss)</t>
        </is>
      </c>
      <c r="C33" s="276" t="inlineStr">
        <is>
          <t>Javali Selvagem Alfa</t>
        </is>
      </c>
      <c r="D33" s="276" t="inlineStr">
        <is>
          <t>Video game monster concept art, creature design for a dark fantasy RPG, digital illustration, sharp focus, highly detailed rendering, dramatic rim lighting, high contrast. Full-body creature portrait of a towering monstrous boss creature, the Alpha Wild Boar, covered in rusted scrap metal, jagged makeshift edges, weathered cracked leather. The first beast born already corrupted in the region; its broken tusk became a cursed ring artifact. Snarling, baring fangs and claws, dynamic aggressive combat stance referencing its signature move (bloodied charge). Glowing corrupted veins, ominous dark atmosphere. Dark blurred wasteland background, centered composition, no text, no watermark.</t>
        </is>
      </c>
      <c r="E33" s="276" t="n"/>
    </row>
    <row r="34" ht="90" customHeight="1" s="116">
      <c r="A34" s="276" t="inlineStr">
        <is>
          <t>Sucata Enferrujada</t>
        </is>
      </c>
      <c r="B34" s="276" t="inlineStr">
        <is>
          <t>Monstro (Boss)</t>
        </is>
      </c>
      <c r="C34" s="276" t="inlineStr">
        <is>
          <t>O Colhedor do Primeiro Sangue</t>
        </is>
      </c>
      <c r="D34" s="276" t="inlineStr">
        <is>
          <t>Video game monster concept art, creature design for a dark fantasy RPG, digital illustration, sharp focus, highly detailed rendering, dramatic rim lighting, high contrast. Full-body creature portrait of a towering monstrous boss creature, the The Reaper of First Blood, covered in rusted scrap metal, jagged makeshift edges, weathered cracked leather. The cultist who first spread the corruption here, strong not by power but by unshakable belief. Snarling, baring fangs and claws, dynamic aggressive combat stance referencing its signature move (ritual reaping). Glowing corrupted veins, ominous dark atmosphere. Dark blurred wasteland background, centered composition, no text, no watermark.</t>
        </is>
      </c>
      <c r="E34" s="27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2026-07-06T04:10:26Z</dcterms:created>
  <dcterms:modified xmlns:dcterms="http://purl.org/dc/terms/" xmlns:xsi="http://www.w3.org/2001/XMLSchema-instance" xsi:type="dcterms:W3CDTF">2026-09-05T12:52:23Z</dcterms:modified>
  <cp:revision>0</cp:revision>
</cp:coreProperties>
</file>